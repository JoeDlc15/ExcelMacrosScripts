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slicers/slicer2.xml" ContentType="application/vnd.ms-excel.slicer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imac\Downloads\DINET\mac modif\"/>
    </mc:Choice>
  </mc:AlternateContent>
  <xr:revisionPtr revIDLastSave="0" documentId="13_ncr:1_{9505BB6B-7A86-46B2-9E85-9D440004BF9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STADOS" sheetId="2" r:id="rId1"/>
    <sheet name="UBICACION" sheetId="4" r:id="rId2"/>
    <sheet name="VARIANS" sheetId="13" r:id="rId3"/>
    <sheet name="TEXTO" sheetId="12" r:id="rId4"/>
    <sheet name="ubc" sheetId="8" state="hidden" r:id="rId5"/>
    <sheet name="unds" sheetId="9" state="hidden" r:id="rId6"/>
    <sheet name="sku" sheetId="7" state="hidden" r:id="rId7"/>
    <sheet name="soles" sheetId="11" state="hidden" r:id="rId8"/>
  </sheets>
  <definedNames>
    <definedName name="_xlnm._FilterDatabase" localSheetId="0" hidden="1">LISTADOS!$A$8:$AB$430</definedName>
    <definedName name="_xlnm._FilterDatabase" localSheetId="7" hidden="1">soles!$F$1:$M$37</definedName>
    <definedName name="_xlnm._FilterDatabase" localSheetId="3" hidden="1">TEXTO!$A$1:$G$277</definedName>
    <definedName name="_xlnm._FilterDatabase" localSheetId="1" hidden="1">UBICACION!$A$9:$V$10</definedName>
    <definedName name="_xlnm._FilterDatabase" localSheetId="5" hidden="1">unds!$F$1:$M$37</definedName>
    <definedName name="_xlnm._FilterDatabase" localSheetId="2" hidden="1">VARIANS!#REF!</definedName>
    <definedName name="_xlcn.WorksheetConnection_PLANTILLARESULTADOSDELINVENTARIOPASILLO.xlsmTABLAINV1" hidden="1">TABLAINV[]</definedName>
    <definedName name="_xlnm.Print_Area" localSheetId="0">LISTADOS!$C$1:$R$430</definedName>
    <definedName name="_xlnm.Print_Area" localSheetId="2">VARIANS!$A$1:$G$8</definedName>
    <definedName name="_xlnm.Criteria" localSheetId="0">LISTADOS!$AH$1:$AJ$2</definedName>
    <definedName name="DATA">UBICACION!$C$1:$R$1</definedName>
    <definedName name="SegmentaciónDeDatos_Almacen">#N/A</definedName>
    <definedName name="SegmentaciónDeDatos_Almacen1">#N/A</definedName>
    <definedName name="SegmentaciónDeDatos_Lado">#N/A</definedName>
    <definedName name="SegmentaciónDeDatos_Linea">#N/A</definedName>
    <definedName name="SegmentaciónDeDatos_N">#N/A</definedName>
    <definedName name="SegmentaciónDeDatos_R">#N/A</definedName>
    <definedName name="SegmentaciónDeDatos_Z">#N/A</definedName>
    <definedName name="_xlnm.Print_Titles" localSheetId="0">LISTADOS!$1:$8</definedName>
  </definedNames>
  <calcPr calcId="191029"/>
  <pivotCaches>
    <pivotCache cacheId="32" r:id="rId9"/>
    <pivotCache cacheId="35" r:id="rId10"/>
    <pivotCache cacheId="38" r:id="rId11"/>
    <pivotCache cacheId="41" r:id="rId12"/>
    <pivotCache cacheId="44" r:id="rId13"/>
    <pivotCache cacheId="47" r:id="rId14"/>
    <pivotCache cacheId="50" r:id="rId15"/>
    <pivotCache cacheId="53" r:id="rId16"/>
    <pivotCache cacheId="56" r:id="rId17"/>
    <pivotCache cacheId="69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AINV" name="TABLAINV" connection="WorksheetConnection_PLANTILLA RESULTADOS DEL INVENTARIO PASILLO.xlsm!TABLAINV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2" l="1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S10" i="2"/>
  <c r="U10" i="2" s="1"/>
  <c r="S11" i="2"/>
  <c r="S12" i="2"/>
  <c r="U12" i="2" s="1"/>
  <c r="S13" i="2"/>
  <c r="S14" i="2"/>
  <c r="Y14" i="2" s="1"/>
  <c r="S15" i="2"/>
  <c r="U15" i="2" s="1"/>
  <c r="S16" i="2"/>
  <c r="Y16" i="2" s="1"/>
  <c r="S17" i="2"/>
  <c r="Y17" i="2" s="1"/>
  <c r="S18" i="2"/>
  <c r="U18" i="2" s="1"/>
  <c r="S19" i="2"/>
  <c r="S20" i="2"/>
  <c r="U20" i="2" s="1"/>
  <c r="S21" i="2"/>
  <c r="U21" i="2" s="1"/>
  <c r="S22" i="2"/>
  <c r="U22" i="2" s="1"/>
  <c r="S23" i="2"/>
  <c r="U23" i="2" s="1"/>
  <c r="S24" i="2"/>
  <c r="U24" i="2" s="1"/>
  <c r="S25" i="2"/>
  <c r="S26" i="2"/>
  <c r="Y26" i="2" s="1"/>
  <c r="S27" i="2"/>
  <c r="U27" i="2" s="1"/>
  <c r="S28" i="2"/>
  <c r="U28" i="2" s="1"/>
  <c r="S29" i="2"/>
  <c r="U29" i="2" s="1"/>
  <c r="S30" i="2"/>
  <c r="U30" i="2" s="1"/>
  <c r="S31" i="2"/>
  <c r="S32" i="2"/>
  <c r="U32" i="2" s="1"/>
  <c r="S33" i="2"/>
  <c r="U33" i="2" s="1"/>
  <c r="S34" i="2"/>
  <c r="Y34" i="2" s="1"/>
  <c r="S35" i="2"/>
  <c r="Y35" i="2" s="1"/>
  <c r="S36" i="2"/>
  <c r="U36" i="2" s="1"/>
  <c r="S37" i="2"/>
  <c r="S38" i="2"/>
  <c r="U38" i="2" s="1"/>
  <c r="S39" i="2"/>
  <c r="Y39" i="2" s="1"/>
  <c r="S40" i="2"/>
  <c r="U40" i="2" s="1"/>
  <c r="S41" i="2"/>
  <c r="Y41" i="2" s="1"/>
  <c r="S42" i="2"/>
  <c r="U42" i="2" s="1"/>
  <c r="S43" i="2"/>
  <c r="S44" i="2"/>
  <c r="U44" i="2" s="1"/>
  <c r="S45" i="2"/>
  <c r="Y45" i="2" s="1"/>
  <c r="S46" i="2"/>
  <c r="U46" i="2" s="1"/>
  <c r="S47" i="2"/>
  <c r="Y47" i="2" s="1"/>
  <c r="S48" i="2"/>
  <c r="U48" i="2" s="1"/>
  <c r="S49" i="2"/>
  <c r="S50" i="2"/>
  <c r="U50" i="2" s="1"/>
  <c r="S51" i="2"/>
  <c r="Y51" i="2" s="1"/>
  <c r="S52" i="2"/>
  <c r="Y52" i="2" s="1"/>
  <c r="S53" i="2"/>
  <c r="Y53" i="2" s="1"/>
  <c r="S54" i="2"/>
  <c r="U54" i="2" s="1"/>
  <c r="S55" i="2"/>
  <c r="S56" i="2"/>
  <c r="Y56" i="2" s="1"/>
  <c r="S57" i="2"/>
  <c r="Y57" i="2" s="1"/>
  <c r="S58" i="2"/>
  <c r="U58" i="2" s="1"/>
  <c r="S59" i="2"/>
  <c r="Y59" i="2" s="1"/>
  <c r="S60" i="2"/>
  <c r="U60" i="2" s="1"/>
  <c r="S61" i="2"/>
  <c r="S62" i="2"/>
  <c r="U62" i="2" s="1"/>
  <c r="S63" i="2"/>
  <c r="U63" i="2" s="1"/>
  <c r="S64" i="2"/>
  <c r="U64" i="2" s="1"/>
  <c r="S65" i="2"/>
  <c r="Y65" i="2" s="1"/>
  <c r="S66" i="2"/>
  <c r="U66" i="2" s="1"/>
  <c r="S67" i="2"/>
  <c r="S68" i="2"/>
  <c r="Y68" i="2" s="1"/>
  <c r="S69" i="2"/>
  <c r="U69" i="2" s="1"/>
  <c r="S70" i="2"/>
  <c r="Y70" i="2" s="1"/>
  <c r="S71" i="2"/>
  <c r="U71" i="2" s="1"/>
  <c r="S72" i="2"/>
  <c r="U72" i="2" s="1"/>
  <c r="S73" i="2"/>
  <c r="S74" i="2"/>
  <c r="U74" i="2" s="1"/>
  <c r="S75" i="2"/>
  <c r="U75" i="2" s="1"/>
  <c r="S76" i="2"/>
  <c r="U76" i="2" s="1"/>
  <c r="S77" i="2"/>
  <c r="U77" i="2" s="1"/>
  <c r="S78" i="2"/>
  <c r="U78" i="2" s="1"/>
  <c r="S79" i="2"/>
  <c r="S80" i="2"/>
  <c r="Y80" i="2" s="1"/>
  <c r="S81" i="2"/>
  <c r="U81" i="2" s="1"/>
  <c r="S82" i="2"/>
  <c r="U82" i="2" s="1"/>
  <c r="S83" i="2"/>
  <c r="S84" i="2"/>
  <c r="U84" i="2" s="1"/>
  <c r="S85" i="2"/>
  <c r="S86" i="2"/>
  <c r="U86" i="2" s="1"/>
  <c r="S87" i="2"/>
  <c r="U87" i="2" s="1"/>
  <c r="S88" i="2"/>
  <c r="Y88" i="2" s="1"/>
  <c r="S89" i="2"/>
  <c r="U89" i="2" s="1"/>
  <c r="S90" i="2"/>
  <c r="U90" i="2" s="1"/>
  <c r="S91" i="2"/>
  <c r="S92" i="2"/>
  <c r="U92" i="2" s="1"/>
  <c r="S93" i="2"/>
  <c r="U93" i="2" s="1"/>
  <c r="S94" i="2"/>
  <c r="U94" i="2" s="1"/>
  <c r="S95" i="2"/>
  <c r="U95" i="2" s="1"/>
  <c r="S96" i="2"/>
  <c r="U96" i="2" s="1"/>
  <c r="S97" i="2"/>
  <c r="S98" i="2"/>
  <c r="U98" i="2" s="1"/>
  <c r="S99" i="2"/>
  <c r="U99" i="2" s="1"/>
  <c r="S100" i="2"/>
  <c r="U100" i="2" s="1"/>
  <c r="S101" i="2"/>
  <c r="Y101" i="2" s="1"/>
  <c r="S102" i="2"/>
  <c r="U102" i="2" s="1"/>
  <c r="S103" i="2"/>
  <c r="S104" i="2"/>
  <c r="U104" i="2" s="1"/>
  <c r="S105" i="2"/>
  <c r="S106" i="2"/>
  <c r="Y106" i="2" s="1"/>
  <c r="S107" i="2"/>
  <c r="U107" i="2" s="1"/>
  <c r="S108" i="2"/>
  <c r="U108" i="2" s="1"/>
  <c r="S109" i="2"/>
  <c r="S110" i="2"/>
  <c r="Y110" i="2" s="1"/>
  <c r="S111" i="2"/>
  <c r="Y111" i="2" s="1"/>
  <c r="S112" i="2"/>
  <c r="U112" i="2" s="1"/>
  <c r="S113" i="2"/>
  <c r="U113" i="2" s="1"/>
  <c r="S114" i="2"/>
  <c r="U114" i="2" s="1"/>
  <c r="S115" i="2"/>
  <c r="S116" i="2"/>
  <c r="U116" i="2" s="1"/>
  <c r="S117" i="2"/>
  <c r="Y117" i="2" s="1"/>
  <c r="S118" i="2"/>
  <c r="U118" i="2" s="1"/>
  <c r="S119" i="2"/>
  <c r="Y119" i="2" s="1"/>
  <c r="S120" i="2"/>
  <c r="U120" i="2" s="1"/>
  <c r="S121" i="2"/>
  <c r="S122" i="2"/>
  <c r="Y122" i="2" s="1"/>
  <c r="S123" i="2"/>
  <c r="Y123" i="2" s="1"/>
  <c r="S124" i="2"/>
  <c r="Y124" i="2" s="1"/>
  <c r="S125" i="2"/>
  <c r="U125" i="2" s="1"/>
  <c r="S126" i="2"/>
  <c r="U126" i="2" s="1"/>
  <c r="S127" i="2"/>
  <c r="S128" i="2"/>
  <c r="U128" i="2" s="1"/>
  <c r="S129" i="2"/>
  <c r="U129" i="2" s="1"/>
  <c r="S130" i="2"/>
  <c r="U130" i="2" s="1"/>
  <c r="S131" i="2"/>
  <c r="U131" i="2" s="1"/>
  <c r="S132" i="2"/>
  <c r="U132" i="2" s="1"/>
  <c r="S133" i="2"/>
  <c r="S134" i="2"/>
  <c r="Y134" i="2" s="1"/>
  <c r="S135" i="2"/>
  <c r="U135" i="2" s="1"/>
  <c r="S136" i="2"/>
  <c r="U136" i="2" s="1"/>
  <c r="S137" i="2"/>
  <c r="U137" i="2" s="1"/>
  <c r="S138" i="2"/>
  <c r="U138" i="2" s="1"/>
  <c r="S139" i="2"/>
  <c r="S140" i="2"/>
  <c r="U140" i="2" s="1"/>
  <c r="S141" i="2"/>
  <c r="U141" i="2" s="1"/>
  <c r="S142" i="2"/>
  <c r="Y142" i="2" s="1"/>
  <c r="S143" i="2"/>
  <c r="U143" i="2" s="1"/>
  <c r="S144" i="2"/>
  <c r="U144" i="2" s="1"/>
  <c r="S145" i="2"/>
  <c r="S146" i="2"/>
  <c r="U146" i="2" s="1"/>
  <c r="S147" i="2"/>
  <c r="U147" i="2" s="1"/>
  <c r="S148" i="2"/>
  <c r="U148" i="2" s="1"/>
  <c r="S149" i="2"/>
  <c r="U149" i="2" s="1"/>
  <c r="S150" i="2"/>
  <c r="U150" i="2" s="1"/>
  <c r="S151" i="2"/>
  <c r="S152" i="2"/>
  <c r="U152" i="2" s="1"/>
  <c r="S153" i="2"/>
  <c r="U153" i="2" s="1"/>
  <c r="S154" i="2"/>
  <c r="U154" i="2" s="1"/>
  <c r="S155" i="2"/>
  <c r="U155" i="2" s="1"/>
  <c r="S156" i="2"/>
  <c r="U156" i="2" s="1"/>
  <c r="S157" i="2"/>
  <c r="S158" i="2"/>
  <c r="U158" i="2" s="1"/>
  <c r="S159" i="2"/>
  <c r="Y159" i="2" s="1"/>
  <c r="S160" i="2"/>
  <c r="Y160" i="2" s="1"/>
  <c r="S161" i="2"/>
  <c r="U161" i="2" s="1"/>
  <c r="S162" i="2"/>
  <c r="U162" i="2" s="1"/>
  <c r="S163" i="2"/>
  <c r="S164" i="2"/>
  <c r="Y164" i="2" s="1"/>
  <c r="S165" i="2"/>
  <c r="Y165" i="2" s="1"/>
  <c r="S166" i="2"/>
  <c r="U166" i="2" s="1"/>
  <c r="S167" i="2"/>
  <c r="Y167" i="2" s="1"/>
  <c r="S168" i="2"/>
  <c r="U168" i="2" s="1"/>
  <c r="S169" i="2"/>
  <c r="S170" i="2"/>
  <c r="U170" i="2" s="1"/>
  <c r="S171" i="2"/>
  <c r="Y171" i="2" s="1"/>
  <c r="S172" i="2"/>
  <c r="U172" i="2" s="1"/>
  <c r="S173" i="2"/>
  <c r="U173" i="2" s="1"/>
  <c r="S174" i="2"/>
  <c r="U174" i="2" s="1"/>
  <c r="S175" i="2"/>
  <c r="S176" i="2"/>
  <c r="Y176" i="2" s="1"/>
  <c r="S177" i="2"/>
  <c r="Y177" i="2" s="1"/>
  <c r="S178" i="2"/>
  <c r="Y178" i="2" s="1"/>
  <c r="S179" i="2"/>
  <c r="S180" i="2"/>
  <c r="U180" i="2" s="1"/>
  <c r="S181" i="2"/>
  <c r="S182" i="2"/>
  <c r="U182" i="2" s="1"/>
  <c r="S183" i="2"/>
  <c r="U183" i="2" s="1"/>
  <c r="S184" i="2"/>
  <c r="U184" i="2" s="1"/>
  <c r="S185" i="2"/>
  <c r="Y185" i="2" s="1"/>
  <c r="S186" i="2"/>
  <c r="U186" i="2" s="1"/>
  <c r="S187" i="2"/>
  <c r="S188" i="2"/>
  <c r="Y188" i="2" s="1"/>
  <c r="S189" i="2"/>
  <c r="U189" i="2" s="1"/>
  <c r="S190" i="2"/>
  <c r="U190" i="2" s="1"/>
  <c r="S191" i="2"/>
  <c r="Y191" i="2" s="1"/>
  <c r="S192" i="2"/>
  <c r="U192" i="2" s="1"/>
  <c r="S193" i="2"/>
  <c r="S194" i="2"/>
  <c r="U194" i="2" s="1"/>
  <c r="S195" i="2"/>
  <c r="Y195" i="2" s="1"/>
  <c r="S196" i="2"/>
  <c r="Y196" i="2" s="1"/>
  <c r="S197" i="2"/>
  <c r="U197" i="2" s="1"/>
  <c r="S198" i="2"/>
  <c r="U198" i="2" s="1"/>
  <c r="S199" i="2"/>
  <c r="S200" i="2"/>
  <c r="U200" i="2" s="1"/>
  <c r="S201" i="2"/>
  <c r="U201" i="2" s="1"/>
  <c r="S202" i="2"/>
  <c r="U202" i="2" s="1"/>
  <c r="S203" i="2"/>
  <c r="S204" i="2"/>
  <c r="U204" i="2" s="1"/>
  <c r="S205" i="2"/>
  <c r="S206" i="2"/>
  <c r="U206" i="2" s="1"/>
  <c r="S207" i="2"/>
  <c r="Y207" i="2" s="1"/>
  <c r="S208" i="2"/>
  <c r="U208" i="2" s="1"/>
  <c r="S209" i="2"/>
  <c r="Y209" i="2" s="1"/>
  <c r="S210" i="2"/>
  <c r="U210" i="2" s="1"/>
  <c r="S211" i="2"/>
  <c r="S212" i="2"/>
  <c r="U212" i="2" s="1"/>
  <c r="S213" i="2"/>
  <c r="U213" i="2" s="1"/>
  <c r="S214" i="2"/>
  <c r="Y214" i="2" s="1"/>
  <c r="S215" i="2"/>
  <c r="U215" i="2" s="1"/>
  <c r="S216" i="2"/>
  <c r="U216" i="2" s="1"/>
  <c r="S217" i="2"/>
  <c r="S218" i="2"/>
  <c r="Y218" i="2" s="1"/>
  <c r="S219" i="2"/>
  <c r="U219" i="2" s="1"/>
  <c r="S220" i="2"/>
  <c r="U220" i="2" s="1"/>
  <c r="S221" i="2"/>
  <c r="Y221" i="2" s="1"/>
  <c r="S222" i="2"/>
  <c r="U222" i="2" s="1"/>
  <c r="S223" i="2"/>
  <c r="S224" i="2"/>
  <c r="U224" i="2" s="1"/>
  <c r="S225" i="2"/>
  <c r="S226" i="2"/>
  <c r="U226" i="2" s="1"/>
  <c r="S227" i="2"/>
  <c r="Y227" i="2" s="1"/>
  <c r="S228" i="2"/>
  <c r="U228" i="2" s="1"/>
  <c r="S229" i="2"/>
  <c r="S230" i="2"/>
  <c r="Y230" i="2" s="1"/>
  <c r="S231" i="2"/>
  <c r="U231" i="2" s="1"/>
  <c r="S232" i="2"/>
  <c r="Y232" i="2" s="1"/>
  <c r="S233" i="2"/>
  <c r="U233" i="2" s="1"/>
  <c r="S234" i="2"/>
  <c r="U234" i="2" s="1"/>
  <c r="S235" i="2"/>
  <c r="S236" i="2"/>
  <c r="U236" i="2" s="1"/>
  <c r="S237" i="2"/>
  <c r="U237" i="2" s="1"/>
  <c r="S238" i="2"/>
  <c r="U238" i="2" s="1"/>
  <c r="S239" i="2"/>
  <c r="Y239" i="2" s="1"/>
  <c r="S240" i="2"/>
  <c r="U240" i="2" s="1"/>
  <c r="S241" i="2"/>
  <c r="S242" i="2"/>
  <c r="Y242" i="2" s="1"/>
  <c r="S243" i="2"/>
  <c r="Y243" i="2" s="1"/>
  <c r="S244" i="2"/>
  <c r="U244" i="2" s="1"/>
  <c r="S245" i="2"/>
  <c r="U245" i="2" s="1"/>
  <c r="S246" i="2"/>
  <c r="U246" i="2" s="1"/>
  <c r="S247" i="2"/>
  <c r="U247" i="2" s="1"/>
  <c r="S248" i="2"/>
  <c r="U248" i="2" s="1"/>
  <c r="S249" i="2"/>
  <c r="Y249" i="2" s="1"/>
  <c r="S250" i="2"/>
  <c r="Y250" i="2" s="1"/>
  <c r="S251" i="2"/>
  <c r="Y251" i="2" s="1"/>
  <c r="S252" i="2"/>
  <c r="U252" i="2" s="1"/>
  <c r="S253" i="2"/>
  <c r="U253" i="2" s="1"/>
  <c r="S254" i="2"/>
  <c r="U254" i="2" s="1"/>
  <c r="S255" i="2"/>
  <c r="U255" i="2" s="1"/>
  <c r="S256" i="2"/>
  <c r="U256" i="2" s="1"/>
  <c r="S257" i="2"/>
  <c r="Y257" i="2" s="1"/>
  <c r="S258" i="2"/>
  <c r="U258" i="2" s="1"/>
  <c r="S259" i="2"/>
  <c r="U259" i="2" s="1"/>
  <c r="S260" i="2"/>
  <c r="U260" i="2" s="1"/>
  <c r="S261" i="2"/>
  <c r="U261" i="2" s="1"/>
  <c r="S262" i="2"/>
  <c r="Y262" i="2" s="1"/>
  <c r="S263" i="2"/>
  <c r="U263" i="2" s="1"/>
  <c r="S264" i="2"/>
  <c r="U264" i="2" s="1"/>
  <c r="S265" i="2"/>
  <c r="U265" i="2" s="1"/>
  <c r="S266" i="2"/>
  <c r="U266" i="2" s="1"/>
  <c r="S267" i="2"/>
  <c r="U267" i="2" s="1"/>
  <c r="S268" i="2"/>
  <c r="Y268" i="2" s="1"/>
  <c r="S269" i="2"/>
  <c r="U269" i="2" s="1"/>
  <c r="S270" i="2"/>
  <c r="U270" i="2" s="1"/>
  <c r="S271" i="2"/>
  <c r="U271" i="2" s="1"/>
  <c r="S272" i="2"/>
  <c r="U272" i="2" s="1"/>
  <c r="S273" i="2"/>
  <c r="U273" i="2" s="1"/>
  <c r="S274" i="2"/>
  <c r="U274" i="2" s="1"/>
  <c r="S275" i="2"/>
  <c r="S276" i="2"/>
  <c r="U276" i="2" s="1"/>
  <c r="S277" i="2"/>
  <c r="U277" i="2" s="1"/>
  <c r="S278" i="2"/>
  <c r="U278" i="2" s="1"/>
  <c r="S279" i="2"/>
  <c r="Y279" i="2" s="1"/>
  <c r="S280" i="2"/>
  <c r="Y280" i="2" s="1"/>
  <c r="S281" i="2"/>
  <c r="Y281" i="2" s="1"/>
  <c r="S282" i="2"/>
  <c r="U282" i="2" s="1"/>
  <c r="S283" i="2"/>
  <c r="U283" i="2" s="1"/>
  <c r="S284" i="2"/>
  <c r="Y284" i="2" s="1"/>
  <c r="S285" i="2"/>
  <c r="Y285" i="2" s="1"/>
  <c r="S286" i="2"/>
  <c r="Y286" i="2" s="1"/>
  <c r="S287" i="2"/>
  <c r="Y287" i="2" s="1"/>
  <c r="S288" i="2"/>
  <c r="U288" i="2" s="1"/>
  <c r="S289" i="2"/>
  <c r="U289" i="2" s="1"/>
  <c r="S290" i="2"/>
  <c r="U290" i="2" s="1"/>
  <c r="S291" i="2"/>
  <c r="U291" i="2" s="1"/>
  <c r="S292" i="2"/>
  <c r="U292" i="2" s="1"/>
  <c r="S293" i="2"/>
  <c r="U293" i="2" s="1"/>
  <c r="S294" i="2"/>
  <c r="U294" i="2" s="1"/>
  <c r="S295" i="2"/>
  <c r="U295" i="2" s="1"/>
  <c r="S296" i="2"/>
  <c r="Y296" i="2" s="1"/>
  <c r="S297" i="2"/>
  <c r="S298" i="2"/>
  <c r="Y298" i="2" s="1"/>
  <c r="S299" i="2"/>
  <c r="S300" i="2"/>
  <c r="U300" i="2" s="1"/>
  <c r="S301" i="2"/>
  <c r="U301" i="2" s="1"/>
  <c r="S302" i="2"/>
  <c r="U302" i="2" s="1"/>
  <c r="S303" i="2"/>
  <c r="Y303" i="2" s="1"/>
  <c r="S304" i="2"/>
  <c r="U304" i="2" s="1"/>
  <c r="S305" i="2"/>
  <c r="Y305" i="2" s="1"/>
  <c r="S306" i="2"/>
  <c r="U306" i="2" s="1"/>
  <c r="S307" i="2"/>
  <c r="U307" i="2" s="1"/>
  <c r="S308" i="2"/>
  <c r="U308" i="2" s="1"/>
  <c r="S309" i="2"/>
  <c r="U309" i="2" s="1"/>
  <c r="S310" i="2"/>
  <c r="U310" i="2" s="1"/>
  <c r="S311" i="2"/>
  <c r="U311" i="2" s="1"/>
  <c r="S312" i="2"/>
  <c r="U312" i="2" s="1"/>
  <c r="S313" i="2"/>
  <c r="U313" i="2" s="1"/>
  <c r="S314" i="2"/>
  <c r="U314" i="2" s="1"/>
  <c r="S315" i="2"/>
  <c r="Y315" i="2" s="1"/>
  <c r="S316" i="2"/>
  <c r="Y316" i="2" s="1"/>
  <c r="S317" i="2"/>
  <c r="U317" i="2" s="1"/>
  <c r="S318" i="2"/>
  <c r="U318" i="2" s="1"/>
  <c r="S319" i="2"/>
  <c r="U319" i="2" s="1"/>
  <c r="S320" i="2"/>
  <c r="U320" i="2" s="1"/>
  <c r="S321" i="2"/>
  <c r="Y321" i="2" s="1"/>
  <c r="S322" i="2"/>
  <c r="Y322" i="2" s="1"/>
  <c r="S323" i="2"/>
  <c r="U323" i="2" s="1"/>
  <c r="S324" i="2"/>
  <c r="U324" i="2" s="1"/>
  <c r="S325" i="2"/>
  <c r="U325" i="2" s="1"/>
  <c r="S326" i="2"/>
  <c r="Y326" i="2" s="1"/>
  <c r="S327" i="2"/>
  <c r="Y327" i="2" s="1"/>
  <c r="S328" i="2"/>
  <c r="U328" i="2" s="1"/>
  <c r="S329" i="2"/>
  <c r="Y329" i="2" s="1"/>
  <c r="S330" i="2"/>
  <c r="U330" i="2" s="1"/>
  <c r="S331" i="2"/>
  <c r="U331" i="2" s="1"/>
  <c r="S332" i="2"/>
  <c r="U332" i="2" s="1"/>
  <c r="S333" i="2"/>
  <c r="U333" i="2" s="1"/>
  <c r="S334" i="2"/>
  <c r="U334" i="2" s="1"/>
  <c r="S335" i="2"/>
  <c r="U335" i="2" s="1"/>
  <c r="S336" i="2"/>
  <c r="U336" i="2" s="1"/>
  <c r="S337" i="2"/>
  <c r="U337" i="2" s="1"/>
  <c r="S338" i="2"/>
  <c r="Y338" i="2" s="1"/>
  <c r="S339" i="2"/>
  <c r="Y339" i="2" s="1"/>
  <c r="S340" i="2"/>
  <c r="Y340" i="2" s="1"/>
  <c r="S341" i="2"/>
  <c r="Y341" i="2" s="1"/>
  <c r="S342" i="2"/>
  <c r="U342" i="2" s="1"/>
  <c r="S343" i="2"/>
  <c r="U343" i="2" s="1"/>
  <c r="S344" i="2"/>
  <c r="U344" i="2" s="1"/>
  <c r="S345" i="2"/>
  <c r="U345" i="2" s="1"/>
  <c r="S346" i="2"/>
  <c r="U346" i="2" s="1"/>
  <c r="S347" i="2"/>
  <c r="U347" i="2" s="1"/>
  <c r="S348" i="2"/>
  <c r="U348" i="2" s="1"/>
  <c r="S349" i="2"/>
  <c r="U349" i="2" s="1"/>
  <c r="S350" i="2"/>
  <c r="Y350" i="2" s="1"/>
  <c r="S351" i="2"/>
  <c r="U351" i="2" s="1"/>
  <c r="S352" i="2"/>
  <c r="U352" i="2" s="1"/>
  <c r="S353" i="2"/>
  <c r="U353" i="2" s="1"/>
  <c r="S354" i="2"/>
  <c r="U354" i="2" s="1"/>
  <c r="S355" i="2"/>
  <c r="U355" i="2" s="1"/>
  <c r="S356" i="2"/>
  <c r="Y356" i="2" s="1"/>
  <c r="S357" i="2"/>
  <c r="U357" i="2" s="1"/>
  <c r="S358" i="2"/>
  <c r="Y358" i="2" s="1"/>
  <c r="S359" i="2"/>
  <c r="Y359" i="2" s="1"/>
  <c r="S360" i="2"/>
  <c r="U360" i="2" s="1"/>
  <c r="S361" i="2"/>
  <c r="U361" i="2" s="1"/>
  <c r="S362" i="2"/>
  <c r="U362" i="2" s="1"/>
  <c r="S363" i="2"/>
  <c r="Y363" i="2" s="1"/>
  <c r="S364" i="2"/>
  <c r="U364" i="2" s="1"/>
  <c r="S365" i="2"/>
  <c r="U365" i="2" s="1"/>
  <c r="S366" i="2"/>
  <c r="U366" i="2" s="1"/>
  <c r="S367" i="2"/>
  <c r="U367" i="2" s="1"/>
  <c r="S368" i="2"/>
  <c r="Y368" i="2" s="1"/>
  <c r="S369" i="2"/>
  <c r="Y369" i="2" s="1"/>
  <c r="S370" i="2"/>
  <c r="Y370" i="2" s="1"/>
  <c r="S371" i="2"/>
  <c r="S372" i="2"/>
  <c r="U372" i="2" s="1"/>
  <c r="S373" i="2"/>
  <c r="U373" i="2" s="1"/>
  <c r="S374" i="2"/>
  <c r="U374" i="2" s="1"/>
  <c r="S375" i="2"/>
  <c r="U375" i="2" s="1"/>
  <c r="S376" i="2"/>
  <c r="Y376" i="2" s="1"/>
  <c r="S377" i="2"/>
  <c r="U377" i="2" s="1"/>
  <c r="S378" i="2"/>
  <c r="U378" i="2" s="1"/>
  <c r="S379" i="2"/>
  <c r="U379" i="2" s="1"/>
  <c r="S380" i="2"/>
  <c r="Y380" i="2" s="1"/>
  <c r="S381" i="2"/>
  <c r="U381" i="2" s="1"/>
  <c r="S382" i="2"/>
  <c r="U382" i="2" s="1"/>
  <c r="S383" i="2"/>
  <c r="Y383" i="2" s="1"/>
  <c r="S384" i="2"/>
  <c r="U384" i="2" s="1"/>
  <c r="S385" i="2"/>
  <c r="U385" i="2" s="1"/>
  <c r="S386" i="2"/>
  <c r="U386" i="2" s="1"/>
  <c r="S387" i="2"/>
  <c r="Y387" i="2" s="1"/>
  <c r="S388" i="2"/>
  <c r="Y388" i="2" s="1"/>
  <c r="S389" i="2"/>
  <c r="U389" i="2" s="1"/>
  <c r="S390" i="2"/>
  <c r="U390" i="2" s="1"/>
  <c r="S391" i="2"/>
  <c r="U391" i="2" s="1"/>
  <c r="S392" i="2"/>
  <c r="Y392" i="2" s="1"/>
  <c r="S393" i="2"/>
  <c r="U393" i="2" s="1"/>
  <c r="S394" i="2"/>
  <c r="Y394" i="2" s="1"/>
  <c r="S395" i="2"/>
  <c r="Y395" i="2" s="1"/>
  <c r="S396" i="2"/>
  <c r="U396" i="2" s="1"/>
  <c r="S397" i="2"/>
  <c r="U397" i="2" s="1"/>
  <c r="S398" i="2"/>
  <c r="U398" i="2" s="1"/>
  <c r="S399" i="2"/>
  <c r="U399" i="2" s="1"/>
  <c r="S400" i="2"/>
  <c r="U400" i="2" s="1"/>
  <c r="S401" i="2"/>
  <c r="Y401" i="2" s="1"/>
  <c r="S402" i="2"/>
  <c r="U402" i="2" s="1"/>
  <c r="S403" i="2"/>
  <c r="U403" i="2" s="1"/>
  <c r="S404" i="2"/>
  <c r="Y404" i="2" s="1"/>
  <c r="S405" i="2"/>
  <c r="U405" i="2" s="1"/>
  <c r="S406" i="2"/>
  <c r="U406" i="2" s="1"/>
  <c r="S407" i="2"/>
  <c r="Y407" i="2" s="1"/>
  <c r="S408" i="2"/>
  <c r="U408" i="2" s="1"/>
  <c r="S409" i="2"/>
  <c r="U409" i="2" s="1"/>
  <c r="S410" i="2"/>
  <c r="U410" i="2" s="1"/>
  <c r="S411" i="2"/>
  <c r="U411" i="2" s="1"/>
  <c r="S412" i="2"/>
  <c r="U412" i="2" s="1"/>
  <c r="S413" i="2"/>
  <c r="U413" i="2" s="1"/>
  <c r="S414" i="2"/>
  <c r="U414" i="2" s="1"/>
  <c r="S415" i="2"/>
  <c r="U415" i="2" s="1"/>
  <c r="S416" i="2"/>
  <c r="U416" i="2" s="1"/>
  <c r="S417" i="2"/>
  <c r="U417" i="2" s="1"/>
  <c r="S418" i="2"/>
  <c r="U418" i="2" s="1"/>
  <c r="S419" i="2"/>
  <c r="S420" i="2"/>
  <c r="U420" i="2" s="1"/>
  <c r="S421" i="2"/>
  <c r="U421" i="2" s="1"/>
  <c r="S422" i="2"/>
  <c r="Y422" i="2" s="1"/>
  <c r="S423" i="2"/>
  <c r="Y423" i="2" s="1"/>
  <c r="S424" i="2"/>
  <c r="U424" i="2" s="1"/>
  <c r="S425" i="2"/>
  <c r="Y425" i="2" s="1"/>
  <c r="S426" i="2"/>
  <c r="U426" i="2" s="1"/>
  <c r="S427" i="2"/>
  <c r="U427" i="2" s="1"/>
  <c r="S428" i="2"/>
  <c r="U428" i="2" s="1"/>
  <c r="S429" i="2"/>
  <c r="U429" i="2" s="1"/>
  <c r="S430" i="2"/>
  <c r="Y430" i="2" s="1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U11" i="2"/>
  <c r="U35" i="2"/>
  <c r="U57" i="2"/>
  <c r="U59" i="2"/>
  <c r="U83" i="2"/>
  <c r="U105" i="2"/>
  <c r="U106" i="2"/>
  <c r="U165" i="2"/>
  <c r="U177" i="2"/>
  <c r="U179" i="2"/>
  <c r="U203" i="2"/>
  <c r="U225" i="2"/>
  <c r="U227" i="2"/>
  <c r="U249" i="2"/>
  <c r="U251" i="2"/>
  <c r="U275" i="2"/>
  <c r="U297" i="2"/>
  <c r="U299" i="2"/>
  <c r="U322" i="2"/>
  <c r="U371" i="2"/>
  <c r="U395" i="2"/>
  <c r="U41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Y10" i="2"/>
  <c r="Y11" i="2"/>
  <c r="Y33" i="2"/>
  <c r="Y82" i="2"/>
  <c r="Y83" i="2"/>
  <c r="Y105" i="2"/>
  <c r="Y107" i="2"/>
  <c r="Y131" i="2"/>
  <c r="Y153" i="2"/>
  <c r="Y155" i="2"/>
  <c r="Y179" i="2"/>
  <c r="Y203" i="2"/>
  <c r="Y225" i="2"/>
  <c r="Y226" i="2"/>
  <c r="Y272" i="2"/>
  <c r="Y275" i="2"/>
  <c r="Y297" i="2"/>
  <c r="Y299" i="2"/>
  <c r="Y323" i="2"/>
  <c r="Y345" i="2"/>
  <c r="Y347" i="2"/>
  <c r="Y371" i="2"/>
  <c r="Y417" i="2"/>
  <c r="Y41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Y87" i="2" l="1"/>
  <c r="U423" i="2"/>
  <c r="Y231" i="2"/>
  <c r="U394" i="2"/>
  <c r="U369" i="2"/>
  <c r="U167" i="2"/>
  <c r="U111" i="2"/>
  <c r="Y233" i="2"/>
  <c r="U329" i="2"/>
  <c r="U327" i="2"/>
  <c r="U88" i="2"/>
  <c r="U303" i="2"/>
  <c r="Y46" i="2"/>
  <c r="U65" i="2"/>
  <c r="U296" i="2"/>
  <c r="U305" i="2"/>
  <c r="Y20" i="2"/>
  <c r="U286" i="2"/>
  <c r="Y405" i="2"/>
  <c r="U430" i="2"/>
  <c r="U285" i="2"/>
  <c r="Y399" i="2"/>
  <c r="U425" i="2"/>
  <c r="U279" i="2"/>
  <c r="Y215" i="2"/>
  <c r="Y213" i="2"/>
  <c r="Y136" i="2"/>
  <c r="U401" i="2"/>
  <c r="Y352" i="2"/>
  <c r="Y351" i="2"/>
  <c r="Y113" i="2"/>
  <c r="Y353" i="2"/>
  <c r="Y135" i="2"/>
  <c r="Y357" i="2"/>
  <c r="U232" i="2"/>
  <c r="U209" i="2"/>
  <c r="U39" i="2"/>
  <c r="U207" i="2"/>
  <c r="Y333" i="2"/>
  <c r="Y118" i="2"/>
  <c r="U47" i="2"/>
  <c r="Y334" i="2"/>
  <c r="U45" i="2"/>
  <c r="Y335" i="2"/>
  <c r="Y93" i="2"/>
  <c r="U358" i="2"/>
  <c r="Y95" i="2"/>
  <c r="Y237" i="2"/>
  <c r="Y89" i="2"/>
  <c r="U178" i="2"/>
  <c r="U53" i="2"/>
  <c r="U185" i="2"/>
  <c r="U407" i="2"/>
  <c r="U52" i="2"/>
  <c r="Y173" i="2"/>
  <c r="U287" i="2"/>
  <c r="U171" i="2"/>
  <c r="U51" i="2"/>
  <c r="Y412" i="2"/>
  <c r="U41" i="2"/>
  <c r="Y161" i="2"/>
  <c r="U159" i="2"/>
  <c r="Y172" i="2"/>
  <c r="Y293" i="2"/>
  <c r="Y292" i="2"/>
  <c r="U281" i="2"/>
  <c r="Y411" i="2"/>
  <c r="U160" i="2"/>
  <c r="U363" i="2"/>
  <c r="U250" i="2"/>
  <c r="Y291" i="2"/>
  <c r="U34" i="2"/>
  <c r="Y400" i="2"/>
  <c r="Y154" i="2"/>
  <c r="Y44" i="2"/>
  <c r="U359" i="2"/>
  <c r="U123" i="2"/>
  <c r="Y274" i="2"/>
  <c r="Y141" i="2"/>
  <c r="U239" i="2"/>
  <c r="U117" i="2"/>
  <c r="Y413" i="2"/>
  <c r="U243" i="2"/>
  <c r="U119" i="2"/>
  <c r="Y137" i="2"/>
  <c r="Y273" i="2"/>
  <c r="Y149" i="2"/>
  <c r="Y29" i="2"/>
  <c r="U339" i="2"/>
  <c r="Y393" i="2"/>
  <c r="Y208" i="2"/>
  <c r="Y147" i="2"/>
  <c r="Y28" i="2"/>
  <c r="U214" i="2"/>
  <c r="Y389" i="2"/>
  <c r="Y269" i="2"/>
  <c r="Y143" i="2"/>
  <c r="Y27" i="2"/>
  <c r="Y219" i="2"/>
  <c r="U221" i="2"/>
  <c r="U340" i="2"/>
  <c r="Y263" i="2"/>
  <c r="Y81" i="2"/>
  <c r="U387" i="2"/>
  <c r="U142" i="2"/>
  <c r="Y317" i="2"/>
  <c r="Y75" i="2"/>
  <c r="U383" i="2"/>
  <c r="Y377" i="2"/>
  <c r="Y71" i="2"/>
  <c r="Y99" i="2"/>
  <c r="U341" i="2"/>
  <c r="U101" i="2"/>
  <c r="Y267" i="2"/>
  <c r="Y23" i="2"/>
  <c r="Y201" i="2"/>
  <c r="Y261" i="2"/>
  <c r="Y381" i="2"/>
  <c r="U17" i="2"/>
  <c r="Y255" i="2"/>
  <c r="Y15" i="2"/>
  <c r="U321" i="2"/>
  <c r="Y375" i="2"/>
  <c r="Y129" i="2"/>
  <c r="U257" i="2"/>
  <c r="Y189" i="2"/>
  <c r="Y125" i="2"/>
  <c r="U376" i="2"/>
  <c r="U315" i="2"/>
  <c r="U195" i="2"/>
  <c r="U134" i="2"/>
  <c r="Y21" i="2"/>
  <c r="Y77" i="2"/>
  <c r="Y311" i="2"/>
  <c r="Y190" i="2"/>
  <c r="Y69" i="2"/>
  <c r="U196" i="2"/>
  <c r="Y309" i="2"/>
  <c r="Y245" i="2"/>
  <c r="Y64" i="2"/>
  <c r="U191" i="2"/>
  <c r="U70" i="2"/>
  <c r="Y100" i="2"/>
  <c r="U268" i="2"/>
  <c r="Y382" i="2"/>
  <c r="Y197" i="2"/>
  <c r="U16" i="2"/>
  <c r="Y429" i="2"/>
  <c r="Y365" i="2"/>
  <c r="Y304" i="2"/>
  <c r="Y244" i="2"/>
  <c r="Y183" i="2"/>
  <c r="Y63" i="2"/>
  <c r="Y98" i="2"/>
  <c r="U124" i="2"/>
  <c r="U350" i="2"/>
  <c r="U188" i="2"/>
  <c r="U26" i="2"/>
  <c r="Y344" i="2"/>
  <c r="Y332" i="2"/>
  <c r="Y386" i="2"/>
  <c r="Y248" i="2"/>
  <c r="Y236" i="2"/>
  <c r="Y194" i="2"/>
  <c r="Y182" i="2"/>
  <c r="Y140" i="2"/>
  <c r="Y128" i="2"/>
  <c r="Y86" i="2"/>
  <c r="Y74" i="2"/>
  <c r="Y32" i="2"/>
  <c r="U404" i="2"/>
  <c r="U242" i="2"/>
  <c r="U80" i="2"/>
  <c r="Y410" i="2"/>
  <c r="Y398" i="2"/>
  <c r="Y314" i="2"/>
  <c r="Y302" i="2"/>
  <c r="Y260" i="2"/>
  <c r="Y206" i="2"/>
  <c r="Y152" i="2"/>
  <c r="Y331" i="2"/>
  <c r="U392" i="2"/>
  <c r="U380" i="2"/>
  <c r="U338" i="2"/>
  <c r="U326" i="2"/>
  <c r="U284" i="2"/>
  <c r="U230" i="2"/>
  <c r="U218" i="2"/>
  <c r="U176" i="2"/>
  <c r="U164" i="2"/>
  <c r="U122" i="2"/>
  <c r="U110" i="2"/>
  <c r="U68" i="2"/>
  <c r="U56" i="2"/>
  <c r="U14" i="2"/>
  <c r="Y428" i="2"/>
  <c r="Y416" i="2"/>
  <c r="Y374" i="2"/>
  <c r="Y362" i="2"/>
  <c r="Y290" i="2"/>
  <c r="Y278" i="2"/>
  <c r="Y224" i="2"/>
  <c r="Y212" i="2"/>
  <c r="Y170" i="2"/>
  <c r="Y158" i="2"/>
  <c r="Y116" i="2"/>
  <c r="Y104" i="2"/>
  <c r="Y62" i="2"/>
  <c r="Y50" i="2"/>
  <c r="U422" i="2"/>
  <c r="U368" i="2"/>
  <c r="Y320" i="2"/>
  <c r="Y308" i="2"/>
  <c r="Y266" i="2"/>
  <c r="Y254" i="2"/>
  <c r="Y200" i="2"/>
  <c r="Y146" i="2"/>
  <c r="Y92" i="2"/>
  <c r="Y38" i="2"/>
  <c r="U356" i="2"/>
  <c r="Y424" i="2"/>
  <c r="Y406" i="2"/>
  <c r="Y364" i="2"/>
  <c r="Y346" i="2"/>
  <c r="Y295" i="2"/>
  <c r="U388" i="2"/>
  <c r="U370" i="2"/>
  <c r="U316" i="2"/>
  <c r="U298" i="2"/>
  <c r="U280" i="2"/>
  <c r="U262" i="2"/>
  <c r="Y328" i="2"/>
  <c r="Y310" i="2"/>
  <c r="Y259" i="2"/>
  <c r="Y403" i="2"/>
  <c r="Y256" i="2"/>
  <c r="Y238" i="2"/>
  <c r="Y220" i="2"/>
  <c r="Y202" i="2"/>
  <c r="Y184" i="2"/>
  <c r="Y166" i="2"/>
  <c r="Y148" i="2"/>
  <c r="Y130" i="2"/>
  <c r="Y112" i="2"/>
  <c r="Y94" i="2"/>
  <c r="Y76" i="2"/>
  <c r="Y58" i="2"/>
  <c r="Y40" i="2"/>
  <c r="Y22" i="2"/>
  <c r="Y418" i="2"/>
  <c r="Y367" i="2"/>
  <c r="U199" i="2"/>
  <c r="Y199" i="2"/>
  <c r="U169" i="2"/>
  <c r="Y169" i="2"/>
  <c r="U127" i="2"/>
  <c r="Y127" i="2"/>
  <c r="U109" i="2"/>
  <c r="Y109" i="2"/>
  <c r="Y61" i="2"/>
  <c r="U61" i="2"/>
  <c r="Y217" i="2"/>
  <c r="U217" i="2"/>
  <c r="U187" i="2"/>
  <c r="Y187" i="2"/>
  <c r="U163" i="2"/>
  <c r="Y163" i="2"/>
  <c r="Y133" i="2"/>
  <c r="U133" i="2"/>
  <c r="Y115" i="2"/>
  <c r="U115" i="2"/>
  <c r="Y85" i="2"/>
  <c r="U85" i="2"/>
  <c r="Y73" i="2"/>
  <c r="U73" i="2"/>
  <c r="U55" i="2"/>
  <c r="Y55" i="2"/>
  <c r="U31" i="2"/>
  <c r="Y31" i="2"/>
  <c r="Y409" i="2"/>
  <c r="Y373" i="2"/>
  <c r="Y337" i="2"/>
  <c r="Y301" i="2"/>
  <c r="Y265" i="2"/>
  <c r="Y235" i="2"/>
  <c r="U235" i="2"/>
  <c r="Y193" i="2"/>
  <c r="U193" i="2"/>
  <c r="Y145" i="2"/>
  <c r="U145" i="2"/>
  <c r="U97" i="2"/>
  <c r="Y97" i="2"/>
  <c r="Y379" i="2"/>
  <c r="Y343" i="2"/>
  <c r="Y307" i="2"/>
  <c r="Y271" i="2"/>
  <c r="U229" i="2"/>
  <c r="Y229" i="2"/>
  <c r="U205" i="2"/>
  <c r="Y205" i="2"/>
  <c r="Y175" i="2"/>
  <c r="U175" i="2"/>
  <c r="U139" i="2"/>
  <c r="Y139" i="2"/>
  <c r="U121" i="2"/>
  <c r="Y121" i="2"/>
  <c r="U91" i="2"/>
  <c r="Y91" i="2"/>
  <c r="U79" i="2"/>
  <c r="Y79" i="2"/>
  <c r="U67" i="2"/>
  <c r="Y67" i="2"/>
  <c r="U49" i="2"/>
  <c r="Y49" i="2"/>
  <c r="Y43" i="2"/>
  <c r="U43" i="2"/>
  <c r="U37" i="2"/>
  <c r="Y37" i="2"/>
  <c r="Y25" i="2"/>
  <c r="U25" i="2"/>
  <c r="U19" i="2"/>
  <c r="Y19" i="2"/>
  <c r="U13" i="2"/>
  <c r="Y13" i="2"/>
  <c r="Y421" i="2"/>
  <c r="Y385" i="2"/>
  <c r="Y349" i="2"/>
  <c r="Y313" i="2"/>
  <c r="Y277" i="2"/>
  <c r="U223" i="2"/>
  <c r="Y223" i="2"/>
  <c r="Y157" i="2"/>
  <c r="U157" i="2"/>
  <c r="Y283" i="2"/>
  <c r="Y247" i="2"/>
  <c r="U241" i="2"/>
  <c r="Y241" i="2"/>
  <c r="U211" i="2"/>
  <c r="Y211" i="2"/>
  <c r="U181" i="2"/>
  <c r="Y181" i="2"/>
  <c r="U151" i="2"/>
  <c r="Y151" i="2"/>
  <c r="Y103" i="2"/>
  <c r="U103" i="2"/>
  <c r="Y415" i="2"/>
  <c r="Y427" i="2"/>
  <c r="Y391" i="2"/>
  <c r="Y355" i="2"/>
  <c r="Y319" i="2"/>
  <c r="Y397" i="2"/>
  <c r="Y361" i="2"/>
  <c r="Y325" i="2"/>
  <c r="Y289" i="2"/>
  <c r="Y253" i="2"/>
  <c r="Y258" i="2"/>
  <c r="Y252" i="2"/>
  <c r="Y246" i="2"/>
  <c r="Y240" i="2"/>
  <c r="Y234" i="2"/>
  <c r="Y228" i="2"/>
  <c r="Y222" i="2"/>
  <c r="Y216" i="2"/>
  <c r="Y210" i="2"/>
  <c r="Y204" i="2"/>
  <c r="Y198" i="2"/>
  <c r="Y192" i="2"/>
  <c r="Y186" i="2"/>
  <c r="Y180" i="2"/>
  <c r="Y174" i="2"/>
  <c r="Y168" i="2"/>
  <c r="Y162" i="2"/>
  <c r="Y156" i="2"/>
  <c r="Y150" i="2"/>
  <c r="Y144" i="2"/>
  <c r="Y138" i="2"/>
  <c r="Y132" i="2"/>
  <c r="Y126" i="2"/>
  <c r="Y120" i="2"/>
  <c r="Y114" i="2"/>
  <c r="Y108" i="2"/>
  <c r="Y102" i="2"/>
  <c r="Y96" i="2"/>
  <c r="Y90" i="2"/>
  <c r="Y84" i="2"/>
  <c r="Y78" i="2"/>
  <c r="Y72" i="2"/>
  <c r="Y66" i="2"/>
  <c r="Y60" i="2"/>
  <c r="Y54" i="2"/>
  <c r="Y48" i="2"/>
  <c r="Y42" i="2"/>
  <c r="Y36" i="2"/>
  <c r="Y30" i="2"/>
  <c r="Y24" i="2"/>
  <c r="Y18" i="2"/>
  <c r="Y12" i="2"/>
  <c r="Y426" i="2"/>
  <c r="Y414" i="2"/>
  <c r="Y408" i="2"/>
  <c r="Y402" i="2"/>
  <c r="Y396" i="2"/>
  <c r="Y390" i="2"/>
  <c r="Y384" i="2"/>
  <c r="Y378" i="2"/>
  <c r="Y372" i="2"/>
  <c r="Y366" i="2"/>
  <c r="Y360" i="2"/>
  <c r="Y354" i="2"/>
  <c r="Y348" i="2"/>
  <c r="Y342" i="2"/>
  <c r="Y336" i="2"/>
  <c r="Y330" i="2"/>
  <c r="Y324" i="2"/>
  <c r="Y318" i="2"/>
  <c r="Y312" i="2"/>
  <c r="Y306" i="2"/>
  <c r="Y300" i="2"/>
  <c r="Y294" i="2"/>
  <c r="Y288" i="2"/>
  <c r="Y282" i="2"/>
  <c r="Y276" i="2"/>
  <c r="Y270" i="2"/>
  <c r="Y264" i="2"/>
  <c r="Y420" i="2"/>
  <c r="T10" i="4" l="1"/>
  <c r="L10" i="4"/>
  <c r="J10" i="4"/>
  <c r="S10" i="4"/>
  <c r="F10" i="4"/>
  <c r="Y4" i="4" s="1"/>
  <c r="E10" i="4"/>
  <c r="U10" i="4"/>
  <c r="N10" i="4"/>
  <c r="K10" i="4"/>
  <c r="AA9" i="2"/>
  <c r="S9" i="2"/>
  <c r="AC4" i="4" l="1"/>
  <c r="AH3" i="4"/>
  <c r="Y3" i="4"/>
  <c r="O10" i="4"/>
  <c r="AH4" i="4" s="1"/>
  <c r="P10" i="4"/>
  <c r="Q10" i="4" s="1"/>
  <c r="L3" i="4" s="1"/>
  <c r="I2" i="2"/>
  <c r="R10" i="4" l="1"/>
  <c r="V10" i="4" s="1"/>
  <c r="T3" i="4" s="1"/>
  <c r="I10" i="4"/>
  <c r="G10" i="4"/>
  <c r="H10" i="4" s="1"/>
  <c r="H3" i="4" s="1"/>
  <c r="X9" i="2"/>
  <c r="AC3" i="4" l="1"/>
  <c r="M10" i="4"/>
  <c r="J3" i="4" s="1"/>
  <c r="B2" i="13"/>
  <c r="Z9" i="2" l="1"/>
  <c r="AB9" i="2"/>
  <c r="A9" i="2"/>
  <c r="B9" i="2" l="1"/>
  <c r="Y9" i="2"/>
  <c r="T9" i="2"/>
  <c r="V9" i="2"/>
  <c r="U9" i="2" l="1"/>
  <c r="H1" i="2" l="1"/>
  <c r="G61" i="11" l="1"/>
  <c r="F61" i="11"/>
  <c r="A61" i="11"/>
  <c r="G60" i="11"/>
  <c r="F60" i="11"/>
  <c r="A60" i="11"/>
  <c r="G59" i="11"/>
  <c r="F59" i="11"/>
  <c r="A59" i="11"/>
  <c r="G58" i="11"/>
  <c r="F58" i="11"/>
  <c r="A58" i="11"/>
  <c r="G57" i="11"/>
  <c r="F57" i="11"/>
  <c r="A57" i="11"/>
  <c r="G56" i="11"/>
  <c r="F56" i="11"/>
  <c r="A56" i="11"/>
  <c r="G55" i="11"/>
  <c r="F55" i="11"/>
  <c r="A55" i="11"/>
  <c r="G54" i="11"/>
  <c r="F54" i="11"/>
  <c r="A54" i="11"/>
  <c r="G53" i="11"/>
  <c r="F53" i="11"/>
  <c r="A53" i="11"/>
  <c r="G52" i="11"/>
  <c r="F52" i="11"/>
  <c r="A52" i="11"/>
  <c r="G51" i="11"/>
  <c r="F51" i="11"/>
  <c r="A51" i="11"/>
  <c r="G50" i="11"/>
  <c r="F50" i="11"/>
  <c r="A50" i="11"/>
  <c r="G49" i="11"/>
  <c r="F49" i="11"/>
  <c r="A49" i="11"/>
  <c r="G48" i="11"/>
  <c r="F48" i="11"/>
  <c r="A48" i="11"/>
  <c r="G47" i="11"/>
  <c r="F47" i="11"/>
  <c r="A47" i="11"/>
  <c r="G46" i="11"/>
  <c r="F46" i="11"/>
  <c r="A46" i="11"/>
  <c r="G45" i="11"/>
  <c r="F45" i="11"/>
  <c r="A45" i="11"/>
  <c r="G44" i="11"/>
  <c r="F44" i="11"/>
  <c r="A44" i="11"/>
  <c r="G43" i="11"/>
  <c r="F43" i="11"/>
  <c r="A43" i="11"/>
  <c r="G42" i="11"/>
  <c r="F42" i="11"/>
  <c r="A42" i="11"/>
  <c r="G41" i="11"/>
  <c r="F41" i="11"/>
  <c r="A41" i="11"/>
  <c r="G40" i="11"/>
  <c r="F40" i="11"/>
  <c r="A40" i="11"/>
  <c r="G39" i="11"/>
  <c r="F39" i="11"/>
  <c r="A39" i="11"/>
  <c r="G38" i="11"/>
  <c r="F38" i="11"/>
  <c r="A38" i="11"/>
  <c r="G37" i="11"/>
  <c r="F37" i="11"/>
  <c r="A37" i="11"/>
  <c r="G36" i="11"/>
  <c r="F36" i="11"/>
  <c r="A36" i="11"/>
  <c r="G35" i="11"/>
  <c r="F35" i="11"/>
  <c r="A35" i="11"/>
  <c r="G34" i="11"/>
  <c r="F34" i="11"/>
  <c r="A34" i="11"/>
  <c r="G33" i="11"/>
  <c r="F33" i="11"/>
  <c r="A33" i="11"/>
  <c r="G32" i="11"/>
  <c r="F32" i="11"/>
  <c r="A32" i="11"/>
  <c r="G31" i="11"/>
  <c r="F31" i="11"/>
  <c r="A31" i="11"/>
  <c r="G30" i="11"/>
  <c r="F30" i="11"/>
  <c r="A30" i="11"/>
  <c r="G29" i="11"/>
  <c r="F29" i="11"/>
  <c r="A29" i="11"/>
  <c r="G28" i="11"/>
  <c r="F28" i="11"/>
  <c r="A28" i="11"/>
  <c r="G27" i="11"/>
  <c r="F27" i="11"/>
  <c r="A27" i="11"/>
  <c r="G26" i="11"/>
  <c r="F26" i="11"/>
  <c r="A26" i="11"/>
  <c r="G25" i="11"/>
  <c r="F25" i="11"/>
  <c r="A25" i="11"/>
  <c r="G24" i="11"/>
  <c r="F24" i="11"/>
  <c r="A24" i="11"/>
  <c r="G23" i="11"/>
  <c r="F23" i="11"/>
  <c r="A23" i="11"/>
  <c r="G22" i="11"/>
  <c r="F22" i="11"/>
  <c r="A22" i="11"/>
  <c r="G21" i="11"/>
  <c r="F21" i="11"/>
  <c r="A21" i="11"/>
  <c r="G20" i="11"/>
  <c r="F20" i="11"/>
  <c r="A20" i="11"/>
  <c r="G19" i="11"/>
  <c r="F19" i="11"/>
  <c r="A19" i="11"/>
  <c r="G18" i="11"/>
  <c r="F18" i="11"/>
  <c r="A18" i="11"/>
  <c r="G17" i="11"/>
  <c r="F17" i="11"/>
  <c r="A17" i="11"/>
  <c r="G16" i="11"/>
  <c r="F16" i="11"/>
  <c r="A16" i="11"/>
  <c r="G15" i="11"/>
  <c r="F15" i="11"/>
  <c r="A15" i="11"/>
  <c r="G14" i="11"/>
  <c r="F14" i="11"/>
  <c r="A14" i="11"/>
  <c r="G13" i="11"/>
  <c r="F13" i="11"/>
  <c r="A13" i="11"/>
  <c r="G12" i="11"/>
  <c r="F12" i="11"/>
  <c r="A12" i="11"/>
  <c r="G11" i="11"/>
  <c r="F11" i="11"/>
  <c r="A11" i="11"/>
  <c r="G10" i="11"/>
  <c r="F10" i="11"/>
  <c r="A10" i="11"/>
  <c r="G9" i="11"/>
  <c r="F9" i="11"/>
  <c r="A9" i="11"/>
  <c r="G8" i="11"/>
  <c r="F8" i="11"/>
  <c r="A8" i="11"/>
  <c r="G7" i="11"/>
  <c r="F7" i="11"/>
  <c r="A7" i="11"/>
  <c r="G6" i="11"/>
  <c r="F6" i="11"/>
  <c r="A6" i="11"/>
  <c r="G5" i="11"/>
  <c r="F5" i="11"/>
  <c r="A5" i="11"/>
  <c r="G4" i="11"/>
  <c r="F4" i="11"/>
  <c r="A4" i="11"/>
  <c r="G3" i="11"/>
  <c r="F3" i="11"/>
  <c r="A3" i="11"/>
  <c r="G2" i="11"/>
  <c r="F2" i="11"/>
  <c r="A2" i="11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G5" i="4"/>
  <c r="L13" i="9" l="1"/>
  <c r="L6" i="9"/>
  <c r="K31" i="9"/>
  <c r="L28" i="7"/>
  <c r="L27" i="9"/>
  <c r="L61" i="8"/>
  <c r="K33" i="9"/>
  <c r="K23" i="9"/>
  <c r="L32" i="9"/>
  <c r="K42" i="9"/>
  <c r="K17" i="9"/>
  <c r="L16" i="9"/>
  <c r="K15" i="9"/>
  <c r="L39" i="9"/>
  <c r="L36" i="9"/>
  <c r="K3" i="9"/>
  <c r="K59" i="7"/>
  <c r="L29" i="9"/>
  <c r="J29" i="9" s="1"/>
  <c r="K37" i="9"/>
  <c r="K46" i="9"/>
  <c r="K38" i="7"/>
  <c r="L2" i="8"/>
  <c r="K29" i="9"/>
  <c r="K13" i="9"/>
  <c r="L37" i="9"/>
  <c r="L25" i="9"/>
  <c r="L9" i="9"/>
  <c r="L28" i="9"/>
  <c r="L12" i="9"/>
  <c r="K35" i="9"/>
  <c r="L30" i="9"/>
  <c r="L22" i="9"/>
  <c r="L14" i="9"/>
  <c r="L19" i="9"/>
  <c r="K56" i="9"/>
  <c r="K6" i="7"/>
  <c r="L57" i="7"/>
  <c r="L12" i="8"/>
  <c r="K25" i="9"/>
  <c r="K9" i="9"/>
  <c r="L21" i="9"/>
  <c r="L5" i="9"/>
  <c r="L24" i="9"/>
  <c r="L8" i="9"/>
  <c r="K27" i="9"/>
  <c r="K19" i="9"/>
  <c r="K11" i="9"/>
  <c r="K36" i="9"/>
  <c r="K61" i="9"/>
  <c r="L49" i="9"/>
  <c r="J49" i="9" s="1"/>
  <c r="L3" i="11"/>
  <c r="L8" i="7"/>
  <c r="K37" i="7"/>
  <c r="K21" i="9"/>
  <c r="K5" i="9"/>
  <c r="L33" i="9"/>
  <c r="L17" i="9"/>
  <c r="L20" i="9"/>
  <c r="L4" i="9"/>
  <c r="L34" i="9"/>
  <c r="L26" i="9"/>
  <c r="L18" i="9"/>
  <c r="K7" i="9"/>
  <c r="K32" i="9"/>
  <c r="K53" i="9"/>
  <c r="L39" i="7"/>
  <c r="K42" i="7"/>
  <c r="K61" i="7"/>
  <c r="K45" i="7"/>
  <c r="K51" i="7"/>
  <c r="L46" i="7"/>
  <c r="L55" i="7"/>
  <c r="K44" i="7"/>
  <c r="L50" i="7"/>
  <c r="K56" i="7"/>
  <c r="K46" i="7"/>
  <c r="L60" i="7"/>
  <c r="L38" i="7"/>
  <c r="L33" i="7"/>
  <c r="L25" i="7"/>
  <c r="K35" i="7"/>
  <c r="K27" i="7"/>
  <c r="K19" i="7"/>
  <c r="L30" i="7"/>
  <c r="L22" i="7"/>
  <c r="L32" i="7"/>
  <c r="L24" i="7"/>
  <c r="L17" i="7"/>
  <c r="L9" i="7"/>
  <c r="L15" i="7"/>
  <c r="L12" i="7"/>
  <c r="K18" i="7"/>
  <c r="K10" i="7"/>
  <c r="L7" i="7"/>
  <c r="L3" i="7"/>
  <c r="L5" i="7"/>
  <c r="K41" i="7"/>
  <c r="L43" i="7"/>
  <c r="K43" i="7"/>
  <c r="K49" i="7"/>
  <c r="L49" i="7"/>
  <c r="L54" i="7"/>
  <c r="L40" i="7"/>
  <c r="K52" i="7"/>
  <c r="K54" i="7"/>
  <c r="L53" i="7"/>
  <c r="K48" i="7"/>
  <c r="K2" i="7"/>
  <c r="K32" i="7"/>
  <c r="K24" i="7"/>
  <c r="K34" i="7"/>
  <c r="K26" i="7"/>
  <c r="L37" i="7"/>
  <c r="L29" i="7"/>
  <c r="L21" i="7"/>
  <c r="K31" i="7"/>
  <c r="K23" i="7"/>
  <c r="K16" i="7"/>
  <c r="K8" i="7"/>
  <c r="K13" i="7"/>
  <c r="L11" i="7"/>
  <c r="L13" i="7"/>
  <c r="L16" i="7"/>
  <c r="L6" i="7"/>
  <c r="K4" i="7"/>
  <c r="L45" i="7"/>
  <c r="K47" i="7"/>
  <c r="L41" i="7"/>
  <c r="L47" i="7"/>
  <c r="K55" i="7"/>
  <c r="K50" i="7"/>
  <c r="L48" i="7"/>
  <c r="K60" i="7"/>
  <c r="L51" i="7"/>
  <c r="L42" i="7"/>
  <c r="L59" i="7"/>
  <c r="L61" i="7"/>
  <c r="L35" i="7"/>
  <c r="L27" i="7"/>
  <c r="L19" i="7"/>
  <c r="K33" i="7"/>
  <c r="K25" i="7"/>
  <c r="K36" i="7"/>
  <c r="K28" i="7"/>
  <c r="K20" i="7"/>
  <c r="K30" i="7"/>
  <c r="K22" i="7"/>
  <c r="K15" i="7"/>
  <c r="K7" i="7"/>
  <c r="L18" i="7"/>
  <c r="L10" i="7"/>
  <c r="K12" i="7"/>
  <c r="L14" i="7"/>
  <c r="L2" i="7"/>
  <c r="L4" i="7"/>
  <c r="K56" i="8"/>
  <c r="K54" i="8"/>
  <c r="K40" i="8"/>
  <c r="L38" i="8"/>
  <c r="L7" i="8"/>
  <c r="L14" i="8"/>
  <c r="L26" i="8"/>
  <c r="L37" i="8"/>
  <c r="K17" i="8"/>
  <c r="K30" i="8"/>
  <c r="K35" i="8"/>
  <c r="L11" i="8"/>
  <c r="L24" i="8"/>
  <c r="L35" i="8"/>
  <c r="K13" i="8"/>
  <c r="K20" i="8"/>
  <c r="K26" i="8"/>
  <c r="K3" i="8"/>
  <c r="L19" i="8"/>
  <c r="L31" i="8"/>
  <c r="K4" i="8"/>
  <c r="L55" i="8"/>
  <c r="L57" i="8"/>
  <c r="L43" i="8"/>
  <c r="L47" i="8"/>
  <c r="K50" i="8"/>
  <c r="K47" i="8"/>
  <c r="K53" i="8"/>
  <c r="K44" i="8"/>
  <c r="L49" i="8"/>
  <c r="L39" i="8"/>
  <c r="K41" i="8"/>
  <c r="L6" i="8"/>
  <c r="L17" i="8"/>
  <c r="L29" i="8"/>
  <c r="K9" i="8"/>
  <c r="K19" i="8"/>
  <c r="K25" i="8"/>
  <c r="K31" i="8"/>
  <c r="K36" i="8"/>
  <c r="L15" i="8"/>
  <c r="L27" i="8"/>
  <c r="K2" i="8"/>
  <c r="K60" i="8"/>
  <c r="K59" i="8"/>
  <c r="K55" i="8"/>
  <c r="L41" i="8"/>
  <c r="L40" i="8"/>
  <c r="L9" i="8"/>
  <c r="L20" i="8"/>
  <c r="L32" i="8"/>
  <c r="K12" i="8"/>
  <c r="K21" i="8"/>
  <c r="K27" i="8"/>
  <c r="K33" i="8"/>
  <c r="K37" i="8"/>
  <c r="M37" i="8" s="1"/>
  <c r="L18" i="8"/>
  <c r="L30" i="8"/>
  <c r="K8" i="8"/>
  <c r="K18" i="8"/>
  <c r="K22" i="8"/>
  <c r="K32" i="8"/>
  <c r="L5" i="8"/>
  <c r="L13" i="8"/>
  <c r="L25" i="8"/>
  <c r="K10" i="8"/>
  <c r="K6" i="8"/>
  <c r="L42" i="8"/>
  <c r="K57" i="8"/>
  <c r="K38" i="8"/>
  <c r="L23" i="8"/>
  <c r="K28" i="8"/>
  <c r="L33" i="8"/>
  <c r="L4" i="8"/>
  <c r="L22" i="8"/>
  <c r="K5" i="8"/>
  <c r="L51" i="8"/>
  <c r="K51" i="8"/>
  <c r="K42" i="8"/>
  <c r="K39" i="8"/>
  <c r="L34" i="8"/>
  <c r="K34" i="8"/>
  <c r="K11" i="8"/>
  <c r="K24" i="8"/>
  <c r="K7" i="8"/>
  <c r="L28" i="8"/>
  <c r="K61" i="8"/>
  <c r="K46" i="8"/>
  <c r="L3" i="8"/>
  <c r="K14" i="8"/>
  <c r="L8" i="8"/>
  <c r="K16" i="8"/>
  <c r="K29" i="8"/>
  <c r="L10" i="8"/>
  <c r="L36" i="8"/>
  <c r="K4" i="11"/>
  <c r="K11" i="7"/>
  <c r="K14" i="7"/>
  <c r="L23" i="7"/>
  <c r="L36" i="7"/>
  <c r="L44" i="7"/>
  <c r="L56" i="7"/>
  <c r="K53" i="7"/>
  <c r="K43" i="8"/>
  <c r="K5" i="7"/>
  <c r="K9" i="7"/>
  <c r="K21" i="7"/>
  <c r="L31" i="7"/>
  <c r="L26" i="7"/>
  <c r="L58" i="7"/>
  <c r="K58" i="7"/>
  <c r="K39" i="7"/>
  <c r="K15" i="8"/>
  <c r="L21" i="8"/>
  <c r="K48" i="8"/>
  <c r="L7" i="11"/>
  <c r="L29" i="11"/>
  <c r="K17" i="11"/>
  <c r="K5" i="11"/>
  <c r="K33" i="11"/>
  <c r="L40" i="11"/>
  <c r="K51" i="11"/>
  <c r="K35" i="11"/>
  <c r="K19" i="11"/>
  <c r="K3" i="11"/>
  <c r="K58" i="11"/>
  <c r="K54" i="11"/>
  <c r="K26" i="11"/>
  <c r="K12" i="11"/>
  <c r="L19" i="11"/>
  <c r="K32" i="11"/>
  <c r="L39" i="11"/>
  <c r="K48" i="11"/>
  <c r="L55" i="11"/>
  <c r="J55" i="11" s="1"/>
  <c r="L5" i="11"/>
  <c r="L8" i="11"/>
  <c r="L10" i="11"/>
  <c r="L18" i="11"/>
  <c r="L26" i="11"/>
  <c r="K53" i="11"/>
  <c r="L60" i="11"/>
  <c r="J60" i="11" s="1"/>
  <c r="K21" i="11"/>
  <c r="L21" i="11"/>
  <c r="L12" i="11"/>
  <c r="L20" i="11"/>
  <c r="K2" i="11"/>
  <c r="K6" i="11"/>
  <c r="K29" i="11"/>
  <c r="L36" i="11"/>
  <c r="K45" i="11"/>
  <c r="K47" i="11"/>
  <c r="K31" i="11"/>
  <c r="K15" i="11"/>
  <c r="K22" i="11"/>
  <c r="K50" i="11"/>
  <c r="K46" i="11"/>
  <c r="K14" i="11"/>
  <c r="L15" i="11"/>
  <c r="K24" i="11"/>
  <c r="K28" i="11"/>
  <c r="L35" i="11"/>
  <c r="K44" i="11"/>
  <c r="L51" i="11"/>
  <c r="J51" i="11" s="1"/>
  <c r="K60" i="11"/>
  <c r="L30" i="11"/>
  <c r="L38" i="11"/>
  <c r="L46" i="11"/>
  <c r="J46" i="11" s="1"/>
  <c r="L54" i="11"/>
  <c r="J54" i="11" s="1"/>
  <c r="L37" i="11"/>
  <c r="L45" i="11"/>
  <c r="L53" i="11"/>
  <c r="J53" i="11" s="1"/>
  <c r="L61" i="11"/>
  <c r="J61" i="11" s="1"/>
  <c r="K49" i="11"/>
  <c r="L56" i="11"/>
  <c r="J56" i="11" s="1"/>
  <c r="L13" i="11"/>
  <c r="K9" i="11"/>
  <c r="K25" i="11"/>
  <c r="L32" i="11"/>
  <c r="K41" i="11"/>
  <c r="K59" i="11"/>
  <c r="K43" i="11"/>
  <c r="K27" i="11"/>
  <c r="K11" i="11"/>
  <c r="K18" i="11"/>
  <c r="K42" i="11"/>
  <c r="K38" i="11"/>
  <c r="L11" i="11"/>
  <c r="K20" i="11"/>
  <c r="L31" i="11"/>
  <c r="K40" i="11"/>
  <c r="L47" i="11"/>
  <c r="J47" i="11" s="1"/>
  <c r="K56" i="11"/>
  <c r="L2" i="11"/>
  <c r="L6" i="11"/>
  <c r="L9" i="11"/>
  <c r="L14" i="11"/>
  <c r="L22" i="11"/>
  <c r="L52" i="11"/>
  <c r="J52" i="11" s="1"/>
  <c r="K61" i="11"/>
  <c r="L25" i="11"/>
  <c r="L16" i="11"/>
  <c r="K39" i="11"/>
  <c r="K34" i="11"/>
  <c r="L23" i="11"/>
  <c r="L43" i="11"/>
  <c r="L4" i="11"/>
  <c r="L58" i="11"/>
  <c r="J58" i="11" s="1"/>
  <c r="L48" i="11"/>
  <c r="J48" i="11" s="1"/>
  <c r="K13" i="11"/>
  <c r="L24" i="11"/>
  <c r="K37" i="11"/>
  <c r="K23" i="11"/>
  <c r="K30" i="11"/>
  <c r="L27" i="11"/>
  <c r="L34" i="11"/>
  <c r="L41" i="11"/>
  <c r="L17" i="11"/>
  <c r="K8" i="11"/>
  <c r="L44" i="11"/>
  <c r="K7" i="11"/>
  <c r="K52" i="11"/>
  <c r="L42" i="11"/>
  <c r="L49" i="11"/>
  <c r="J49" i="11" s="1"/>
  <c r="K57" i="11"/>
  <c r="L33" i="11"/>
  <c r="K16" i="11"/>
  <c r="L50" i="11"/>
  <c r="J50" i="11" s="1"/>
  <c r="L28" i="11"/>
  <c r="K36" i="11"/>
  <c r="L57" i="11"/>
  <c r="J57" i="11" s="1"/>
  <c r="K55" i="11"/>
  <c r="L59" i="11"/>
  <c r="J59" i="11" s="1"/>
  <c r="K3" i="7"/>
  <c r="K17" i="7"/>
  <c r="K29" i="7"/>
  <c r="L20" i="7"/>
  <c r="L34" i="7"/>
  <c r="L52" i="7"/>
  <c r="K40" i="7"/>
  <c r="K57" i="7"/>
  <c r="L16" i="8"/>
  <c r="K23" i="8"/>
  <c r="L53" i="8"/>
  <c r="K10" i="11"/>
  <c r="L56" i="8"/>
  <c r="K49" i="8"/>
  <c r="K45" i="8"/>
  <c r="K52" i="8"/>
  <c r="L59" i="8"/>
  <c r="L60" i="8"/>
  <c r="L46" i="8"/>
  <c r="L54" i="8"/>
  <c r="L44" i="8"/>
  <c r="K26" i="9"/>
  <c r="L52" i="9"/>
  <c r="J52" i="9" s="1"/>
  <c r="K44" i="9"/>
  <c r="L54" i="9"/>
  <c r="J54" i="9" s="1"/>
  <c r="K54" i="9"/>
  <c r="L43" i="9"/>
  <c r="L59" i="9"/>
  <c r="J59" i="9" s="1"/>
  <c r="K55" i="9"/>
  <c r="K50" i="9"/>
  <c r="L53" i="9"/>
  <c r="K41" i="9"/>
  <c r="K57" i="9"/>
  <c r="K43" i="9"/>
  <c r="K6" i="9"/>
  <c r="K4" i="9"/>
  <c r="K12" i="9"/>
  <c r="K20" i="9"/>
  <c r="L35" i="9"/>
  <c r="K2" i="9"/>
  <c r="K30" i="9"/>
  <c r="K52" i="9"/>
  <c r="L47" i="9"/>
  <c r="J47" i="9" s="1"/>
  <c r="L38" i="9"/>
  <c r="L41" i="9"/>
  <c r="L57" i="9"/>
  <c r="J57" i="9" s="1"/>
  <c r="L48" i="9"/>
  <c r="J48" i="9" s="1"/>
  <c r="K40" i="9"/>
  <c r="L42" i="9"/>
  <c r="L58" i="9"/>
  <c r="J58" i="9" s="1"/>
  <c r="K58" i="9"/>
  <c r="K59" i="9"/>
  <c r="M59" i="9" s="1"/>
  <c r="K14" i="9"/>
  <c r="L7" i="9"/>
  <c r="L15" i="9"/>
  <c r="L23" i="9"/>
  <c r="K28" i="9"/>
  <c r="K10" i="9"/>
  <c r="K34" i="9"/>
  <c r="L60" i="9"/>
  <c r="J60" i="9" s="1"/>
  <c r="K60" i="9"/>
  <c r="L46" i="9"/>
  <c r="K38" i="9"/>
  <c r="K48" i="9"/>
  <c r="L51" i="9"/>
  <c r="J51" i="9" s="1"/>
  <c r="K39" i="9"/>
  <c r="L45" i="9"/>
  <c r="J45" i="9" s="1"/>
  <c r="L61" i="9"/>
  <c r="J61" i="9" s="1"/>
  <c r="K49" i="9"/>
  <c r="K51" i="9"/>
  <c r="K45" i="9"/>
  <c r="K22" i="9"/>
  <c r="K8" i="9"/>
  <c r="K16" i="9"/>
  <c r="K24" i="9"/>
  <c r="L11" i="9"/>
  <c r="L50" i="9"/>
  <c r="J50" i="9" s="1"/>
  <c r="L56" i="9"/>
  <c r="L44" i="9"/>
  <c r="J44" i="9" s="1"/>
  <c r="K58" i="8"/>
  <c r="L48" i="8"/>
  <c r="L52" i="8"/>
  <c r="L50" i="8"/>
  <c r="L45" i="8"/>
  <c r="L58" i="8"/>
  <c r="L10" i="9"/>
  <c r="L2" i="9"/>
  <c r="L31" i="9"/>
  <c r="L3" i="9"/>
  <c r="K47" i="9"/>
  <c r="L40" i="9"/>
  <c r="L55" i="9"/>
  <c r="J55" i="9" s="1"/>
  <c r="K18" i="9"/>
  <c r="M29" i="7" l="1"/>
  <c r="M15" i="8"/>
  <c r="J15" i="8" s="1"/>
  <c r="M49" i="9"/>
  <c r="M37" i="7"/>
  <c r="J38" i="9"/>
  <c r="M30" i="11"/>
  <c r="J43" i="11"/>
  <c r="J22" i="11"/>
  <c r="J31" i="11"/>
  <c r="J30" i="11"/>
  <c r="J36" i="11"/>
  <c r="J29" i="11"/>
  <c r="J33" i="9"/>
  <c r="J22" i="9"/>
  <c r="J40" i="9"/>
  <c r="J43" i="9"/>
  <c r="J28" i="11"/>
  <c r="J23" i="11"/>
  <c r="J14" i="11"/>
  <c r="J39" i="11"/>
  <c r="J30" i="9"/>
  <c r="J36" i="9"/>
  <c r="J23" i="9"/>
  <c r="M24" i="9"/>
  <c r="M39" i="9"/>
  <c r="J29" i="7"/>
  <c r="J44" i="11"/>
  <c r="J26" i="11"/>
  <c r="J18" i="9"/>
  <c r="J39" i="9"/>
  <c r="J24" i="11"/>
  <c r="J32" i="11"/>
  <c r="J45" i="11"/>
  <c r="J18" i="11"/>
  <c r="J19" i="11"/>
  <c r="J26" i="9"/>
  <c r="J27" i="9"/>
  <c r="J31" i="9"/>
  <c r="J33" i="11"/>
  <c r="J17" i="11"/>
  <c r="J16" i="11"/>
  <c r="J37" i="11"/>
  <c r="J35" i="11"/>
  <c r="J20" i="11"/>
  <c r="J40" i="11"/>
  <c r="J34" i="9"/>
  <c r="J28" i="9"/>
  <c r="J16" i="9"/>
  <c r="J41" i="11"/>
  <c r="J37" i="8"/>
  <c r="J24" i="9"/>
  <c r="J15" i="9"/>
  <c r="J25" i="11"/>
  <c r="M26" i="9"/>
  <c r="J34" i="11"/>
  <c r="J13" i="11"/>
  <c r="J21" i="11"/>
  <c r="J20" i="9"/>
  <c r="J19" i="9"/>
  <c r="J25" i="9"/>
  <c r="J41" i="9"/>
  <c r="J42" i="11"/>
  <c r="J27" i="11"/>
  <c r="J38" i="11"/>
  <c r="J15" i="11"/>
  <c r="J37" i="7"/>
  <c r="J17" i="9"/>
  <c r="J21" i="9"/>
  <c r="J14" i="9"/>
  <c r="J37" i="9"/>
  <c r="J32" i="9"/>
  <c r="J13" i="9"/>
  <c r="M14" i="8"/>
  <c r="M18" i="9"/>
  <c r="M27" i="8"/>
  <c r="M19" i="9"/>
  <c r="M36" i="9"/>
  <c r="M14" i="7"/>
  <c r="M30" i="9"/>
  <c r="M32" i="9"/>
  <c r="M19" i="8"/>
  <c r="M38" i="11"/>
  <c r="M20" i="9"/>
  <c r="M55" i="8"/>
  <c r="J55" i="8" s="1"/>
  <c r="M13" i="11"/>
  <c r="M50" i="7"/>
  <c r="M15" i="7"/>
  <c r="M6" i="7"/>
  <c r="M11" i="7"/>
  <c r="M39" i="7"/>
  <c r="M5" i="7"/>
  <c r="M45" i="9"/>
  <c r="M26" i="8"/>
  <c r="M61" i="8"/>
  <c r="J61" i="8" s="1"/>
  <c r="M39" i="8"/>
  <c r="M49" i="8"/>
  <c r="J49" i="8" s="1"/>
  <c r="M23" i="11"/>
  <c r="M27" i="9"/>
  <c r="M36" i="11"/>
  <c r="M53" i="7"/>
  <c r="M7" i="8"/>
  <c r="M2" i="8"/>
  <c r="M28" i="7"/>
  <c r="M59" i="7"/>
  <c r="M9" i="7"/>
  <c r="M12" i="8"/>
  <c r="M22" i="7"/>
  <c r="M29" i="8"/>
  <c r="M57" i="8"/>
  <c r="J57" i="8" s="1"/>
  <c r="M3" i="7"/>
  <c r="M23" i="8"/>
  <c r="M43" i="8"/>
  <c r="M60" i="7"/>
  <c r="M13" i="9"/>
  <c r="M28" i="9"/>
  <c r="M22" i="9"/>
  <c r="M7" i="7"/>
  <c r="J10" i="9"/>
  <c r="M6" i="9"/>
  <c r="J6" i="11"/>
  <c r="J12" i="9"/>
  <c r="J7" i="9"/>
  <c r="J10" i="11"/>
  <c r="M12" i="7"/>
  <c r="J6" i="7"/>
  <c r="J8" i="9"/>
  <c r="M9" i="9"/>
  <c r="M8" i="9"/>
  <c r="J12" i="11"/>
  <c r="J8" i="11"/>
  <c r="J7" i="11"/>
  <c r="J9" i="9"/>
  <c r="M7" i="11"/>
  <c r="J9" i="11"/>
  <c r="J11" i="11"/>
  <c r="J5" i="11"/>
  <c r="J5" i="9"/>
  <c r="J6" i="9"/>
  <c r="M18" i="11"/>
  <c r="M48" i="9"/>
  <c r="M58" i="9"/>
  <c r="M21" i="11"/>
  <c r="M32" i="7"/>
  <c r="M9" i="11"/>
  <c r="M46" i="11"/>
  <c r="M26" i="11"/>
  <c r="M43" i="7"/>
  <c r="M57" i="7"/>
  <c r="M29" i="11"/>
  <c r="M34" i="9"/>
  <c r="M10" i="11"/>
  <c r="M20" i="11"/>
  <c r="M60" i="11"/>
  <c r="M24" i="8"/>
  <c r="M8" i="7"/>
  <c r="M37" i="9"/>
  <c r="M16" i="9"/>
  <c r="M40" i="7"/>
  <c r="M55" i="11"/>
  <c r="M37" i="11"/>
  <c r="M21" i="7"/>
  <c r="M11" i="8"/>
  <c r="M6" i="8"/>
  <c r="M30" i="7"/>
  <c r="M25" i="7"/>
  <c r="M55" i="7"/>
  <c r="M38" i="7"/>
  <c r="M21" i="9"/>
  <c r="M14" i="9"/>
  <c r="M12" i="9"/>
  <c r="M17" i="7"/>
  <c r="M16" i="11"/>
  <c r="M8" i="11"/>
  <c r="M39" i="11"/>
  <c r="M40" i="11"/>
  <c r="M38" i="8"/>
  <c r="M33" i="7"/>
  <c r="M13" i="7"/>
  <c r="M56" i="11"/>
  <c r="M19" i="11"/>
  <c r="M47" i="7"/>
  <c r="M5" i="9"/>
  <c r="M42" i="8"/>
  <c r="M31" i="8"/>
  <c r="M35" i="8"/>
  <c r="M24" i="7"/>
  <c r="M29" i="9"/>
  <c r="J2" i="9"/>
  <c r="M31" i="11"/>
  <c r="M53" i="11"/>
  <c r="M60" i="9"/>
  <c r="M57" i="9"/>
  <c r="J4" i="9"/>
  <c r="M40" i="9"/>
  <c r="M2" i="9"/>
  <c r="M4" i="9"/>
  <c r="M52" i="8"/>
  <c r="J52" i="8" s="1"/>
  <c r="J4" i="11"/>
  <c r="M44" i="11"/>
  <c r="J3" i="11"/>
  <c r="M25" i="9"/>
  <c r="M17" i="9"/>
  <c r="M7" i="9"/>
  <c r="J2" i="11"/>
  <c r="M3" i="11"/>
  <c r="M49" i="7"/>
  <c r="M46" i="7"/>
  <c r="J46" i="7" s="1"/>
  <c r="M33" i="9"/>
  <c r="M11" i="9"/>
  <c r="J11" i="9"/>
  <c r="M38" i="9"/>
  <c r="J53" i="9"/>
  <c r="M53" i="9"/>
  <c r="M47" i="9"/>
  <c r="J56" i="9"/>
  <c r="M56" i="9"/>
  <c r="M51" i="9"/>
  <c r="M46" i="9"/>
  <c r="J46" i="9"/>
  <c r="M10" i="9"/>
  <c r="M52" i="9"/>
  <c r="M43" i="9"/>
  <c r="M50" i="9"/>
  <c r="M54" i="9"/>
  <c r="M15" i="9"/>
  <c r="M34" i="11"/>
  <c r="M61" i="11"/>
  <c r="M11" i="11"/>
  <c r="M41" i="11"/>
  <c r="M24" i="11"/>
  <c r="M50" i="11"/>
  <c r="M47" i="11"/>
  <c r="M6" i="11"/>
  <c r="M32" i="11"/>
  <c r="M54" i="11"/>
  <c r="M35" i="11"/>
  <c r="M5" i="11"/>
  <c r="M48" i="8"/>
  <c r="J48" i="8" s="1"/>
  <c r="M58" i="7"/>
  <c r="M61" i="9"/>
  <c r="M16" i="8"/>
  <c r="M46" i="8"/>
  <c r="J46" i="8" s="1"/>
  <c r="M5" i="8"/>
  <c r="M28" i="8"/>
  <c r="M18" i="8"/>
  <c r="M60" i="8"/>
  <c r="J60" i="8" s="1"/>
  <c r="M36" i="8"/>
  <c r="M9" i="8"/>
  <c r="M41" i="8"/>
  <c r="M53" i="8"/>
  <c r="J53" i="8" s="1"/>
  <c r="M20" i="8"/>
  <c r="M36" i="7"/>
  <c r="M34" i="7"/>
  <c r="M48" i="7"/>
  <c r="M19" i="7"/>
  <c r="M56" i="7"/>
  <c r="M42" i="7"/>
  <c r="J42" i="9"/>
  <c r="M42" i="9"/>
  <c r="M55" i="9"/>
  <c r="M23" i="9"/>
  <c r="M27" i="11"/>
  <c r="M22" i="11"/>
  <c r="M45" i="11"/>
  <c r="M2" i="11"/>
  <c r="M58" i="11"/>
  <c r="M51" i="11"/>
  <c r="M17" i="11"/>
  <c r="M8" i="8"/>
  <c r="M33" i="8"/>
  <c r="M47" i="8"/>
  <c r="J47" i="8" s="1"/>
  <c r="M13" i="8"/>
  <c r="M40" i="8"/>
  <c r="M16" i="7"/>
  <c r="M27" i="7"/>
  <c r="M51" i="7"/>
  <c r="M3" i="9"/>
  <c r="J3" i="9"/>
  <c r="M58" i="8"/>
  <c r="J58" i="8" s="1"/>
  <c r="M41" i="9"/>
  <c r="M44" i="9"/>
  <c r="M31" i="9"/>
  <c r="M52" i="11"/>
  <c r="M42" i="11"/>
  <c r="M43" i="11"/>
  <c r="M25" i="11"/>
  <c r="M49" i="11"/>
  <c r="M14" i="11"/>
  <c r="M15" i="11"/>
  <c r="M48" i="11"/>
  <c r="M12" i="11"/>
  <c r="M34" i="8"/>
  <c r="M51" i="8"/>
  <c r="J51" i="8" s="1"/>
  <c r="M10" i="8"/>
  <c r="M32" i="8"/>
  <c r="M25" i="8"/>
  <c r="M50" i="8"/>
  <c r="J50" i="8" s="1"/>
  <c r="M3" i="8"/>
  <c r="M30" i="8"/>
  <c r="M54" i="8"/>
  <c r="J54" i="8" s="1"/>
  <c r="M20" i="7"/>
  <c r="M4" i="7"/>
  <c r="M23" i="7"/>
  <c r="M54" i="7"/>
  <c r="M41" i="7"/>
  <c r="M10" i="7"/>
  <c r="M35" i="7"/>
  <c r="M44" i="7"/>
  <c r="M45" i="7"/>
  <c r="J35" i="9"/>
  <c r="M35" i="9"/>
  <c r="M45" i="8"/>
  <c r="M57" i="11"/>
  <c r="M59" i="11"/>
  <c r="M28" i="11"/>
  <c r="M33" i="11"/>
  <c r="M4" i="11"/>
  <c r="M22" i="8"/>
  <c r="M21" i="8"/>
  <c r="M59" i="8"/>
  <c r="J59" i="8" s="1"/>
  <c r="M44" i="8"/>
  <c r="M4" i="8"/>
  <c r="M17" i="8"/>
  <c r="M56" i="8"/>
  <c r="J56" i="8" s="1"/>
  <c r="M31" i="7"/>
  <c r="M26" i="7"/>
  <c r="M2" i="7"/>
  <c r="M52" i="7"/>
  <c r="M18" i="7"/>
  <c r="M61" i="7"/>
  <c r="J20" i="7" l="1"/>
  <c r="J17" i="8"/>
  <c r="J35" i="7"/>
  <c r="J27" i="7"/>
  <c r="J20" i="8"/>
  <c r="J45" i="8"/>
  <c r="J25" i="8"/>
  <c r="J13" i="8"/>
  <c r="J31" i="8"/>
  <c r="J38" i="8"/>
  <c r="J43" i="8"/>
  <c r="J42" i="8"/>
  <c r="J38" i="7"/>
  <c r="J32" i="7"/>
  <c r="J34" i="7"/>
  <c r="J25" i="7"/>
  <c r="J7" i="7"/>
  <c r="J7" i="8"/>
  <c r="J21" i="8"/>
  <c r="J23" i="7"/>
  <c r="J32" i="8"/>
  <c r="J19" i="7"/>
  <c r="J36" i="8"/>
  <c r="J23" i="8"/>
  <c r="J28" i="7"/>
  <c r="J39" i="8"/>
  <c r="J15" i="7"/>
  <c r="J26" i="7"/>
  <c r="J22" i="8"/>
  <c r="J33" i="8"/>
  <c r="J40" i="7"/>
  <c r="J3" i="7"/>
  <c r="J14" i="7"/>
  <c r="J26" i="8"/>
  <c r="J30" i="7"/>
  <c r="J45" i="7"/>
  <c r="J44" i="7"/>
  <c r="J28" i="8"/>
  <c r="J29" i="8"/>
  <c r="J30" i="8"/>
  <c r="J16" i="7"/>
  <c r="J12" i="8"/>
  <c r="J31" i="7"/>
  <c r="J18" i="8"/>
  <c r="J34" i="8"/>
  <c r="J36" i="7"/>
  <c r="J17" i="7"/>
  <c r="J43" i="7"/>
  <c r="J22" i="7"/>
  <c r="J5" i="7"/>
  <c r="J27" i="8"/>
  <c r="J24" i="7"/>
  <c r="J13" i="7"/>
  <c r="J24" i="8"/>
  <c r="J39" i="7"/>
  <c r="J18" i="7"/>
  <c r="J44" i="8"/>
  <c r="J41" i="7"/>
  <c r="J40" i="8"/>
  <c r="J42" i="7"/>
  <c r="J41" i="8"/>
  <c r="J16" i="8"/>
  <c r="J35" i="8"/>
  <c r="J33" i="7"/>
  <c r="J21" i="7"/>
  <c r="J9" i="7"/>
  <c r="J11" i="7"/>
  <c r="J19" i="8"/>
  <c r="J14" i="8"/>
  <c r="J2" i="8"/>
  <c r="J12" i="7"/>
  <c r="J10" i="7"/>
  <c r="J10" i="8"/>
  <c r="J8" i="8"/>
  <c r="J6" i="8"/>
  <c r="J8" i="7"/>
  <c r="J5" i="8"/>
  <c r="J9" i="8"/>
  <c r="J11" i="8"/>
  <c r="J4" i="8"/>
  <c r="J4" i="7"/>
  <c r="J3" i="8"/>
  <c r="J2" i="7"/>
  <c r="Y5" i="4" l="1"/>
  <c r="Z3" i="4" s="1"/>
  <c r="AH5" i="4"/>
  <c r="AI3" i="4" s="1"/>
  <c r="AC5" i="4" l="1"/>
  <c r="AD4" i="4" s="1"/>
  <c r="AI4" i="4"/>
  <c r="AI5" i="4" s="1"/>
  <c r="Z4" i="4"/>
  <c r="Z5" i="4" s="1"/>
  <c r="AD3" i="4" l="1"/>
  <c r="AD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Julio Montesinos H.</author>
  </authors>
  <commentList>
    <comment ref="G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Julio Montesinos H.:</t>
        </r>
        <r>
          <rPr>
            <sz val="9"/>
            <color indexed="81"/>
            <rFont val="Tahoma"/>
            <family val="2"/>
          </rPr>
          <t xml:space="preserve">
escribir almacen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LANTILLA RESULTADOS DEL INVENTARIO PASILLO.xlsm!TABLAINV" type="102" refreshedVersion="8" minRefreshableVersion="5">
    <extLst>
      <ext xmlns:x15="http://schemas.microsoft.com/office/spreadsheetml/2010/11/main" uri="{DE250136-89BD-433C-8126-D09CA5730AF9}">
        <x15:connection id="TABLAINV" autoDelete="1">
          <x15:rangePr sourceName="_xlcn.WorksheetConnection_PLANTILLARESULTADOSDELINVENTARIOPASILLO.xlsmTABLAINV1"/>
        </x15:connection>
      </ext>
    </extLst>
  </connection>
</connections>
</file>

<file path=xl/sharedStrings.xml><?xml version="1.0" encoding="utf-8"?>
<sst xmlns="http://schemas.openxmlformats.org/spreadsheetml/2006/main" count="3869" uniqueCount="472">
  <si>
    <t>Z</t>
  </si>
  <si>
    <t>R</t>
  </si>
  <si>
    <t>C</t>
  </si>
  <si>
    <t>N</t>
  </si>
  <si>
    <t>Total general</t>
  </si>
  <si>
    <t>INVENTARIO GENERAL</t>
  </si>
  <si>
    <t>Lado</t>
  </si>
  <si>
    <t>IMPAR</t>
  </si>
  <si>
    <t>Z&amp;R</t>
  </si>
  <si>
    <t>&amp;&amp;7</t>
  </si>
  <si>
    <t>Codificacion</t>
  </si>
  <si>
    <t>Codigo</t>
  </si>
  <si>
    <t>Descripcion</t>
  </si>
  <si>
    <t>Conteo Físico</t>
  </si>
  <si>
    <t>Codigo Estado</t>
  </si>
  <si>
    <t>Factor</t>
  </si>
  <si>
    <t>UM Ubic.</t>
  </si>
  <si>
    <t>Linea</t>
  </si>
  <si>
    <t>Reconteo Dinet</t>
  </si>
  <si>
    <t>Validación Cencosud</t>
  </si>
  <si>
    <t>Diferencia</t>
  </si>
  <si>
    <t>Status 0</t>
  </si>
  <si>
    <t>Status 1</t>
  </si>
  <si>
    <t>PMV</t>
  </si>
  <si>
    <t>VALORIZADO STOCK</t>
  </si>
  <si>
    <t>Valorizado Diferencia</t>
  </si>
  <si>
    <t>Almacen</t>
  </si>
  <si>
    <t>Centro</t>
  </si>
  <si>
    <t>Fecha</t>
  </si>
  <si>
    <t>UBICACIONES</t>
  </si>
  <si>
    <t>ERU %</t>
  </si>
  <si>
    <t>UNIDADES</t>
  </si>
  <si>
    <t>ERI %</t>
  </si>
  <si>
    <t>CODIGO</t>
  </si>
  <si>
    <t>%</t>
  </si>
  <si>
    <t>ERU</t>
  </si>
  <si>
    <t>ERI</t>
  </si>
  <si>
    <t>SKU</t>
  </si>
  <si>
    <t>Sol S/.</t>
  </si>
  <si>
    <t>CUADRADO</t>
  </si>
  <si>
    <t>DIFERENCIAS</t>
  </si>
  <si>
    <t>TOTAL</t>
  </si>
  <si>
    <t>VALORIZADO</t>
  </si>
  <si>
    <t>Gerencia</t>
  </si>
  <si>
    <t>Desc. Zona</t>
  </si>
  <si>
    <t>ZONA</t>
  </si>
  <si>
    <t>RACK</t>
  </si>
  <si>
    <t>FALTANTE</t>
  </si>
  <si>
    <t>SOBRANTE</t>
  </si>
  <si>
    <t>Soles</t>
  </si>
  <si>
    <t>&amp;&amp;</t>
  </si>
  <si>
    <t>Recuento distinto de Ubic.</t>
  </si>
  <si>
    <t>&amp;s</t>
  </si>
  <si>
    <t>&amp;f</t>
  </si>
  <si>
    <t>Total Diferencia</t>
  </si>
  <si>
    <t>Suma de Diferencia</t>
  </si>
  <si>
    <t>Total und Contads.</t>
  </si>
  <si>
    <t>Recuento distinto de Codigo</t>
  </si>
  <si>
    <t>Total Codigo</t>
  </si>
  <si>
    <t>Suma de Valorizado Diferencia</t>
  </si>
  <si>
    <t>Suma de VALORIZADO STOCK</t>
  </si>
  <si>
    <t>Total sol. Contds.</t>
  </si>
  <si>
    <t>Cantidad</t>
  </si>
  <si>
    <t>(en blanco)</t>
  </si>
  <si>
    <t>DI</t>
  </si>
  <si>
    <t>IN</t>
  </si>
  <si>
    <t>SE</t>
  </si>
  <si>
    <t>ALMACEN</t>
  </si>
  <si>
    <t>ESTADO</t>
  </si>
  <si>
    <t>W4W</t>
  </si>
  <si>
    <t>SAP</t>
  </si>
  <si>
    <t>CC</t>
  </si>
  <si>
    <t>CN</t>
  </si>
  <si>
    <t>SI</t>
  </si>
  <si>
    <t>MC</t>
  </si>
  <si>
    <t>MT</t>
  </si>
  <si>
    <t>DE</t>
  </si>
  <si>
    <t>MD</t>
  </si>
  <si>
    <t>DV</t>
  </si>
  <si>
    <t>N.A</t>
  </si>
  <si>
    <t>SO</t>
  </si>
  <si>
    <t>REPORTE DE RESULTADOS POR DEPARTAMENTO</t>
  </si>
  <si>
    <t>Categoria</t>
  </si>
  <si>
    <t>Conteo</t>
  </si>
  <si>
    <t>Diferencia.</t>
  </si>
  <si>
    <t>FECHA:</t>
  </si>
  <si>
    <t>Valor Teorico (S/)</t>
  </si>
  <si>
    <t>Valor Contado (S/)</t>
  </si>
  <si>
    <t>Diferencia Valor (S/)</t>
  </si>
  <si>
    <t xml:space="preserve"> </t>
  </si>
  <si>
    <t>CD09</t>
  </si>
  <si>
    <t>ABARROTES</t>
  </si>
  <si>
    <t>Totales:</t>
  </si>
  <si>
    <t>Cant. CJ</t>
  </si>
  <si>
    <t>Cant. UND</t>
  </si>
  <si>
    <t>MR</t>
  </si>
  <si>
    <t>C01</t>
  </si>
  <si>
    <t>GELATINA UNIVERSAL 130 GR, FRESA</t>
  </si>
  <si>
    <t>C24U</t>
  </si>
  <si>
    <t>UND</t>
  </si>
  <si>
    <t>MRC01</t>
  </si>
  <si>
    <t>FIRMA DINET :________</t>
  </si>
  <si>
    <t>HORA INICIO :_________</t>
  </si>
  <si>
    <t>HORA FIN : _________</t>
  </si>
  <si>
    <t>RESPONSABLE CENCOSUD :______________________</t>
  </si>
  <si>
    <t>RESPONSABLE DINET :_______________________</t>
  </si>
  <si>
    <t>FIRMA CENCOSUD :______</t>
  </si>
  <si>
    <t>CAFÉ MOLIDO TOSTA BLEND PERUANO 200 C&amp;CO</t>
  </si>
  <si>
    <t>C40U</t>
  </si>
  <si>
    <t>FUSILLI VERDURA X 500 GR LA MONTANARA</t>
  </si>
  <si>
    <t>C12B</t>
  </si>
  <si>
    <t>BOL</t>
  </si>
  <si>
    <t>CACAO EN POLVO MARIMIEL DP200G</t>
  </si>
  <si>
    <t>U</t>
  </si>
  <si>
    <t>CHUÑO X 180GR UNIVERSAL</t>
  </si>
  <si>
    <t>C12U</t>
  </si>
  <si>
    <t>ESPUMANTE CHANDON GARDEN SPRITZ 750ML</t>
  </si>
  <si>
    <t>C6U</t>
  </si>
  <si>
    <t>GELATINA DIET FRESA X 19GR UNIVERSAL</t>
  </si>
  <si>
    <t>VINO LUIGI BOSCA DE SANGRE MALBEC 1.5LT</t>
  </si>
  <si>
    <t>WHISKY JAPONÉS IWAI BOT 750ML</t>
  </si>
  <si>
    <t>CAVA JUVE&amp;CAMPS RESERVA FAMILIA 1.5LT</t>
  </si>
  <si>
    <t>SALSA DE FRIJOLES DE SOYA X 15G.(MENSI)</t>
  </si>
  <si>
    <t>P12B</t>
  </si>
  <si>
    <t>PUDIN CHOCOLAT AZUCARAD X100GR UNIVERSAL</t>
  </si>
  <si>
    <t>P24U</t>
  </si>
  <si>
    <t>CUTTLEFISH SNACK X 55GR NONG SHIM</t>
  </si>
  <si>
    <t>AJO EN POLVO X 10G ALIDA CHIA</t>
  </si>
  <si>
    <t>PUDIN DIET X 19GRS UNIVERSAL, CHOCOLATE</t>
  </si>
  <si>
    <t>MEZCLA HELADO STEVIA S/GLUT FRESA X50G</t>
  </si>
  <si>
    <t>MEZCLA HELADO C/STEV S/GLUT CHOCO X50G</t>
  </si>
  <si>
    <t>MAICENA  X 180GR UNIVERSAL</t>
  </si>
  <si>
    <t>GELATINA UNIVERSAL 130 GR, PIÑA</t>
  </si>
  <si>
    <t>VINO ESCORIHUELA GASCON MALBEC X 750 ML</t>
  </si>
  <si>
    <t>C6B</t>
  </si>
  <si>
    <t>BOT</t>
  </si>
  <si>
    <t>SALSA DE OSTION X 60 CC A. CHIANG</t>
  </si>
  <si>
    <t>GOYA SAZONADOR TOTAL 312 GR</t>
  </si>
  <si>
    <t>SIROPE DE CHANCACA 480 GR DULKEN</t>
  </si>
  <si>
    <t>CHAMPAGNE MOET&amp;CHANDON BRUT ROSE 750 ML</t>
  </si>
  <si>
    <t>B</t>
  </si>
  <si>
    <t>GRANOLA HUELLA VERDE 200G , CHOCO</t>
  </si>
  <si>
    <t>C38U</t>
  </si>
  <si>
    <t>VINAGRE BALSAMICO DI MODENA X500ML PONS</t>
  </si>
  <si>
    <t>TAGLIOLINI CARBONARA PASTAROTTI X175GR</t>
  </si>
  <si>
    <t>C8U</t>
  </si>
  <si>
    <t>ALCACHOFA MARINADA X 340 GR VALLE FERTIL</t>
  </si>
  <si>
    <t>CREMA DE CHOCLO DESGRANADO X 418 G.</t>
  </si>
  <si>
    <t>SOPA FRIJOLES NEGROS GOYA 425G</t>
  </si>
  <si>
    <t>FILETE ANCHOAS /ACEITE OLIVA VF 100G</t>
  </si>
  <si>
    <t>PUDIN VAINILLA UNIVERSAL SOBRE X 100GR</t>
  </si>
  <si>
    <t>VINAGRE BLANCO MAXIMA X 250ML</t>
  </si>
  <si>
    <t>GOYA SAZONADOR TOTALCON PIMIENTA 312GR</t>
  </si>
  <si>
    <t>GELATINA UNIVERSAL 130 GR , CEREZA</t>
  </si>
  <si>
    <t>FRIJOLES PINTO GOYA 439G</t>
  </si>
  <si>
    <t>SILLAO MAXIMA X 250ML</t>
  </si>
  <si>
    <t>GOYA MAIZ ENTERO GOLDEN CORN X 432G</t>
  </si>
  <si>
    <t>TORTA IMPERIAL LA VIUDA 200 GR</t>
  </si>
  <si>
    <t>PASTA ANDINA SPAGUETTI AM¿RICAORGX227G</t>
  </si>
  <si>
    <t>ALCAPARRAS EN VINAGRE  S/G 145 GR.HELIOS</t>
  </si>
  <si>
    <t>GOYA SAZON CULANTRO / ACHIOTE 40GR</t>
  </si>
  <si>
    <t>C36U</t>
  </si>
  <si>
    <t>FLAN DIET VAINILLA  X 19GRS UNIVERSAL</t>
  </si>
  <si>
    <t>TURRON DURO CRUNCHY ALMOND 75G ALMENDRO</t>
  </si>
  <si>
    <t>C16U</t>
  </si>
  <si>
    <t>MERMELADA DIET HELIOS S/GLUTE, MELOCOTON</t>
  </si>
  <si>
    <t>GELATINA DIET  X 19GR UNIVERSAL, NARANJA</t>
  </si>
  <si>
    <t>POLVO HORNEAR S GLUTEN X 100G UNIVERSAL</t>
  </si>
  <si>
    <t>FRIJOL CARITA GOYA 439G</t>
  </si>
  <si>
    <t>SPAGHETTI S/GLUTEN MOL.DEL MUNDO 400G.</t>
  </si>
  <si>
    <t>SALSA TAMARINDO X 4 ONZ A.CHIANG</t>
  </si>
  <si>
    <t>DIP HUMMUS 240GR VALLE FERT, TRADICIONAL</t>
  </si>
  <si>
    <t>GELATINA UNIVERSAL 38 GR, PIÑA</t>
  </si>
  <si>
    <t>FLAN  CHOCOLATE 150 GRS. UNIVERSAL</t>
  </si>
  <si>
    <t>MANTEQUILLA DE MANI X230GR SANTA MANIA</t>
  </si>
  <si>
    <t>CALDO DE POLLO 12 CUBOS X 10GR CALNORT</t>
  </si>
  <si>
    <t>MEJILLONES EN ESCABECHE X115GR VIGILANTE</t>
  </si>
  <si>
    <t>C50C</t>
  </si>
  <si>
    <t>CJ</t>
  </si>
  <si>
    <t>VODKA MONTBLANC ORIGINAL LATA 750ML</t>
  </si>
  <si>
    <t>MAZAMORRA PIÑA 150GR UNIVERSAL</t>
  </si>
  <si>
    <t>VINO CANALLAS  750ML</t>
  </si>
  <si>
    <t>HARINA DE MACA X 200 GR MARIMIEL</t>
  </si>
  <si>
    <t>SALSA DE AJOS MAXIMA X 1KG</t>
  </si>
  <si>
    <t>C15U</t>
  </si>
  <si>
    <t>FETTUCCINE AL HUEVO X250GR AGNESI</t>
  </si>
  <si>
    <t>VINO MALLEOLUS BOT750ML</t>
  </si>
  <si>
    <t>CHAMPIÑONES X310GR VALLE FERTIL</t>
  </si>
  <si>
    <t>PIMIENTO MORRON VALLE FERTIL X 360 G.</t>
  </si>
  <si>
    <t>CALDO DE CARNE 12 CUBOS X 10GR CALNORT</t>
  </si>
  <si>
    <t>MEZCLA PARA BROWNIES 313G KATZEL</t>
  </si>
  <si>
    <t>BICARBONATO DE SODIO X 100 G UNIVERSAL</t>
  </si>
  <si>
    <t>SPAGHETTI DE QUINOA REAL L GLU 250 DORAD</t>
  </si>
  <si>
    <t>TURRON DURO LA VIUDA 150 GR</t>
  </si>
  <si>
    <t>SPAGHETTINI #2 X 500 GR AGNESI</t>
  </si>
  <si>
    <t>CALDO DE PESCADO 12 CUBOS X 10GR CALNORT</t>
  </si>
  <si>
    <t>PUDIN DIET X 19GRS UNIVERSAL, VAINILLA</t>
  </si>
  <si>
    <t>FRIJOL DE SOYA X 10GR.(TAU SI) A.CHIANG</t>
  </si>
  <si>
    <t>SALSA POMODORO ARRABBIATA X400 GR AGNESI</t>
  </si>
  <si>
    <t>SALSA BECHAMEL X 50GR CALNORT</t>
  </si>
  <si>
    <t>CREMA DE ESPARRAGOS X 66GR CALNORT</t>
  </si>
  <si>
    <t>LEVADURA INSTANTANEA MAURIPAN 125 GR</t>
  </si>
  <si>
    <t>MEZCL HELADO C/STEV S/GLU VAINILLA  X50G</t>
  </si>
  <si>
    <t>TURRON BLANDO EL ALMENDRO 150GR</t>
  </si>
  <si>
    <t>SOPA DE POLLO CON FIDEOS X 66GR CALNORT</t>
  </si>
  <si>
    <t>MEZCLA KATZEL BROWNIE C/LENTEJAS X656G</t>
  </si>
  <si>
    <t>PAELLERO X12GR CARMENCITA , VALENCIANA</t>
  </si>
  <si>
    <t>GELATINA UNIVERSAL X 5KG , FRESA</t>
  </si>
  <si>
    <t>STICKS D/QUINUA SAL D/MARAS 80G MAMALAMA</t>
  </si>
  <si>
    <t>SALSA  POMODORO  OLIVE X 400 GR AGNESI</t>
  </si>
  <si>
    <t>GELATINA UNIVERSAL X 5KG , PIÑA</t>
  </si>
  <si>
    <t>HARINA DE MAIZ BLANCO PRECOCIDA 1KG PAN</t>
  </si>
  <si>
    <t>C20U</t>
  </si>
  <si>
    <t>COLAPEZ UNIVERSAL X 20 GR</t>
  </si>
  <si>
    <t>Harina de cañihua x 200 gr Marimiel</t>
  </si>
  <si>
    <t>PALITOS DE CHOCO PEPERO, CHOCO COOKIE</t>
  </si>
  <si>
    <t>ARROZ BASMATI X 500GR SCOTTI</t>
  </si>
  <si>
    <t>SILLAU SALSA DE SOYA X 12 OZ A. CHIANG</t>
  </si>
  <si>
    <t>C30U</t>
  </si>
  <si>
    <t>FLAN  VAINILLA  150 GRS.UNIVERSAL</t>
  </si>
  <si>
    <t>ESENCIA SABOR A VAINILLA 100ML UNIVERSAL</t>
  </si>
  <si>
    <t>C48U</t>
  </si>
  <si>
    <t>FONDOS DE ALCACHOFA X 410GR VALLE FERTIL</t>
  </si>
  <si>
    <t>PREMEZCLA KATZEL  KEKE PLATANO SGX466G</t>
  </si>
  <si>
    <t>GELATINA UNIVERSAL X 5KG , NARANJA</t>
  </si>
  <si>
    <t>POTATO 55GR NONG SHIM</t>
  </si>
  <si>
    <t>POLVO DE  HORNEAR X 25 GR. UNIVERSAL</t>
  </si>
  <si>
    <t>BARRA QUIN X5UNID MAMALAMA , MANI</t>
  </si>
  <si>
    <t>STICKS D/QUINUA QUESO CHEDD 80G MAMALAMA</t>
  </si>
  <si>
    <t>SHIN RAMYUN STIR FRY X 131 GR.</t>
  </si>
  <si>
    <t>MEZCLA P/ PANQUEQUES&amp;CREPES 210G KATZEL</t>
  </si>
  <si>
    <t>SALSA POMODORO VERDURA X400 GR AGNESI</t>
  </si>
  <si>
    <t>CEREAL QUINUA MAMALAMA X240G, CACAO M</t>
  </si>
  <si>
    <t>C10U</t>
  </si>
  <si>
    <t>ALFAJOR MAI ALFA PACK X 450GR CASA ALFAJ</t>
  </si>
  <si>
    <t>SILLAU # 01 X 160 CC EL KIKKO</t>
  </si>
  <si>
    <t>C96B</t>
  </si>
  <si>
    <t>AZUC. PULVERIZADA FLEISCHMANN X 1K</t>
  </si>
  <si>
    <t>SILLAU # 04 X 500 CC EL KIKKO</t>
  </si>
  <si>
    <t>C30B</t>
  </si>
  <si>
    <t>CHAPAGETTI SPICY X 137GR</t>
  </si>
  <si>
    <t>SWEET POTATO 55GR NONG SHIM</t>
  </si>
  <si>
    <t>VINO LA LINDA MALBEC 750 ML</t>
  </si>
  <si>
    <t>SIYAU KIKKO 5 LITROS</t>
  </si>
  <si>
    <t>C4U</t>
  </si>
  <si>
    <t>GALLETAS CHOCOCHIP 0%AZUC 185G SANTIVERI</t>
  </si>
  <si>
    <t>C14U</t>
  </si>
  <si>
    <t>BARRA GRAN ANDINX5UN MAMALAMA , AGUAYM</t>
  </si>
  <si>
    <t>SALSA SHOYU KIKKO 350 ML</t>
  </si>
  <si>
    <t>SALSA TAMARINDO X 12 OZ A. CHIANG</t>
  </si>
  <si>
    <t>ARVEJITAS VALLE FERTIL X 425 G.</t>
  </si>
  <si>
    <t>BROWNIE MIX X 625GRS  KATZEL</t>
  </si>
  <si>
    <t>PREMEZCLA KATZEL FUDGE BROWNIE SGX360G</t>
  </si>
  <si>
    <t>FARFALLE # 61 X 500 GR AGNESI</t>
  </si>
  <si>
    <t>SOPA SEAFOOD RAMYUN  X120GR.NONG SHIM</t>
  </si>
  <si>
    <t>SOPA ANSUNG(CARNE)X 125 GR NONG SHIM</t>
  </si>
  <si>
    <t>P20B</t>
  </si>
  <si>
    <t>VINO SANTA JULIA RESERVA CAB SAUV 750 ML</t>
  </si>
  <si>
    <t>ESPARRAGOS BLANCOS X 360 GR VALLE FERTIL</t>
  </si>
  <si>
    <t>VINO NORTON LOTE NEGRO BOT 750ML</t>
  </si>
  <si>
    <t>VEGGIE SOON RAMYUN X 112 GR.</t>
  </si>
  <si>
    <t>TORTIGLIONI # 46 X 500 GR AGNESI</t>
  </si>
  <si>
    <t>CEREZAS ROJAS MARRASQUINO 10OZ PENNAT</t>
  </si>
  <si>
    <t>ESPARRAGOS VERDES X 360 GR VALLE FERTIL</t>
  </si>
  <si>
    <t>REFIELL PAELLA MARIS KIT CARMENCITA 490G</t>
  </si>
  <si>
    <t>C7U</t>
  </si>
  <si>
    <t>DIP HUMMUS 240GR VALLE FERTIL, AJO</t>
  </si>
  <si>
    <t>SPAGHETTI #3 X 500 GR AGNESI</t>
  </si>
  <si>
    <t>SOPA  NEOGURY(MARISCOS PICANT) X120 NONG</t>
  </si>
  <si>
    <t>HARINA DE LUCUMAX 200 GR MARIMIEL</t>
  </si>
  <si>
    <t>AVENA MIX SUPERFOOD X600G HUELLA VERDE</t>
  </si>
  <si>
    <t>BARRA GRAN ANDINX5UN MAMALAMA , CRANB</t>
  </si>
  <si>
    <t>CORAZON DE PALMITO X 280GR VALLE FERTIL</t>
  </si>
  <si>
    <t>SALSA POMODORO BASILICO X400 GR AGNESI</t>
  </si>
  <si>
    <t>SALSA DE PESTO X 185 GR. AGNESI.</t>
  </si>
  <si>
    <t>SIYAU KIKKO 1 LITROS</t>
  </si>
  <si>
    <t>SALSA TERIYAKI ESSENTIAL 295 ML</t>
  </si>
  <si>
    <t>SHIN RAMYUN NON-FRIED X 97 GR.</t>
  </si>
  <si>
    <t>C32U</t>
  </si>
  <si>
    <t>ELICHE # 56 X 500 GR AGNESI</t>
  </si>
  <si>
    <t>SIYAU KIKKO X 6 X 160CC</t>
  </si>
  <si>
    <t>SARDINAS EN AC.AL LIMONX120GR  VIGILANTE</t>
  </si>
  <si>
    <t>C50U</t>
  </si>
  <si>
    <t>AJI CHARAPITA VALLE FERTIL 100G</t>
  </si>
  <si>
    <t>SHIN RAMYUN SPICY CHICKEN X120 GR.</t>
  </si>
  <si>
    <t>ELICHE TRICOLOR X500GR. AGNESI</t>
  </si>
  <si>
    <t>C24B</t>
  </si>
  <si>
    <t>BARRA GRAN ANDINX5UN MAMALAMA , CHOCO</t>
  </si>
  <si>
    <t>CAFÉ MOLIDO TOSTADO S.MARTIN 200G C&amp;CO</t>
  </si>
  <si>
    <t>ACEITE SACHA INCHI QHALIKAY 250ML</t>
  </si>
  <si>
    <t>PEPINILLO ENCURT AME X680GR V FERTIL</t>
  </si>
  <si>
    <t>ALCAPARRAS X 100 GR VALLEFERTIL</t>
  </si>
  <si>
    <t>VINO NORTON COSECHA TARDIA TINTO X 750ML</t>
  </si>
  <si>
    <t>PALITOS DE CHOCO PEPERO , CRUNCH</t>
  </si>
  <si>
    <t>TURRON DOÑA PEPA 650GR CASA, TRADICIONAL</t>
  </si>
  <si>
    <t>VINO NORTON COSECH TARDIA BLANCO X 750ML</t>
  </si>
  <si>
    <t>CHOCLO DULCE DESGRANADO VALLE F X 248 G.</t>
  </si>
  <si>
    <t>SALSA POMODORO BOLOGNESE X 400 GR AGNESI</t>
  </si>
  <si>
    <t>BARRA QUIN X5UNID MAMALAMA , MANI/CHOC</t>
  </si>
  <si>
    <t>MEZCLA PANQUEQUE C/CHOCO S/AZUCAR KATZEL</t>
  </si>
  <si>
    <t>NEOGURI UDON - MILD X 120 GR.</t>
  </si>
  <si>
    <t>CREMA DE CHAMPIÑONES X 66GR CALNORT</t>
  </si>
  <si>
    <t>SHRIMP CRACKER  X 75 GR  NONG SHIM</t>
  </si>
  <si>
    <t>ALFAJOR HAR ALFA PACK X 260GR CASA ALFAJ</t>
  </si>
  <si>
    <t>Harina de Maca Negra x 200 gr Marimiel</t>
  </si>
  <si>
    <t>SPAGHETTI INTEGRAL AGNESI 500G</t>
  </si>
  <si>
    <t>MANTEQ MANI CRUNCHY E VERYDAY X454GR</t>
  </si>
  <si>
    <t>POLENTA INSTANTANEA X 500 GR AGNESI</t>
  </si>
  <si>
    <t>P24B</t>
  </si>
  <si>
    <t>SALSA HONEY MUSTARD HUELLA VERDE 350ML</t>
  </si>
  <si>
    <t>PALITOS DE CHOCO PEPERO, ORIGINAL</t>
  </si>
  <si>
    <t>ARROZ CAÑIHUA Y CHIA X500G HUELLA VERDE</t>
  </si>
  <si>
    <t>CEREAL QUINUA MAMALAMA X240G , CANELA</t>
  </si>
  <si>
    <t>MANJAR ESPECIAL LEITE X 180GR</t>
  </si>
  <si>
    <t>ACEITE DE MAIZ ORIGINAL X40Z MAZOLA</t>
  </si>
  <si>
    <t>MARRASQUINOS PENNAT X 28 ONZ</t>
  </si>
  <si>
    <t>VINO CICCHITTI BLEND MALBEC CAB X 750ML</t>
  </si>
  <si>
    <t>CHAPAGUET.FIDEOS E/SALSA D/SOYA X140 N.S</t>
  </si>
  <si>
    <t>PALITOS DE CHOCO PEPERO, ALMOND</t>
  </si>
  <si>
    <t>HARINA DE ALMENDRAS MARIMIELX200G</t>
  </si>
  <si>
    <t>CEREAL QUINUA MAMALAMA X240G, CHOCO Q</t>
  </si>
  <si>
    <t>VINO VENTISQUERO QUEULAT G.RSV CSA 750ML</t>
  </si>
  <si>
    <t>CERVEZA ESTRELLA DAMM PACK 6 BOT 330 ML</t>
  </si>
  <si>
    <t>VINO LA LINDA CHARDONAY 750 ML</t>
  </si>
  <si>
    <t>VINO MONTGRAS DE VINE RSVA MERLOT 750ML</t>
  </si>
  <si>
    <t>CAVA JUVE&amp;CAMPS RSV FAM BRUT NAT 750ML</t>
  </si>
  <si>
    <t>VINO MALA JUNTA RESERVA 750ML , CFR</t>
  </si>
  <si>
    <t>BRANDY MONTENEGRO VECCHIA ROMAGNA  700ML</t>
  </si>
  <si>
    <t>PISCO OCUCAJE PURO ITA 700ML</t>
  </si>
  <si>
    <t>CHIVAS 12 700ML + CHIVAS 12 700ML</t>
  </si>
  <si>
    <t>#VINO NORTON MALBEC D.O.C X 750ML</t>
  </si>
  <si>
    <t>ESPUMOSO ZONIN ASTI 750 ML</t>
  </si>
  <si>
    <t>PISCO NASCA BOT 750ML, ACHOLADO</t>
  </si>
  <si>
    <t>VINO SOTTANO BARRELS SELECTIONS MALBEC</t>
  </si>
  <si>
    <t>RON COLONIAL BOT 700ML</t>
  </si>
  <si>
    <t>CERVEZA SA FREE DAMM TOST 6BT250ML</t>
  </si>
  <si>
    <t>VINO LUIGI BOSCA RSVA  SAUV BLANC 750ML</t>
  </si>
  <si>
    <t>VINO ZUCCARDI "Q" CABERNET SAUV 750 ML</t>
  </si>
  <si>
    <t>AMARGO MR JIGGER X 75 ML</t>
  </si>
  <si>
    <t>VINO E.GASCON MALBEC/CAB SAUV BOT 750ML</t>
  </si>
  <si>
    <t>GIN NORDES 700ML</t>
  </si>
  <si>
    <t>VINO BICICLETA RSV SAUVIGNON BLANC 750ML</t>
  </si>
  <si>
    <t>VINO SANTA JULIA MALBEC X 750ML</t>
  </si>
  <si>
    <t>PISCO OCUCAJE ACHOLADO X 4 L</t>
  </si>
  <si>
    <t>SAMBUCA BUISE 700ML</t>
  </si>
  <si>
    <t>PISCO OCUCAJE HUACO NEGRO QUEBR BT 750ML</t>
  </si>
  <si>
    <t>#COCTEL DE LECHE CREAM LOVE X 750ML+CAJA</t>
  </si>
  <si>
    <t>VINO MATETIC CORRALILLO SAUVIGNON BLANC</t>
  </si>
  <si>
    <t>GIN THE BOTANIST 700 ML</t>
  </si>
  <si>
    <t>VINO EUGENIO BUSTOS CHARDONNAY 750ML</t>
  </si>
  <si>
    <t>VINO 7 COLORES VARIETAL 750ML , CAR</t>
  </si>
  <si>
    <t>VINO 19 CRIMES CALI CAB  750ML</t>
  </si>
  <si>
    <t>PISCO OCUCAJE PURO ACHO 700ML</t>
  </si>
  <si>
    <t>PISCO OCUCAJE PURO QUEBRANTA X700ML</t>
  </si>
  <si>
    <t>PISCO NASCA BOT 750ML, MOSCATEL</t>
  </si>
  <si>
    <t>VODKA MONT BLANC ORIGINAL BOT 750ML</t>
  </si>
  <si>
    <t>VINO FUZION SYRAH-MALBEC 750 ML</t>
  </si>
  <si>
    <t>MAUR.LORCA OPALO MALBEC X 750 ML.</t>
  </si>
  <si>
    <t>PACK 4 CREMAS BURGOS 250ML</t>
  </si>
  <si>
    <t>VODKA MONT BLANC ORIG BT 750+ESTUCH+SHOT</t>
  </si>
  <si>
    <t>PISCO OCUCAJE PURO QUEB 700ML</t>
  </si>
  <si>
    <t>VINO ESCORIHUELA GASCON CAB.SAUV.X750</t>
  </si>
  <si>
    <t>VINO LUIGI BOSCA DOC MALBEC 750 ML</t>
  </si>
  <si>
    <t>VINO ROSE SEMISECO X 750 OCUCAJE</t>
  </si>
  <si>
    <t>MAUR.LORCA FANTASIA MALBEC X 750 ML</t>
  </si>
  <si>
    <t>GIN GREENALLS WILD BERRY 700ML</t>
  </si>
  <si>
    <t>VINO FINCA RESALSO BOT 750ML</t>
  </si>
  <si>
    <t>VERMOUTH ROSSO TOSTI 750ML</t>
  </si>
  <si>
    <t>VINO CARMELO RODERO 9MESES 750ML</t>
  </si>
  <si>
    <t>PISCO OCUCAJE MV ACHOLADO BT 700 ML</t>
  </si>
  <si>
    <t>VINO NORTON RESERVA MALBEC X 750ML</t>
  </si>
  <si>
    <t>VINO OVEJA NEGRA RSV BOT 750, SAUV SY</t>
  </si>
  <si>
    <t>VINO 19 CRIMES 750ML, CALI RED</t>
  </si>
  <si>
    <t>VINO TINTO CICCHITTI  MALBEC X 750ML</t>
  </si>
  <si>
    <t>VINO LA FLOR MALBEC X 750ML</t>
  </si>
  <si>
    <t>GIN CITADELLE 750 ML</t>
  </si>
  <si>
    <t>VINO CICCHITTI CHARDONNAY 750ML</t>
  </si>
  <si>
    <t>VINO LA CELIA RESERVA 750ML, CAB. FRANC</t>
  </si>
  <si>
    <t>VINO OVEJA NEGRA RSVA BOT 750, CH VIO</t>
  </si>
  <si>
    <t>MAUR.LORCA OPALO CABERN SAUVIG X 750</t>
  </si>
  <si>
    <t>VINO CONO SUR RSVA CABERNET BOT 750ML</t>
  </si>
  <si>
    <t>VINO VIÑA VILANO TEMP TERRA INCOG 750ML</t>
  </si>
  <si>
    <t>PISCO OCUCAJE ITALIA  X700ML</t>
  </si>
  <si>
    <t>VINO MALA JUNTA RESERVA 750ML , BLEND</t>
  </si>
  <si>
    <t>VINO ZUCCARDI "Q" CHARDONNAY 750 ML</t>
  </si>
  <si>
    <t>VINO VENTISQUERO RSV CAB.SAUV 750ML</t>
  </si>
  <si>
    <t>VINO E.GASCON PEQ PROD CAB.FRANC 750ML</t>
  </si>
  <si>
    <t>LICOR EXPRESSO MARTINI BOLA 8 BOT 500ML</t>
  </si>
  <si>
    <t>VINO CICCHITTI GRAN RSVA MALBEC X 750ML</t>
  </si>
  <si>
    <t>LUXARDO TRIPLE SEC ORANGE BOT 750 ML</t>
  </si>
  <si>
    <t>LICOR LUXARDO LIMONCELLO LIQUEUR BT750ML</t>
  </si>
  <si>
    <t>VERMOUTH PERLINO BOT 1 L , BLANCO</t>
  </si>
  <si>
    <t>VINO CONO SUR RSVA PINOT NOIR BOT 750ML</t>
  </si>
  <si>
    <t>VINO LA ESCONDIDA RESERVA 750ML , CSA</t>
  </si>
  <si>
    <t>LASAGNE # 87 X 500 GR AGNESI</t>
  </si>
  <si>
    <t>C12C</t>
  </si>
  <si>
    <t>VINO CARLOS SERRES CRIANZA 750ML</t>
  </si>
  <si>
    <t>VINO EUGENIO BUSTOS 750ML, CAB. SAUVI</t>
  </si>
  <si>
    <t>VINO SOTTANO JUDAS</t>
  </si>
  <si>
    <t>VINO SPIER SIGNATURE PINOTAGE 750ML</t>
  </si>
  <si>
    <t>VINO FUZION CHENIN BLANC-CHARDON. X750ML</t>
  </si>
  <si>
    <t>ESPUMANTE TOSTI PROSECCO 750ML</t>
  </si>
  <si>
    <t>CERVEZA DUFF LATA 4P 330ML</t>
  </si>
  <si>
    <t>CHAMPAGNE LOUIS ROEDERER BRUT PREMIER</t>
  </si>
  <si>
    <t>GOMAS LIFE SAVERS FRUTOS ROJOS  91.3G</t>
  </si>
  <si>
    <t>VINO MONTES ALPHA CABERNET SAUV X 750ML</t>
  </si>
  <si>
    <t>BITTER AMARGO CORTESANO X 75 ML</t>
  </si>
  <si>
    <t>GALLETAS DE AVENA X 100 GR.</t>
  </si>
  <si>
    <t>ACEITE OLIVA EXTRA VIRGEN X1LT EL OLIVAR</t>
  </si>
  <si>
    <t>SCHICK INTUITION LEMON BERRY MAQ X1</t>
  </si>
  <si>
    <t>BEBIDA ALMENDRA NATURES HEART 946ML</t>
  </si>
  <si>
    <t>CAFÉ MOLIDO TOSTADO AMAZONAS 200G C&amp;CO</t>
  </si>
  <si>
    <t>MAQ SCHICK INTUITION PIEL SUAVE COC&amp;AL</t>
  </si>
  <si>
    <t>SCOTCH BRITE ESPONJA CELUL CERO RAYx3</t>
  </si>
  <si>
    <t>DESODORANTE DEO PIES CLINICAL X260ML</t>
  </si>
  <si>
    <t>VINO CHIVITE VILLATUERTA CHARDONNAY750ML</t>
  </si>
  <si>
    <t>LIMPIADOR MULTI ECO HOUSE CITRICO 4000ML</t>
  </si>
  <si>
    <t>FOUR LOKO 473ML , SANDIA</t>
  </si>
  <si>
    <t>FOUR LOKO 473ML , BLUE</t>
  </si>
  <si>
    <t>QUITAMANCHA LA OCA CUE/PUÑO RPTO 750 ML</t>
  </si>
  <si>
    <t>VINO MALA JUNTA 750ML , CAB.FRANC</t>
  </si>
  <si>
    <t>SANGRIA VIÑA VIEJA 750ML</t>
  </si>
  <si>
    <t>PACK 2 VINOS TABERNERO ROSE 750ML C/U</t>
  </si>
  <si>
    <t>PACK 2 VINOS TABERNERO G.TINTO 750ML C/U</t>
  </si>
  <si>
    <t>SCHICK XTREME HOMBRE PAGUE 6 LLEVE 8</t>
  </si>
  <si>
    <t>CERVEZA HEINEKEN PK 12 LT 310ML</t>
  </si>
  <si>
    <t>CEREAL CACAO NUTRICO X 200 GR</t>
  </si>
  <si>
    <t>TE NEGRO EARL GREY BIGELOW X 8 SOB</t>
  </si>
  <si>
    <t>BEPANTHEN BEBE 100G</t>
  </si>
  <si>
    <t>LICORES</t>
  </si>
  <si>
    <t>PEDIASURE VAINILLA X 1.6 KG</t>
  </si>
  <si>
    <t>TINTE EXCELLENCE P, RUBIO CENICIENTO 7.1</t>
  </si>
  <si>
    <t>MOLIDOS PIKI DOY PACK X120 G, AJOS</t>
  </si>
  <si>
    <t>VINO MATEUS ROSE X 750ML</t>
  </si>
  <si>
    <t>AC.EXT VIRGEN AJONJOLI FCOX250ML Q'INTI</t>
  </si>
  <si>
    <t>P6U</t>
  </si>
  <si>
    <t>MIEL DULCE NATURA SILVESTRE X 600GR</t>
  </si>
  <si>
    <t>ACEITE DE AJONJOLI X 60CC ALIDA CHIANG</t>
  </si>
  <si>
    <t>SPAGHETTI AL HUEVO X 500 GRS LA MONTANAR</t>
  </si>
  <si>
    <t>QUITAMANCHAS VANISH 3.785L, ROSA</t>
  </si>
  <si>
    <t>BOMBONES DE LA VIUDA 150GR, NEGRO</t>
  </si>
  <si>
    <t>SANGRIA QUEIROLO TETRA PACK  1LT</t>
  </si>
  <si>
    <t>VINO M.DE RISCAL ARIENZO CRIANZA 750ML</t>
  </si>
  <si>
    <t>JABON LIQUIDO BALLERINA 350ML CREMA HUME</t>
  </si>
  <si>
    <t>CANELA CHINA X 5GRS.A.CHIANG</t>
  </si>
  <si>
    <t>MIEL DE ABEJA X 300GR REYNA DE OXAPAMPA</t>
  </si>
  <si>
    <t>ETERNA GUANTE FLEX, TALLA 9</t>
  </si>
  <si>
    <t>CHIA ORGANICA VIDA&amp;CHIA 250GR</t>
  </si>
  <si>
    <t>AEROSOL FRESCURA TROPICAL WONG RPT 250ML</t>
  </si>
  <si>
    <t>ARITOS NUCLEAR X 110GR CEREAL</t>
  </si>
  <si>
    <t>C25U</t>
  </si>
  <si>
    <t>TRATAMIENTO CAP NUTRIBELA POT, NUTRICION</t>
  </si>
  <si>
    <t>DETERGENTE CARICIA 2.1 KG</t>
  </si>
  <si>
    <t>VITA PLUSS TRIGO X 140GR. SAURI</t>
  </si>
  <si>
    <t>QUINUA TRICOLOR ORG VIDA&amp;QUINUAX454GR</t>
  </si>
  <si>
    <t>PAÑO HOME CARE SUPER ABSORBENTE X12</t>
  </si>
  <si>
    <t>C18U</t>
  </si>
  <si>
    <t>BEBIDA FRU+ 400ML , MANGO MARACUYA</t>
  </si>
  <si>
    <t>TINTE IGORA VITAL 7-1 RUB MED CEN</t>
  </si>
  <si>
    <t>SPAGHETTI INTEGRAL X500GR MISURA</t>
  </si>
  <si>
    <t>CAMOTES FRITOS TIYAPUY 142 G</t>
  </si>
  <si>
    <t>TINTE SOFT COLOR KIT 80 RUBCLA</t>
  </si>
  <si>
    <t>GINGER BEER SAN PELLEGRINO 4 UN X 200ML</t>
  </si>
  <si>
    <t>BEBIDA ALMENDRA NATURES HEART 2X 946ML</t>
  </si>
  <si>
    <t>VINO COTE DES ROSES CHARDONNAY 750ML</t>
  </si>
  <si>
    <t>SALSA AJÍ AMARIL C/QUESO CASA VERDE 190G</t>
  </si>
  <si>
    <t>LENTEJA MÁXIMA X 1 KG</t>
  </si>
  <si>
    <t>CREMA CHANTILLY X 380GR FLEISCHMANN</t>
  </si>
  <si>
    <t>PAPAS PARTNERS CHIPS 140G, CON SAL</t>
  </si>
  <si>
    <t>MANDIL PARRILLERO JOHNNIE WALKER</t>
  </si>
  <si>
    <t>TAPENADE MIX ACEITUNAS ODS 260G</t>
  </si>
  <si>
    <t>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</si>
</sst>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S/&quot;* #,##0.00_-;\-&quot;S/&quot;* #,##0.00_-;_-&quot;S/&quot;* &quot;-&quot;??_-;_-@_-"/>
    <numFmt numFmtId="165" formatCode="[$-F800]dddd\,\ mmmm\ dd\,\ yyyy"/>
    <numFmt numFmtId="166" formatCode="h:mm:ss;@"/>
    <numFmt numFmtId="167" formatCode="&quot;S/&quot;#,##0.00"/>
    <numFmt numFmtId="168" formatCode="[$-F400]h:mm:ss\ AM/PM"/>
    <numFmt numFmtId="169" formatCode="yyyymmd"/>
  </numFmts>
  <fonts count="6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6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9"/>
      <name val="Calibri"/>
      <family val="2"/>
      <scheme val="minor"/>
    </font>
    <font>
      <u/>
      <sz val="9"/>
      <color rgb="FFFF0000"/>
      <name val="Arial"/>
      <family val="2"/>
    </font>
    <font>
      <sz val="9"/>
      <color theme="0"/>
      <name val="Arial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sz val="9"/>
      <color theme="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9"/>
      <color theme="6" tint="-0.499984740745262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u/>
      <sz val="10"/>
      <name val="Arial"/>
      <family val="2"/>
    </font>
    <font>
      <sz val="10"/>
      <color rgb="FF000000"/>
      <name val="Arial"/>
      <family val="2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b/>
      <u/>
      <sz val="10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9"/>
      <color theme="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9"/>
      <color rgb="FFFF0000"/>
      <name val="Arial"/>
      <family val="2"/>
    </font>
    <font>
      <sz val="9"/>
      <color theme="1"/>
      <name val="Arial"/>
      <family val="2"/>
    </font>
    <font>
      <sz val="9"/>
      <color rgb="FF000000"/>
      <name val="Cambria"/>
      <family val="1"/>
      <scheme val="major"/>
    </font>
  </fonts>
  <fills count="5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4D79B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/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/>
      <top style="thin">
        <color theme="6" tint="-0.49998474074526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/>
      </left>
      <right style="thin">
        <color theme="8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thin">
        <color rgb="FFE26B0A"/>
      </left>
      <right/>
      <top style="thin">
        <color rgb="FFE26B0A"/>
      </top>
      <bottom style="thin">
        <color rgb="FFE26B0A"/>
      </bottom>
      <diagonal/>
    </border>
    <border>
      <left style="thin">
        <color rgb="FFE26B0A"/>
      </left>
      <right style="thin">
        <color rgb="FFE26B0A"/>
      </right>
      <top style="thin">
        <color rgb="FFE26B0A"/>
      </top>
      <bottom style="thin">
        <color rgb="FFE26B0A"/>
      </bottom>
      <diagonal/>
    </border>
    <border>
      <left style="thin">
        <color rgb="FF366092"/>
      </left>
      <right/>
      <top style="thin">
        <color rgb="FF366092"/>
      </top>
      <bottom style="thin">
        <color rgb="FF366092"/>
      </bottom>
      <diagonal/>
    </border>
    <border>
      <left style="thin">
        <color rgb="FF366092"/>
      </left>
      <right style="thin">
        <color rgb="FF366092"/>
      </right>
      <top style="thin">
        <color rgb="FF366092"/>
      </top>
      <bottom style="thin">
        <color rgb="FF366092"/>
      </bottom>
      <diagonal/>
    </border>
    <border>
      <left style="thin">
        <color rgb="FF4F6228"/>
      </left>
      <right/>
      <top style="thin">
        <color rgb="FF4F6228"/>
      </top>
      <bottom style="thin">
        <color rgb="FF4F6228"/>
      </bottom>
      <diagonal/>
    </border>
    <border>
      <left style="thin">
        <color rgb="FF4F6228"/>
      </left>
      <right style="thin">
        <color rgb="FF4F6228"/>
      </right>
      <top style="thin">
        <color rgb="FF4F6228"/>
      </top>
      <bottom style="thin">
        <color rgb="FF4F6228"/>
      </bottom>
      <diagonal/>
    </border>
    <border>
      <left style="thin">
        <color rgb="FF4BACC6"/>
      </left>
      <right style="thin">
        <color rgb="FF4BACC6"/>
      </right>
      <top style="thin">
        <color rgb="FF4BACC6"/>
      </top>
      <bottom style="thin">
        <color rgb="FF4BACC6"/>
      </bottom>
      <diagonal/>
    </border>
  </borders>
  <cellStyleXfs count="11384">
    <xf numFmtId="0" fontId="0" fillId="0" borderId="0" applyFill="0" applyBorder="0"/>
    <xf numFmtId="9" fontId="1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2" applyNumberFormat="0" applyFill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1" fillId="0" borderId="0" applyNumberFormat="0" applyFill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5" applyNumberFormat="0" applyAlignment="0" applyProtection="0"/>
    <xf numFmtId="0" fontId="26" fillId="9" borderId="6" applyNumberFormat="0" applyAlignment="0" applyProtection="0"/>
    <xf numFmtId="0" fontId="27" fillId="9" borderId="5" applyNumberFormat="0" applyAlignment="0" applyProtection="0"/>
    <xf numFmtId="0" fontId="28" fillId="0" borderId="7" applyNumberFormat="0" applyFill="0" applyAlignment="0" applyProtection="0"/>
    <xf numFmtId="0" fontId="29" fillId="1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0" applyNumberFormat="0" applyFill="0" applyAlignment="0" applyProtection="0"/>
    <xf numFmtId="0" fontId="33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33" fillId="35" borderId="0" applyNumberFormat="0" applyBorder="0" applyAlignment="0" applyProtection="0"/>
    <xf numFmtId="0" fontId="14" fillId="0" borderId="0"/>
    <xf numFmtId="0" fontId="14" fillId="11" borderId="9" applyNumberFormat="0" applyFont="0" applyAlignment="0" applyProtection="0"/>
    <xf numFmtId="0" fontId="13" fillId="0" borderId="0"/>
    <xf numFmtId="0" fontId="13" fillId="11" borderId="9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2" fillId="0" borderId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9" fontId="15" fillId="0" borderId="0" applyFont="0" applyFill="0" applyBorder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0" fontId="11" fillId="0" borderId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5" fillId="0" borderId="0" applyFill="0" applyBorder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15" fillId="0" borderId="0" applyFill="0" applyBorder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7" fillId="0" borderId="0"/>
  </cellStyleXfs>
  <cellXfs count="174">
    <xf numFmtId="0" fontId="0" fillId="0" borderId="0" xfId="0"/>
    <xf numFmtId="0" fontId="38" fillId="0" borderId="0" xfId="0" applyFont="1"/>
    <xf numFmtId="0" fontId="42" fillId="38" borderId="11" xfId="0" applyFont="1" applyFill="1" applyBorder="1" applyAlignment="1">
      <alignment horizontal="center" vertical="center" wrapText="1"/>
    </xf>
    <xf numFmtId="0" fontId="36" fillId="38" borderId="11" xfId="0" applyFont="1" applyFill="1" applyBorder="1" applyAlignment="1">
      <alignment horizontal="center" vertical="center" wrapText="1"/>
    </xf>
    <xf numFmtId="0" fontId="44" fillId="0" borderId="0" xfId="0" applyFont="1"/>
    <xf numFmtId="0" fontId="38" fillId="36" borderId="0" xfId="0" applyFont="1" applyFill="1" applyAlignment="1">
      <alignment horizontal="center"/>
    </xf>
    <xf numFmtId="0" fontId="38" fillId="0" borderId="0" xfId="0" applyFont="1" applyAlignment="1">
      <alignment horizontal="center"/>
    </xf>
    <xf numFmtId="165" fontId="40" fillId="2" borderId="0" xfId="0" applyNumberFormat="1" applyFont="1" applyFill="1" applyAlignment="1">
      <alignment horizontal="center"/>
    </xf>
    <xf numFmtId="14" fontId="38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center"/>
    </xf>
    <xf numFmtId="0" fontId="40" fillId="2" borderId="0" xfId="0" applyFont="1" applyFill="1" applyAlignment="1">
      <alignment horizontal="center"/>
    </xf>
    <xf numFmtId="0" fontId="38" fillId="2" borderId="0" xfId="0" applyFont="1" applyFill="1" applyBorder="1" applyAlignment="1">
      <alignment horizontal="center"/>
    </xf>
    <xf numFmtId="3" fontId="38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/>
    </xf>
    <xf numFmtId="0" fontId="38" fillId="0" borderId="0" xfId="0" applyFont="1" applyAlignment="1">
      <alignment horizontal="center" vertical="center"/>
    </xf>
    <xf numFmtId="0" fontId="38" fillId="36" borderId="0" xfId="0" applyFont="1" applyFill="1" applyAlignment="1">
      <alignment horizontal="center" vertical="center"/>
    </xf>
    <xf numFmtId="0" fontId="0" fillId="0" borderId="0" xfId="0" pivotButton="1"/>
    <xf numFmtId="0" fontId="0" fillId="0" borderId="1" xfId="0" applyBorder="1"/>
    <xf numFmtId="3" fontId="0" fillId="0" borderId="1" xfId="0" applyNumberFormat="1" applyBorder="1"/>
    <xf numFmtId="0" fontId="0" fillId="0" borderId="0" xfId="0" applyBorder="1"/>
    <xf numFmtId="0" fontId="43" fillId="0" borderId="0" xfId="0" applyFont="1" applyFill="1" applyBorder="1" applyAlignment="1">
      <alignment horizontal="center" vertical="center"/>
    </xf>
    <xf numFmtId="0" fontId="0" fillId="41" borderId="0" xfId="0" applyFill="1"/>
    <xf numFmtId="0" fontId="0" fillId="42" borderId="0" xfId="0" applyFill="1"/>
    <xf numFmtId="0" fontId="45" fillId="4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5" fillId="40" borderId="1" xfId="0" applyFont="1" applyFill="1" applyBorder="1" applyAlignment="1">
      <alignment horizontal="center" vertical="center" wrapText="1"/>
    </xf>
    <xf numFmtId="0" fontId="0" fillId="41" borderId="0" xfId="0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3" fontId="0" fillId="0" borderId="1" xfId="0" applyNumberFormat="1" applyBorder="1" applyAlignment="1">
      <alignment horizontal="left" vertical="center"/>
    </xf>
    <xf numFmtId="0" fontId="0" fillId="43" borderId="0" xfId="0" applyFill="1" applyAlignment="1">
      <alignment horizontal="left" vertical="center"/>
    </xf>
    <xf numFmtId="0" fontId="0" fillId="0" borderId="0" xfId="0" pivotButton="1" applyAlignment="1">
      <alignment horizontal="center" vertical="center"/>
    </xf>
    <xf numFmtId="165" fontId="16" fillId="2" borderId="0" xfId="0" applyNumberFormat="1" applyFont="1" applyFill="1"/>
    <xf numFmtId="165" fontId="46" fillId="2" borderId="0" xfId="0" applyNumberFormat="1" applyFont="1" applyFill="1"/>
    <xf numFmtId="165" fontId="16" fillId="2" borderId="0" xfId="0" applyNumberFormat="1" applyFont="1" applyFill="1" applyAlignment="1">
      <alignment horizontal="right"/>
    </xf>
    <xf numFmtId="0" fontId="35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10" fontId="35" fillId="0" borderId="0" xfId="1" applyNumberFormat="1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17" fillId="2" borderId="0" xfId="0" applyFont="1" applyFill="1" applyAlignment="1">
      <alignment horizontal="center"/>
    </xf>
    <xf numFmtId="167" fontId="35" fillId="0" borderId="0" xfId="0" applyNumberFormat="1" applyFont="1" applyAlignment="1">
      <alignment horizontal="center" vertical="center"/>
    </xf>
    <xf numFmtId="167" fontId="0" fillId="0" borderId="1" xfId="0" applyNumberFormat="1" applyBorder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165" fontId="36" fillId="2" borderId="0" xfId="0" applyNumberFormat="1" applyFont="1" applyFill="1" applyBorder="1" applyAlignment="1">
      <alignment vertical="center"/>
    </xf>
    <xf numFmtId="0" fontId="50" fillId="4" borderId="15" xfId="0" applyFont="1" applyFill="1" applyBorder="1" applyAlignment="1">
      <alignment horizontal="center" vertical="center"/>
    </xf>
    <xf numFmtId="0" fontId="51" fillId="37" borderId="21" xfId="0" applyFont="1" applyFill="1" applyBorder="1" applyAlignment="1">
      <alignment horizontal="center" vertical="center"/>
    </xf>
    <xf numFmtId="0" fontId="52" fillId="47" borderId="22" xfId="0" applyFont="1" applyFill="1" applyBorder="1" applyAlignment="1">
      <alignment horizontal="center" vertical="center"/>
    </xf>
    <xf numFmtId="0" fontId="52" fillId="47" borderId="23" xfId="0" applyFont="1" applyFill="1" applyBorder="1" applyAlignment="1">
      <alignment horizontal="center" vertical="center"/>
    </xf>
    <xf numFmtId="0" fontId="48" fillId="3" borderId="24" xfId="0" applyFont="1" applyFill="1" applyBorder="1" applyAlignment="1">
      <alignment horizontal="center" vertical="center"/>
    </xf>
    <xf numFmtId="0" fontId="48" fillId="3" borderId="25" xfId="0" applyFont="1" applyFill="1" applyBorder="1" applyAlignment="1">
      <alignment horizontal="center" vertical="center"/>
    </xf>
    <xf numFmtId="0" fontId="50" fillId="4" borderId="26" xfId="0" applyFont="1" applyFill="1" applyBorder="1" applyAlignment="1">
      <alignment horizontal="center" vertical="center"/>
    </xf>
    <xf numFmtId="0" fontId="51" fillId="37" borderId="27" xfId="0" applyFont="1" applyFill="1" applyBorder="1" applyAlignment="1">
      <alignment horizontal="center" vertical="center"/>
    </xf>
    <xf numFmtId="0" fontId="51" fillId="37" borderId="28" xfId="0" applyFont="1" applyFill="1" applyBorder="1" applyAlignment="1">
      <alignment horizontal="center" vertical="center"/>
    </xf>
    <xf numFmtId="0" fontId="51" fillId="37" borderId="29" xfId="0" applyFont="1" applyFill="1" applyBorder="1" applyAlignment="1">
      <alignment horizontal="center" vertical="center"/>
    </xf>
    <xf numFmtId="0" fontId="49" fillId="44" borderId="30" xfId="0" applyFont="1" applyFill="1" applyBorder="1" applyAlignment="1">
      <alignment horizontal="center" vertical="center"/>
    </xf>
    <xf numFmtId="0" fontId="49" fillId="44" borderId="31" xfId="0" applyFont="1" applyFill="1" applyBorder="1" applyAlignment="1">
      <alignment horizontal="center" vertical="center"/>
    </xf>
    <xf numFmtId="10" fontId="36" fillId="44" borderId="17" xfId="1" applyNumberFormat="1" applyFont="1" applyFill="1" applyBorder="1" applyAlignment="1">
      <alignment horizontal="center" vertical="center"/>
    </xf>
    <xf numFmtId="10" fontId="36" fillId="37" borderId="19" xfId="1" applyNumberFormat="1" applyFont="1" applyFill="1" applyBorder="1" applyAlignment="1">
      <alignment horizontal="center" vertical="center"/>
    </xf>
    <xf numFmtId="10" fontId="48" fillId="3" borderId="20" xfId="0" applyNumberFormat="1" applyFont="1" applyFill="1" applyBorder="1" applyAlignment="1">
      <alignment horizontal="center" vertical="center"/>
    </xf>
    <xf numFmtId="10" fontId="50" fillId="4" borderId="32" xfId="0" applyNumberFormat="1" applyFont="1" applyFill="1" applyBorder="1" applyAlignment="1">
      <alignment horizontal="center" vertical="center"/>
    </xf>
    <xf numFmtId="10" fontId="36" fillId="45" borderId="33" xfId="1" applyNumberFormat="1" applyFont="1" applyFill="1" applyBorder="1" applyAlignment="1">
      <alignment horizontal="center" vertical="center"/>
    </xf>
    <xf numFmtId="10" fontId="36" fillId="46" borderId="34" xfId="1" applyNumberFormat="1" applyFont="1" applyFill="1" applyBorder="1" applyAlignment="1">
      <alignment horizontal="center" vertical="center"/>
    </xf>
    <xf numFmtId="0" fontId="48" fillId="3" borderId="14" xfId="0" applyFont="1" applyFill="1" applyBorder="1" applyAlignment="1">
      <alignment horizontal="center" vertical="center"/>
    </xf>
    <xf numFmtId="0" fontId="49" fillId="44" borderId="16" xfId="0" applyFont="1" applyFill="1" applyBorder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49" fillId="44" borderId="3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5" fillId="40" borderId="40" xfId="0" applyFont="1" applyFill="1" applyBorder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10" fontId="36" fillId="0" borderId="14" xfId="1" applyNumberFormat="1" applyFont="1" applyFill="1" applyBorder="1" applyAlignment="1">
      <alignment horizontal="center" vertical="center"/>
    </xf>
    <xf numFmtId="10" fontId="35" fillId="0" borderId="14" xfId="1" applyNumberFormat="1" applyFont="1" applyBorder="1" applyAlignment="1">
      <alignment horizontal="center" vertical="center"/>
    </xf>
    <xf numFmtId="10" fontId="35" fillId="0" borderId="14" xfId="0" applyNumberFormat="1" applyFont="1" applyBorder="1" applyAlignment="1">
      <alignment horizontal="center" vertical="center"/>
    </xf>
    <xf numFmtId="0" fontId="36" fillId="0" borderId="15" xfId="0" applyFont="1" applyFill="1" applyBorder="1" applyAlignment="1">
      <alignment horizontal="center" vertical="center"/>
    </xf>
    <xf numFmtId="10" fontId="36" fillId="0" borderId="15" xfId="1" applyNumberFormat="1" applyFont="1" applyFill="1" applyBorder="1" applyAlignment="1">
      <alignment horizontal="center" vertical="center"/>
    </xf>
    <xf numFmtId="10" fontId="35" fillId="0" borderId="15" xfId="1" applyNumberFormat="1" applyFont="1" applyBorder="1" applyAlignment="1">
      <alignment horizontal="center" vertical="center"/>
    </xf>
    <xf numFmtId="10" fontId="35" fillId="0" borderId="15" xfId="0" applyNumberFormat="1" applyFont="1" applyBorder="1" applyAlignment="1">
      <alignment horizontal="center" vertical="center"/>
    </xf>
    <xf numFmtId="0" fontId="51" fillId="37" borderId="41" xfId="0" applyFont="1" applyFill="1" applyBorder="1" applyAlignment="1">
      <alignment horizontal="center" vertical="center"/>
    </xf>
    <xf numFmtId="0" fontId="36" fillId="0" borderId="41" xfId="0" applyFont="1" applyFill="1" applyBorder="1" applyAlignment="1">
      <alignment horizontal="center" vertical="center"/>
    </xf>
    <xf numFmtId="10" fontId="36" fillId="0" borderId="41" xfId="1" applyNumberFormat="1" applyFont="1" applyFill="1" applyBorder="1" applyAlignment="1">
      <alignment horizontal="center" vertical="center"/>
    </xf>
    <xf numFmtId="10" fontId="35" fillId="0" borderId="41" xfId="0" applyNumberFormat="1" applyFont="1" applyBorder="1" applyAlignment="1">
      <alignment horizontal="center" vertical="center"/>
    </xf>
    <xf numFmtId="10" fontId="35" fillId="0" borderId="41" xfId="1" applyNumberFormat="1" applyFont="1" applyBorder="1" applyAlignment="1">
      <alignment horizontal="center" vertical="center"/>
    </xf>
    <xf numFmtId="168" fontId="41" fillId="2" borderId="0" xfId="0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42" borderId="0" xfId="0" applyFill="1" applyAlignment="1">
      <alignment horizontal="center" vertical="center"/>
    </xf>
    <xf numFmtId="0" fontId="53" fillId="39" borderId="11" xfId="0" applyFont="1" applyFill="1" applyBorder="1" applyAlignment="1">
      <alignment horizontal="center" vertical="center" wrapText="1"/>
    </xf>
    <xf numFmtId="0" fontId="17" fillId="39" borderId="12" xfId="0" applyFont="1" applyFill="1" applyBorder="1" applyAlignment="1">
      <alignment horizontal="center" vertical="center"/>
    </xf>
    <xf numFmtId="0" fontId="17" fillId="39" borderId="11" xfId="0" applyFont="1" applyFill="1" applyBorder="1" applyAlignment="1">
      <alignment horizontal="center" vertical="center" wrapText="1"/>
    </xf>
    <xf numFmtId="0" fontId="0" fillId="36" borderId="0" xfId="0" applyFill="1" applyBorder="1"/>
    <xf numFmtId="0" fontId="38" fillId="2" borderId="0" xfId="0" applyFont="1" applyFill="1" applyAlignment="1">
      <alignment horizontal="center" vertical="center"/>
    </xf>
    <xf numFmtId="165" fontId="40" fillId="2" borderId="0" xfId="0" applyNumberFormat="1" applyFont="1" applyFill="1" applyAlignment="1">
      <alignment horizontal="left" vertical="center"/>
    </xf>
    <xf numFmtId="14" fontId="38" fillId="2" borderId="0" xfId="0" applyNumberFormat="1" applyFont="1" applyFill="1" applyAlignment="1">
      <alignment horizontal="center" vertical="center"/>
    </xf>
    <xf numFmtId="3" fontId="38" fillId="2" borderId="0" xfId="0" applyNumberFormat="1" applyFont="1" applyFill="1" applyAlignment="1">
      <alignment horizontal="center" vertical="center"/>
    </xf>
    <xf numFmtId="0" fontId="39" fillId="36" borderId="0" xfId="0" applyFont="1" applyFill="1" applyAlignment="1">
      <alignment horizontal="left" vertical="center"/>
    </xf>
    <xf numFmtId="166" fontId="39" fillId="36" borderId="0" xfId="0" applyNumberFormat="1" applyFont="1" applyFill="1" applyBorder="1" applyAlignment="1">
      <alignment horizontal="right" vertical="center"/>
    </xf>
    <xf numFmtId="49" fontId="0" fillId="0" borderId="0" xfId="0" applyNumberFormat="1" applyBorder="1" applyAlignment="1" applyProtection="1">
      <alignment horizontal="center" vertical="center"/>
      <protection locked="0"/>
    </xf>
    <xf numFmtId="169" fontId="0" fillId="0" borderId="0" xfId="0" applyNumberFormat="1" applyBorder="1" applyAlignment="1" applyProtection="1">
      <alignment horizontal="center" vertical="center"/>
      <protection locked="0"/>
    </xf>
    <xf numFmtId="0" fontId="36" fillId="48" borderId="11" xfId="0" applyFont="1" applyFill="1" applyBorder="1" applyAlignment="1">
      <alignment horizontal="center" vertical="center" wrapText="1"/>
    </xf>
    <xf numFmtId="0" fontId="55" fillId="49" borderId="43" xfId="0" applyFont="1" applyFill="1" applyBorder="1" applyAlignment="1">
      <alignment horizontal="center" vertical="center" wrapText="1"/>
    </xf>
    <xf numFmtId="0" fontId="55" fillId="49" borderId="44" xfId="0" applyFont="1" applyFill="1" applyBorder="1" applyAlignment="1">
      <alignment horizontal="center" vertical="center" wrapText="1"/>
    </xf>
    <xf numFmtId="0" fontId="55" fillId="49" borderId="45" xfId="0" applyFont="1" applyFill="1" applyBorder="1" applyAlignment="1">
      <alignment horizontal="center" vertical="center" wrapText="1"/>
    </xf>
    <xf numFmtId="0" fontId="55" fillId="49" borderId="46" xfId="0" applyFont="1" applyFill="1" applyBorder="1" applyAlignment="1">
      <alignment horizontal="center" vertical="center" wrapText="1"/>
    </xf>
    <xf numFmtId="0" fontId="56" fillId="0" borderId="45" xfId="0" applyFont="1" applyBorder="1" applyAlignment="1">
      <alignment horizontal="center" vertical="center"/>
    </xf>
    <xf numFmtId="0" fontId="56" fillId="0" borderId="46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165" fontId="16" fillId="2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52" fillId="47" borderId="47" xfId="0" applyFont="1" applyFill="1" applyBorder="1" applyAlignment="1">
      <alignment horizontal="center" vertical="center"/>
    </xf>
    <xf numFmtId="0" fontId="36" fillId="45" borderId="49" xfId="0" applyFont="1" applyFill="1" applyBorder="1" applyAlignment="1">
      <alignment horizontal="center" vertical="center"/>
    </xf>
    <xf numFmtId="10" fontId="36" fillId="45" borderId="48" xfId="1" applyNumberFormat="1" applyFont="1" applyFill="1" applyBorder="1" applyAlignment="1">
      <alignment horizontal="center" vertical="center"/>
    </xf>
    <xf numFmtId="0" fontId="36" fillId="46" borderId="51" xfId="0" applyFont="1" applyFill="1" applyBorder="1" applyAlignment="1">
      <alignment horizontal="center" vertical="center"/>
    </xf>
    <xf numFmtId="10" fontId="36" fillId="46" borderId="50" xfId="1" applyNumberFormat="1" applyFont="1" applyFill="1" applyBorder="1" applyAlignment="1">
      <alignment horizontal="center" vertical="center"/>
    </xf>
    <xf numFmtId="0" fontId="36" fillId="51" borderId="53" xfId="0" applyFont="1" applyFill="1" applyBorder="1" applyAlignment="1">
      <alignment horizontal="center" vertical="center"/>
    </xf>
    <xf numFmtId="10" fontId="36" fillId="51" borderId="52" xfId="1" applyNumberFormat="1" applyFont="1" applyFill="1" applyBorder="1" applyAlignment="1">
      <alignment horizontal="center" vertical="center"/>
    </xf>
    <xf numFmtId="10" fontId="36" fillId="44" borderId="54" xfId="1" applyNumberFormat="1" applyFont="1" applyFill="1" applyBorder="1" applyAlignment="1">
      <alignment horizontal="center" vertical="center"/>
    </xf>
    <xf numFmtId="169" fontId="0" fillId="0" borderId="0" xfId="0" applyNumberFormat="1"/>
    <xf numFmtId="167" fontId="36" fillId="44" borderId="54" xfId="0" applyNumberFormat="1" applyFont="1" applyFill="1" applyBorder="1" applyAlignment="1">
      <alignment horizontal="center" vertical="center"/>
    </xf>
    <xf numFmtId="0" fontId="40" fillId="2" borderId="0" xfId="0" applyFont="1" applyFill="1" applyBorder="1" applyAlignment="1">
      <alignment horizontal="left" vertical="center"/>
    </xf>
    <xf numFmtId="0" fontId="38" fillId="0" borderId="0" xfId="0" applyFont="1" applyBorder="1"/>
    <xf numFmtId="0" fontId="17" fillId="0" borderId="0" xfId="0" applyFont="1" applyFill="1" applyAlignment="1">
      <alignment horizontal="center"/>
    </xf>
    <xf numFmtId="0" fontId="0" fillId="0" borderId="0" xfId="0" applyFill="1"/>
    <xf numFmtId="1" fontId="17" fillId="0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left" vertical="center"/>
    </xf>
    <xf numFmtId="1" fontId="60" fillId="2" borderId="0" xfId="0" applyNumberFormat="1" applyFont="1" applyFill="1" applyAlignment="1">
      <alignment horizontal="center"/>
    </xf>
    <xf numFmtId="0" fontId="38" fillId="0" borderId="0" xfId="0" applyFont="1" applyAlignment="1">
      <alignment horizontal="left"/>
    </xf>
    <xf numFmtId="0" fontId="40" fillId="2" borderId="0" xfId="0" applyFont="1" applyFill="1" applyAlignment="1">
      <alignment vertical="center"/>
    </xf>
    <xf numFmtId="0" fontId="38" fillId="2" borderId="0" xfId="0" applyFont="1" applyFill="1" applyAlignment="1">
      <alignment horizontal="left" vertical="center"/>
    </xf>
    <xf numFmtId="166" fontId="39" fillId="36" borderId="0" xfId="0" applyNumberFormat="1" applyFont="1" applyFill="1" applyBorder="1" applyAlignment="1">
      <alignment horizontal="left" vertical="center"/>
    </xf>
    <xf numFmtId="4" fontId="61" fillId="0" borderId="0" xfId="0" applyNumberFormat="1" applyFont="1" applyAlignment="1">
      <alignment horizontal="center" vertical="center"/>
    </xf>
    <xf numFmtId="0" fontId="62" fillId="50" borderId="0" xfId="0" applyFont="1" applyFill="1" applyAlignment="1">
      <alignment horizontal="center" vertical="center"/>
    </xf>
    <xf numFmtId="49" fontId="15" fillId="36" borderId="0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pivotButton="1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39" fillId="36" borderId="0" xfId="0" applyFont="1" applyFill="1" applyAlignment="1">
      <alignment horizontal="center" vertical="center"/>
    </xf>
    <xf numFmtId="14" fontId="38" fillId="36" borderId="0" xfId="0" applyNumberFormat="1" applyFont="1" applyFill="1" applyAlignment="1">
      <alignment horizontal="center" vertical="center"/>
    </xf>
    <xf numFmtId="0" fontId="40" fillId="2" borderId="0" xfId="0" applyFont="1" applyFill="1" applyAlignment="1">
      <alignment horizontal="left" vertical="center" indent="5"/>
    </xf>
    <xf numFmtId="0" fontId="38" fillId="2" borderId="0" xfId="0" applyFont="1" applyFill="1" applyBorder="1" applyAlignment="1">
      <alignment horizontal="left" vertical="center" indent="5"/>
    </xf>
    <xf numFmtId="0" fontId="39" fillId="36" borderId="0" xfId="0" applyFont="1" applyFill="1" applyAlignment="1">
      <alignment horizontal="left" vertical="center" indent="5"/>
    </xf>
    <xf numFmtId="0" fontId="40" fillId="2" borderId="0" xfId="0" applyFont="1" applyFill="1" applyAlignment="1">
      <alignment horizontal="left" vertical="center"/>
    </xf>
    <xf numFmtId="165" fontId="46" fillId="2" borderId="0" xfId="0" applyNumberFormat="1" applyFont="1" applyFill="1" applyAlignment="1">
      <alignment horizontal="center" vertical="center"/>
    </xf>
    <xf numFmtId="0" fontId="40" fillId="2" borderId="0" xfId="0" applyFont="1" applyFill="1" applyAlignment="1">
      <alignment horizontal="left" vertical="center" indent="5"/>
    </xf>
    <xf numFmtId="165" fontId="36" fillId="2" borderId="0" xfId="0" applyNumberFormat="1" applyFont="1" applyFill="1" applyBorder="1" applyAlignment="1">
      <alignment horizontal="center" vertical="center"/>
    </xf>
    <xf numFmtId="0" fontId="48" fillId="3" borderId="14" xfId="0" applyFont="1" applyFill="1" applyBorder="1" applyAlignment="1">
      <alignment horizontal="center" vertical="center"/>
    </xf>
    <xf numFmtId="0" fontId="50" fillId="4" borderId="32" xfId="0" applyFont="1" applyFill="1" applyBorder="1" applyAlignment="1">
      <alignment horizontal="center" vertical="center"/>
    </xf>
    <xf numFmtId="0" fontId="50" fillId="4" borderId="37" xfId="0" applyFont="1" applyFill="1" applyBorder="1" applyAlignment="1">
      <alignment horizontal="center" vertical="center"/>
    </xf>
    <xf numFmtId="0" fontId="51" fillId="37" borderId="21" xfId="0" applyFont="1" applyFill="1" applyBorder="1" applyAlignment="1">
      <alignment horizontal="center" vertical="center"/>
    </xf>
    <xf numFmtId="0" fontId="51" fillId="37" borderId="19" xfId="0" applyFont="1" applyFill="1" applyBorder="1" applyAlignment="1">
      <alignment horizontal="center" vertical="center"/>
    </xf>
    <xf numFmtId="0" fontId="51" fillId="37" borderId="38" xfId="0" applyFont="1" applyFill="1" applyBorder="1" applyAlignment="1">
      <alignment horizontal="center" vertical="center"/>
    </xf>
    <xf numFmtId="0" fontId="51" fillId="37" borderId="18" xfId="0" applyFont="1" applyFill="1" applyBorder="1" applyAlignment="1">
      <alignment horizontal="center" vertical="center"/>
    </xf>
    <xf numFmtId="0" fontId="50" fillId="4" borderId="34" xfId="0" applyFont="1" applyFill="1" applyBorder="1" applyAlignment="1">
      <alignment horizontal="center" vertical="center"/>
    </xf>
    <xf numFmtId="0" fontId="48" fillId="3" borderId="20" xfId="0" applyFont="1" applyFill="1" applyBorder="1" applyAlignment="1">
      <alignment horizontal="center" vertical="center"/>
    </xf>
    <xf numFmtId="0" fontId="48" fillId="3" borderId="33" xfId="0" applyFont="1" applyFill="1" applyBorder="1" applyAlignment="1">
      <alignment horizontal="center" vertical="center"/>
    </xf>
    <xf numFmtId="0" fontId="48" fillId="3" borderId="36" xfId="0" applyFont="1" applyFill="1" applyBorder="1" applyAlignment="1">
      <alignment horizontal="center" vertical="center"/>
    </xf>
    <xf numFmtId="0" fontId="49" fillId="44" borderId="31" xfId="0" applyFont="1" applyFill="1" applyBorder="1" applyAlignment="1">
      <alignment horizontal="center" vertical="center"/>
    </xf>
    <xf numFmtId="0" fontId="49" fillId="44" borderId="35" xfId="0" applyFont="1" applyFill="1" applyBorder="1" applyAlignment="1">
      <alignment horizontal="center" vertical="center"/>
    </xf>
    <xf numFmtId="0" fontId="49" fillId="44" borderId="17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63" fillId="0" borderId="0" xfId="0" applyFont="1" applyFill="1" applyBorder="1" applyAlignment="1">
      <alignment horizontal="center" vertical="center"/>
    </xf>
    <xf numFmtId="0" fontId="63" fillId="0" borderId="42" xfId="0" applyFont="1" applyFill="1" applyBorder="1" applyAlignment="1">
      <alignment horizontal="center" vertical="center"/>
    </xf>
    <xf numFmtId="0" fontId="64" fillId="36" borderId="13" xfId="0" applyFont="1" applyFill="1" applyBorder="1" applyAlignment="1">
      <alignment horizontal="center" vertical="center"/>
    </xf>
    <xf numFmtId="0" fontId="38" fillId="36" borderId="13" xfId="0" applyFont="1" applyFill="1" applyBorder="1" applyAlignment="1">
      <alignment horizontal="center" vertical="center"/>
    </xf>
    <xf numFmtId="0" fontId="65" fillId="36" borderId="13" xfId="0" applyFont="1" applyFill="1" applyBorder="1" applyAlignment="1">
      <alignment horizontal="center" vertical="center"/>
    </xf>
    <xf numFmtId="0" fontId="36" fillId="36" borderId="13" xfId="0" applyFont="1" applyFill="1" applyBorder="1" applyAlignment="1">
      <alignment horizontal="center" vertical="center"/>
    </xf>
    <xf numFmtId="0" fontId="35" fillId="36" borderId="13" xfId="0" applyFont="1" applyFill="1" applyBorder="1" applyAlignment="1">
      <alignment horizontal="center" vertical="center"/>
    </xf>
    <xf numFmtId="167" fontId="38" fillId="0" borderId="13" xfId="0" applyNumberFormat="1" applyFont="1" applyBorder="1" applyAlignment="1">
      <alignment horizontal="center" vertical="center"/>
    </xf>
    <xf numFmtId="167" fontId="35" fillId="0" borderId="13" xfId="0" applyNumberFormat="1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14" fontId="35" fillId="0" borderId="13" xfId="0" applyNumberFormat="1" applyFont="1" applyBorder="1" applyAlignment="1">
      <alignment horizontal="center" vertical="center"/>
    </xf>
    <xf numFmtId="0" fontId="63" fillId="0" borderId="0" xfId="0" applyFont="1" applyFill="1" applyAlignment="1">
      <alignment horizontal="center" vertical="center"/>
    </xf>
    <xf numFmtId="0" fontId="39" fillId="36" borderId="13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</cellXfs>
  <cellStyles count="11384">
    <cellStyle name="20% - Énfasis1" xfId="19" builtinId="30" customBuiltin="1"/>
    <cellStyle name="20% - Énfasis1 10" xfId="3825" xr:uid="{00000000-0005-0000-0000-000001000000}"/>
    <cellStyle name="20% - Énfasis1 11" xfId="7603" xr:uid="{00000000-0005-0000-0000-000002000000}"/>
    <cellStyle name="20% - Énfasis1 2" xfId="46" xr:uid="{00000000-0005-0000-0000-000003000000}"/>
    <cellStyle name="20% - Énfasis1 2 10" xfId="7619" xr:uid="{00000000-0005-0000-0000-000004000000}"/>
    <cellStyle name="20% - Énfasis1 2 2" xfId="77" xr:uid="{00000000-0005-0000-0000-000005000000}"/>
    <cellStyle name="20% - Énfasis1 2 2 2" xfId="140" xr:uid="{00000000-0005-0000-0000-000006000000}"/>
    <cellStyle name="20% - Énfasis1 2 2 2 2" xfId="262" xr:uid="{00000000-0005-0000-0000-000007000000}"/>
    <cellStyle name="20% - Énfasis1 2 2 2 2 2" xfId="500" xr:uid="{00000000-0005-0000-0000-000008000000}"/>
    <cellStyle name="20% - Énfasis1 2 2 2 2 2 2" xfId="974" xr:uid="{00000000-0005-0000-0000-000009000000}"/>
    <cellStyle name="20% - Énfasis1 2 2 2 2 2 2 2" xfId="1920" xr:uid="{00000000-0005-0000-0000-00000A000000}"/>
    <cellStyle name="20% - Énfasis1 2 2 2 2 2 2 2 2" xfId="3810" xr:uid="{00000000-0005-0000-0000-00000B000000}"/>
    <cellStyle name="20% - Énfasis1 2 2 2 2 2 2 2 2 2" xfId="7589" xr:uid="{00000000-0005-0000-0000-00000C000000}"/>
    <cellStyle name="20% - Énfasis1 2 2 2 2 2 2 2 2 3" xfId="11365" xr:uid="{00000000-0005-0000-0000-00000D000000}"/>
    <cellStyle name="20% - Énfasis1 2 2 2 2 2 2 2 3" xfId="5701" xr:uid="{00000000-0005-0000-0000-00000E000000}"/>
    <cellStyle name="20% - Énfasis1 2 2 2 2 2 2 2 4" xfId="9477" xr:uid="{00000000-0005-0000-0000-00000F000000}"/>
    <cellStyle name="20% - Énfasis1 2 2 2 2 2 2 3" xfId="2866" xr:uid="{00000000-0005-0000-0000-000010000000}"/>
    <cellStyle name="20% - Énfasis1 2 2 2 2 2 2 3 2" xfId="6645" xr:uid="{00000000-0005-0000-0000-000011000000}"/>
    <cellStyle name="20% - Énfasis1 2 2 2 2 2 2 3 3" xfId="10421" xr:uid="{00000000-0005-0000-0000-000012000000}"/>
    <cellStyle name="20% - Énfasis1 2 2 2 2 2 2 4" xfId="4757" xr:uid="{00000000-0005-0000-0000-000013000000}"/>
    <cellStyle name="20% - Énfasis1 2 2 2 2 2 2 5" xfId="8533" xr:uid="{00000000-0005-0000-0000-000014000000}"/>
    <cellStyle name="20% - Énfasis1 2 2 2 2 2 3" xfId="1448" xr:uid="{00000000-0005-0000-0000-000015000000}"/>
    <cellStyle name="20% - Énfasis1 2 2 2 2 2 3 2" xfId="3338" xr:uid="{00000000-0005-0000-0000-000016000000}"/>
    <cellStyle name="20% - Énfasis1 2 2 2 2 2 3 2 2" xfId="7117" xr:uid="{00000000-0005-0000-0000-000017000000}"/>
    <cellStyle name="20% - Énfasis1 2 2 2 2 2 3 2 3" xfId="10893" xr:uid="{00000000-0005-0000-0000-000018000000}"/>
    <cellStyle name="20% - Énfasis1 2 2 2 2 2 3 3" xfId="5229" xr:uid="{00000000-0005-0000-0000-000019000000}"/>
    <cellStyle name="20% - Énfasis1 2 2 2 2 2 3 4" xfId="9005" xr:uid="{00000000-0005-0000-0000-00001A000000}"/>
    <cellStyle name="20% - Énfasis1 2 2 2 2 2 4" xfId="2394" xr:uid="{00000000-0005-0000-0000-00001B000000}"/>
    <cellStyle name="20% - Énfasis1 2 2 2 2 2 4 2" xfId="6173" xr:uid="{00000000-0005-0000-0000-00001C000000}"/>
    <cellStyle name="20% - Énfasis1 2 2 2 2 2 4 3" xfId="9949" xr:uid="{00000000-0005-0000-0000-00001D000000}"/>
    <cellStyle name="20% - Énfasis1 2 2 2 2 2 5" xfId="4285" xr:uid="{00000000-0005-0000-0000-00001E000000}"/>
    <cellStyle name="20% - Énfasis1 2 2 2 2 2 6" xfId="8061" xr:uid="{00000000-0005-0000-0000-00001F000000}"/>
    <cellStyle name="20% - Énfasis1 2 2 2 2 3" xfId="738" xr:uid="{00000000-0005-0000-0000-000020000000}"/>
    <cellStyle name="20% - Énfasis1 2 2 2 2 3 2" xfId="1684" xr:uid="{00000000-0005-0000-0000-000021000000}"/>
    <cellStyle name="20% - Énfasis1 2 2 2 2 3 2 2" xfId="3574" xr:uid="{00000000-0005-0000-0000-000022000000}"/>
    <cellStyle name="20% - Énfasis1 2 2 2 2 3 2 2 2" xfId="7353" xr:uid="{00000000-0005-0000-0000-000023000000}"/>
    <cellStyle name="20% - Énfasis1 2 2 2 2 3 2 2 3" xfId="11129" xr:uid="{00000000-0005-0000-0000-000024000000}"/>
    <cellStyle name="20% - Énfasis1 2 2 2 2 3 2 3" xfId="5465" xr:uid="{00000000-0005-0000-0000-000025000000}"/>
    <cellStyle name="20% - Énfasis1 2 2 2 2 3 2 4" xfId="9241" xr:uid="{00000000-0005-0000-0000-000026000000}"/>
    <cellStyle name="20% - Énfasis1 2 2 2 2 3 3" xfId="2630" xr:uid="{00000000-0005-0000-0000-000027000000}"/>
    <cellStyle name="20% - Énfasis1 2 2 2 2 3 3 2" xfId="6409" xr:uid="{00000000-0005-0000-0000-000028000000}"/>
    <cellStyle name="20% - Énfasis1 2 2 2 2 3 3 3" xfId="10185" xr:uid="{00000000-0005-0000-0000-000029000000}"/>
    <cellStyle name="20% - Énfasis1 2 2 2 2 3 4" xfId="4521" xr:uid="{00000000-0005-0000-0000-00002A000000}"/>
    <cellStyle name="20% - Énfasis1 2 2 2 2 3 5" xfId="8297" xr:uid="{00000000-0005-0000-0000-00002B000000}"/>
    <cellStyle name="20% - Énfasis1 2 2 2 2 4" xfId="1212" xr:uid="{00000000-0005-0000-0000-00002C000000}"/>
    <cellStyle name="20% - Énfasis1 2 2 2 2 4 2" xfId="3102" xr:uid="{00000000-0005-0000-0000-00002D000000}"/>
    <cellStyle name="20% - Énfasis1 2 2 2 2 4 2 2" xfId="6881" xr:uid="{00000000-0005-0000-0000-00002E000000}"/>
    <cellStyle name="20% - Énfasis1 2 2 2 2 4 2 3" xfId="10657" xr:uid="{00000000-0005-0000-0000-00002F000000}"/>
    <cellStyle name="20% - Énfasis1 2 2 2 2 4 3" xfId="4993" xr:uid="{00000000-0005-0000-0000-000030000000}"/>
    <cellStyle name="20% - Énfasis1 2 2 2 2 4 4" xfId="8769" xr:uid="{00000000-0005-0000-0000-000031000000}"/>
    <cellStyle name="20% - Énfasis1 2 2 2 2 5" xfId="2158" xr:uid="{00000000-0005-0000-0000-000032000000}"/>
    <cellStyle name="20% - Énfasis1 2 2 2 2 5 2" xfId="5937" xr:uid="{00000000-0005-0000-0000-000033000000}"/>
    <cellStyle name="20% - Énfasis1 2 2 2 2 5 3" xfId="9713" xr:uid="{00000000-0005-0000-0000-000034000000}"/>
    <cellStyle name="20% - Énfasis1 2 2 2 2 6" xfId="4049" xr:uid="{00000000-0005-0000-0000-000035000000}"/>
    <cellStyle name="20% - Énfasis1 2 2 2 2 7" xfId="7825" xr:uid="{00000000-0005-0000-0000-000036000000}"/>
    <cellStyle name="20% - Énfasis1 2 2 2 3" xfId="382" xr:uid="{00000000-0005-0000-0000-000037000000}"/>
    <cellStyle name="20% - Énfasis1 2 2 2 3 2" xfId="856" xr:uid="{00000000-0005-0000-0000-000038000000}"/>
    <cellStyle name="20% - Énfasis1 2 2 2 3 2 2" xfId="1802" xr:uid="{00000000-0005-0000-0000-000039000000}"/>
    <cellStyle name="20% - Énfasis1 2 2 2 3 2 2 2" xfId="3692" xr:uid="{00000000-0005-0000-0000-00003A000000}"/>
    <cellStyle name="20% - Énfasis1 2 2 2 3 2 2 2 2" xfId="7471" xr:uid="{00000000-0005-0000-0000-00003B000000}"/>
    <cellStyle name="20% - Énfasis1 2 2 2 3 2 2 2 3" xfId="11247" xr:uid="{00000000-0005-0000-0000-00003C000000}"/>
    <cellStyle name="20% - Énfasis1 2 2 2 3 2 2 3" xfId="5583" xr:uid="{00000000-0005-0000-0000-00003D000000}"/>
    <cellStyle name="20% - Énfasis1 2 2 2 3 2 2 4" xfId="9359" xr:uid="{00000000-0005-0000-0000-00003E000000}"/>
    <cellStyle name="20% - Énfasis1 2 2 2 3 2 3" xfId="2748" xr:uid="{00000000-0005-0000-0000-00003F000000}"/>
    <cellStyle name="20% - Énfasis1 2 2 2 3 2 3 2" xfId="6527" xr:uid="{00000000-0005-0000-0000-000040000000}"/>
    <cellStyle name="20% - Énfasis1 2 2 2 3 2 3 3" xfId="10303" xr:uid="{00000000-0005-0000-0000-000041000000}"/>
    <cellStyle name="20% - Énfasis1 2 2 2 3 2 4" xfId="4639" xr:uid="{00000000-0005-0000-0000-000042000000}"/>
    <cellStyle name="20% - Énfasis1 2 2 2 3 2 5" xfId="8415" xr:uid="{00000000-0005-0000-0000-000043000000}"/>
    <cellStyle name="20% - Énfasis1 2 2 2 3 3" xfId="1330" xr:uid="{00000000-0005-0000-0000-000044000000}"/>
    <cellStyle name="20% - Énfasis1 2 2 2 3 3 2" xfId="3220" xr:uid="{00000000-0005-0000-0000-000045000000}"/>
    <cellStyle name="20% - Énfasis1 2 2 2 3 3 2 2" xfId="6999" xr:uid="{00000000-0005-0000-0000-000046000000}"/>
    <cellStyle name="20% - Énfasis1 2 2 2 3 3 2 3" xfId="10775" xr:uid="{00000000-0005-0000-0000-000047000000}"/>
    <cellStyle name="20% - Énfasis1 2 2 2 3 3 3" xfId="5111" xr:uid="{00000000-0005-0000-0000-000048000000}"/>
    <cellStyle name="20% - Énfasis1 2 2 2 3 3 4" xfId="8887" xr:uid="{00000000-0005-0000-0000-000049000000}"/>
    <cellStyle name="20% - Énfasis1 2 2 2 3 4" xfId="2276" xr:uid="{00000000-0005-0000-0000-00004A000000}"/>
    <cellStyle name="20% - Énfasis1 2 2 2 3 4 2" xfId="6055" xr:uid="{00000000-0005-0000-0000-00004B000000}"/>
    <cellStyle name="20% - Énfasis1 2 2 2 3 4 3" xfId="9831" xr:uid="{00000000-0005-0000-0000-00004C000000}"/>
    <cellStyle name="20% - Énfasis1 2 2 2 3 5" xfId="4167" xr:uid="{00000000-0005-0000-0000-00004D000000}"/>
    <cellStyle name="20% - Énfasis1 2 2 2 3 6" xfId="7943" xr:uid="{00000000-0005-0000-0000-00004E000000}"/>
    <cellStyle name="20% - Énfasis1 2 2 2 4" xfId="620" xr:uid="{00000000-0005-0000-0000-00004F000000}"/>
    <cellStyle name="20% - Énfasis1 2 2 2 4 2" xfId="1566" xr:uid="{00000000-0005-0000-0000-000050000000}"/>
    <cellStyle name="20% - Énfasis1 2 2 2 4 2 2" xfId="3456" xr:uid="{00000000-0005-0000-0000-000051000000}"/>
    <cellStyle name="20% - Énfasis1 2 2 2 4 2 2 2" xfId="7235" xr:uid="{00000000-0005-0000-0000-000052000000}"/>
    <cellStyle name="20% - Énfasis1 2 2 2 4 2 2 3" xfId="11011" xr:uid="{00000000-0005-0000-0000-000053000000}"/>
    <cellStyle name="20% - Énfasis1 2 2 2 4 2 3" xfId="5347" xr:uid="{00000000-0005-0000-0000-000054000000}"/>
    <cellStyle name="20% - Énfasis1 2 2 2 4 2 4" xfId="9123" xr:uid="{00000000-0005-0000-0000-000055000000}"/>
    <cellStyle name="20% - Énfasis1 2 2 2 4 3" xfId="2512" xr:uid="{00000000-0005-0000-0000-000056000000}"/>
    <cellStyle name="20% - Énfasis1 2 2 2 4 3 2" xfId="6291" xr:uid="{00000000-0005-0000-0000-000057000000}"/>
    <cellStyle name="20% - Énfasis1 2 2 2 4 3 3" xfId="10067" xr:uid="{00000000-0005-0000-0000-000058000000}"/>
    <cellStyle name="20% - Énfasis1 2 2 2 4 4" xfId="4403" xr:uid="{00000000-0005-0000-0000-000059000000}"/>
    <cellStyle name="20% - Énfasis1 2 2 2 4 5" xfId="8179" xr:uid="{00000000-0005-0000-0000-00005A000000}"/>
    <cellStyle name="20% - Énfasis1 2 2 2 5" xfId="1094" xr:uid="{00000000-0005-0000-0000-00005B000000}"/>
    <cellStyle name="20% - Énfasis1 2 2 2 5 2" xfId="2984" xr:uid="{00000000-0005-0000-0000-00005C000000}"/>
    <cellStyle name="20% - Énfasis1 2 2 2 5 2 2" xfId="6763" xr:uid="{00000000-0005-0000-0000-00005D000000}"/>
    <cellStyle name="20% - Énfasis1 2 2 2 5 2 3" xfId="10539" xr:uid="{00000000-0005-0000-0000-00005E000000}"/>
    <cellStyle name="20% - Énfasis1 2 2 2 5 3" xfId="4875" xr:uid="{00000000-0005-0000-0000-00005F000000}"/>
    <cellStyle name="20% - Énfasis1 2 2 2 5 4" xfId="8651" xr:uid="{00000000-0005-0000-0000-000060000000}"/>
    <cellStyle name="20% - Énfasis1 2 2 2 6" xfId="2040" xr:uid="{00000000-0005-0000-0000-000061000000}"/>
    <cellStyle name="20% - Énfasis1 2 2 2 6 2" xfId="5819" xr:uid="{00000000-0005-0000-0000-000062000000}"/>
    <cellStyle name="20% - Énfasis1 2 2 2 6 3" xfId="9595" xr:uid="{00000000-0005-0000-0000-000063000000}"/>
    <cellStyle name="20% - Énfasis1 2 2 2 7" xfId="3931" xr:uid="{00000000-0005-0000-0000-000064000000}"/>
    <cellStyle name="20% - Énfasis1 2 2 2 8" xfId="7707" xr:uid="{00000000-0005-0000-0000-000065000000}"/>
    <cellStyle name="20% - Énfasis1 2 2 3" xfId="203" xr:uid="{00000000-0005-0000-0000-000066000000}"/>
    <cellStyle name="20% - Énfasis1 2 2 3 2" xfId="441" xr:uid="{00000000-0005-0000-0000-000067000000}"/>
    <cellStyle name="20% - Énfasis1 2 2 3 2 2" xfId="915" xr:uid="{00000000-0005-0000-0000-000068000000}"/>
    <cellStyle name="20% - Énfasis1 2 2 3 2 2 2" xfId="1861" xr:uid="{00000000-0005-0000-0000-000069000000}"/>
    <cellStyle name="20% - Énfasis1 2 2 3 2 2 2 2" xfId="3751" xr:uid="{00000000-0005-0000-0000-00006A000000}"/>
    <cellStyle name="20% - Énfasis1 2 2 3 2 2 2 2 2" xfId="7530" xr:uid="{00000000-0005-0000-0000-00006B000000}"/>
    <cellStyle name="20% - Énfasis1 2 2 3 2 2 2 2 3" xfId="11306" xr:uid="{00000000-0005-0000-0000-00006C000000}"/>
    <cellStyle name="20% - Énfasis1 2 2 3 2 2 2 3" xfId="5642" xr:uid="{00000000-0005-0000-0000-00006D000000}"/>
    <cellStyle name="20% - Énfasis1 2 2 3 2 2 2 4" xfId="9418" xr:uid="{00000000-0005-0000-0000-00006E000000}"/>
    <cellStyle name="20% - Énfasis1 2 2 3 2 2 3" xfId="2807" xr:uid="{00000000-0005-0000-0000-00006F000000}"/>
    <cellStyle name="20% - Énfasis1 2 2 3 2 2 3 2" xfId="6586" xr:uid="{00000000-0005-0000-0000-000070000000}"/>
    <cellStyle name="20% - Énfasis1 2 2 3 2 2 3 3" xfId="10362" xr:uid="{00000000-0005-0000-0000-000071000000}"/>
    <cellStyle name="20% - Énfasis1 2 2 3 2 2 4" xfId="4698" xr:uid="{00000000-0005-0000-0000-000072000000}"/>
    <cellStyle name="20% - Énfasis1 2 2 3 2 2 5" xfId="8474" xr:uid="{00000000-0005-0000-0000-000073000000}"/>
    <cellStyle name="20% - Énfasis1 2 2 3 2 3" xfId="1389" xr:uid="{00000000-0005-0000-0000-000074000000}"/>
    <cellStyle name="20% - Énfasis1 2 2 3 2 3 2" xfId="3279" xr:uid="{00000000-0005-0000-0000-000075000000}"/>
    <cellStyle name="20% - Énfasis1 2 2 3 2 3 2 2" xfId="7058" xr:uid="{00000000-0005-0000-0000-000076000000}"/>
    <cellStyle name="20% - Énfasis1 2 2 3 2 3 2 3" xfId="10834" xr:uid="{00000000-0005-0000-0000-000077000000}"/>
    <cellStyle name="20% - Énfasis1 2 2 3 2 3 3" xfId="5170" xr:uid="{00000000-0005-0000-0000-000078000000}"/>
    <cellStyle name="20% - Énfasis1 2 2 3 2 3 4" xfId="8946" xr:uid="{00000000-0005-0000-0000-000079000000}"/>
    <cellStyle name="20% - Énfasis1 2 2 3 2 4" xfId="2335" xr:uid="{00000000-0005-0000-0000-00007A000000}"/>
    <cellStyle name="20% - Énfasis1 2 2 3 2 4 2" xfId="6114" xr:uid="{00000000-0005-0000-0000-00007B000000}"/>
    <cellStyle name="20% - Énfasis1 2 2 3 2 4 3" xfId="9890" xr:uid="{00000000-0005-0000-0000-00007C000000}"/>
    <cellStyle name="20% - Énfasis1 2 2 3 2 5" xfId="4226" xr:uid="{00000000-0005-0000-0000-00007D000000}"/>
    <cellStyle name="20% - Énfasis1 2 2 3 2 6" xfId="8002" xr:uid="{00000000-0005-0000-0000-00007E000000}"/>
    <cellStyle name="20% - Énfasis1 2 2 3 3" xfId="679" xr:uid="{00000000-0005-0000-0000-00007F000000}"/>
    <cellStyle name="20% - Énfasis1 2 2 3 3 2" xfId="1625" xr:uid="{00000000-0005-0000-0000-000080000000}"/>
    <cellStyle name="20% - Énfasis1 2 2 3 3 2 2" xfId="3515" xr:uid="{00000000-0005-0000-0000-000081000000}"/>
    <cellStyle name="20% - Énfasis1 2 2 3 3 2 2 2" xfId="7294" xr:uid="{00000000-0005-0000-0000-000082000000}"/>
    <cellStyle name="20% - Énfasis1 2 2 3 3 2 2 3" xfId="11070" xr:uid="{00000000-0005-0000-0000-000083000000}"/>
    <cellStyle name="20% - Énfasis1 2 2 3 3 2 3" xfId="5406" xr:uid="{00000000-0005-0000-0000-000084000000}"/>
    <cellStyle name="20% - Énfasis1 2 2 3 3 2 4" xfId="9182" xr:uid="{00000000-0005-0000-0000-000085000000}"/>
    <cellStyle name="20% - Énfasis1 2 2 3 3 3" xfId="2571" xr:uid="{00000000-0005-0000-0000-000086000000}"/>
    <cellStyle name="20% - Énfasis1 2 2 3 3 3 2" xfId="6350" xr:uid="{00000000-0005-0000-0000-000087000000}"/>
    <cellStyle name="20% - Énfasis1 2 2 3 3 3 3" xfId="10126" xr:uid="{00000000-0005-0000-0000-000088000000}"/>
    <cellStyle name="20% - Énfasis1 2 2 3 3 4" xfId="4462" xr:uid="{00000000-0005-0000-0000-000089000000}"/>
    <cellStyle name="20% - Énfasis1 2 2 3 3 5" xfId="8238" xr:uid="{00000000-0005-0000-0000-00008A000000}"/>
    <cellStyle name="20% - Énfasis1 2 2 3 4" xfId="1153" xr:uid="{00000000-0005-0000-0000-00008B000000}"/>
    <cellStyle name="20% - Énfasis1 2 2 3 4 2" xfId="3043" xr:uid="{00000000-0005-0000-0000-00008C000000}"/>
    <cellStyle name="20% - Énfasis1 2 2 3 4 2 2" xfId="6822" xr:uid="{00000000-0005-0000-0000-00008D000000}"/>
    <cellStyle name="20% - Énfasis1 2 2 3 4 2 3" xfId="10598" xr:uid="{00000000-0005-0000-0000-00008E000000}"/>
    <cellStyle name="20% - Énfasis1 2 2 3 4 3" xfId="4934" xr:uid="{00000000-0005-0000-0000-00008F000000}"/>
    <cellStyle name="20% - Énfasis1 2 2 3 4 4" xfId="8710" xr:uid="{00000000-0005-0000-0000-000090000000}"/>
    <cellStyle name="20% - Énfasis1 2 2 3 5" xfId="2099" xr:uid="{00000000-0005-0000-0000-000091000000}"/>
    <cellStyle name="20% - Énfasis1 2 2 3 5 2" xfId="5878" xr:uid="{00000000-0005-0000-0000-000092000000}"/>
    <cellStyle name="20% - Énfasis1 2 2 3 5 3" xfId="9654" xr:uid="{00000000-0005-0000-0000-000093000000}"/>
    <cellStyle name="20% - Énfasis1 2 2 3 6" xfId="3990" xr:uid="{00000000-0005-0000-0000-000094000000}"/>
    <cellStyle name="20% - Énfasis1 2 2 3 7" xfId="7766" xr:uid="{00000000-0005-0000-0000-000095000000}"/>
    <cellStyle name="20% - Énfasis1 2 2 4" xfId="323" xr:uid="{00000000-0005-0000-0000-000096000000}"/>
    <cellStyle name="20% - Énfasis1 2 2 4 2" xfId="797" xr:uid="{00000000-0005-0000-0000-000097000000}"/>
    <cellStyle name="20% - Énfasis1 2 2 4 2 2" xfId="1743" xr:uid="{00000000-0005-0000-0000-000098000000}"/>
    <cellStyle name="20% - Énfasis1 2 2 4 2 2 2" xfId="3633" xr:uid="{00000000-0005-0000-0000-000099000000}"/>
    <cellStyle name="20% - Énfasis1 2 2 4 2 2 2 2" xfId="7412" xr:uid="{00000000-0005-0000-0000-00009A000000}"/>
    <cellStyle name="20% - Énfasis1 2 2 4 2 2 2 3" xfId="11188" xr:uid="{00000000-0005-0000-0000-00009B000000}"/>
    <cellStyle name="20% - Énfasis1 2 2 4 2 2 3" xfId="5524" xr:uid="{00000000-0005-0000-0000-00009C000000}"/>
    <cellStyle name="20% - Énfasis1 2 2 4 2 2 4" xfId="9300" xr:uid="{00000000-0005-0000-0000-00009D000000}"/>
    <cellStyle name="20% - Énfasis1 2 2 4 2 3" xfId="2689" xr:uid="{00000000-0005-0000-0000-00009E000000}"/>
    <cellStyle name="20% - Énfasis1 2 2 4 2 3 2" xfId="6468" xr:uid="{00000000-0005-0000-0000-00009F000000}"/>
    <cellStyle name="20% - Énfasis1 2 2 4 2 3 3" xfId="10244" xr:uid="{00000000-0005-0000-0000-0000A0000000}"/>
    <cellStyle name="20% - Énfasis1 2 2 4 2 4" xfId="4580" xr:uid="{00000000-0005-0000-0000-0000A1000000}"/>
    <cellStyle name="20% - Énfasis1 2 2 4 2 5" xfId="8356" xr:uid="{00000000-0005-0000-0000-0000A2000000}"/>
    <cellStyle name="20% - Énfasis1 2 2 4 3" xfId="1271" xr:uid="{00000000-0005-0000-0000-0000A3000000}"/>
    <cellStyle name="20% - Énfasis1 2 2 4 3 2" xfId="3161" xr:uid="{00000000-0005-0000-0000-0000A4000000}"/>
    <cellStyle name="20% - Énfasis1 2 2 4 3 2 2" xfId="6940" xr:uid="{00000000-0005-0000-0000-0000A5000000}"/>
    <cellStyle name="20% - Énfasis1 2 2 4 3 2 3" xfId="10716" xr:uid="{00000000-0005-0000-0000-0000A6000000}"/>
    <cellStyle name="20% - Énfasis1 2 2 4 3 3" xfId="5052" xr:uid="{00000000-0005-0000-0000-0000A7000000}"/>
    <cellStyle name="20% - Énfasis1 2 2 4 3 4" xfId="8828" xr:uid="{00000000-0005-0000-0000-0000A8000000}"/>
    <cellStyle name="20% - Énfasis1 2 2 4 4" xfId="2217" xr:uid="{00000000-0005-0000-0000-0000A9000000}"/>
    <cellStyle name="20% - Énfasis1 2 2 4 4 2" xfId="5996" xr:uid="{00000000-0005-0000-0000-0000AA000000}"/>
    <cellStyle name="20% - Énfasis1 2 2 4 4 3" xfId="9772" xr:uid="{00000000-0005-0000-0000-0000AB000000}"/>
    <cellStyle name="20% - Énfasis1 2 2 4 5" xfId="4108" xr:uid="{00000000-0005-0000-0000-0000AC000000}"/>
    <cellStyle name="20% - Énfasis1 2 2 4 6" xfId="7884" xr:uid="{00000000-0005-0000-0000-0000AD000000}"/>
    <cellStyle name="20% - Énfasis1 2 2 5" xfId="561" xr:uid="{00000000-0005-0000-0000-0000AE000000}"/>
    <cellStyle name="20% - Énfasis1 2 2 5 2" xfId="1507" xr:uid="{00000000-0005-0000-0000-0000AF000000}"/>
    <cellStyle name="20% - Énfasis1 2 2 5 2 2" xfId="3397" xr:uid="{00000000-0005-0000-0000-0000B0000000}"/>
    <cellStyle name="20% - Énfasis1 2 2 5 2 2 2" xfId="7176" xr:uid="{00000000-0005-0000-0000-0000B1000000}"/>
    <cellStyle name="20% - Énfasis1 2 2 5 2 2 3" xfId="10952" xr:uid="{00000000-0005-0000-0000-0000B2000000}"/>
    <cellStyle name="20% - Énfasis1 2 2 5 2 3" xfId="5288" xr:uid="{00000000-0005-0000-0000-0000B3000000}"/>
    <cellStyle name="20% - Énfasis1 2 2 5 2 4" xfId="9064" xr:uid="{00000000-0005-0000-0000-0000B4000000}"/>
    <cellStyle name="20% - Énfasis1 2 2 5 3" xfId="2453" xr:uid="{00000000-0005-0000-0000-0000B5000000}"/>
    <cellStyle name="20% - Énfasis1 2 2 5 3 2" xfId="6232" xr:uid="{00000000-0005-0000-0000-0000B6000000}"/>
    <cellStyle name="20% - Énfasis1 2 2 5 3 3" xfId="10008" xr:uid="{00000000-0005-0000-0000-0000B7000000}"/>
    <cellStyle name="20% - Énfasis1 2 2 5 4" xfId="4344" xr:uid="{00000000-0005-0000-0000-0000B8000000}"/>
    <cellStyle name="20% - Énfasis1 2 2 5 5" xfId="8120" xr:uid="{00000000-0005-0000-0000-0000B9000000}"/>
    <cellStyle name="20% - Énfasis1 2 2 6" xfId="1035" xr:uid="{00000000-0005-0000-0000-0000BA000000}"/>
    <cellStyle name="20% - Énfasis1 2 2 6 2" xfId="2925" xr:uid="{00000000-0005-0000-0000-0000BB000000}"/>
    <cellStyle name="20% - Énfasis1 2 2 6 2 2" xfId="6704" xr:uid="{00000000-0005-0000-0000-0000BC000000}"/>
    <cellStyle name="20% - Énfasis1 2 2 6 2 3" xfId="10480" xr:uid="{00000000-0005-0000-0000-0000BD000000}"/>
    <cellStyle name="20% - Énfasis1 2 2 6 3" xfId="4816" xr:uid="{00000000-0005-0000-0000-0000BE000000}"/>
    <cellStyle name="20% - Énfasis1 2 2 6 4" xfId="8592" xr:uid="{00000000-0005-0000-0000-0000BF000000}"/>
    <cellStyle name="20% - Énfasis1 2 2 7" xfId="1981" xr:uid="{00000000-0005-0000-0000-0000C0000000}"/>
    <cellStyle name="20% - Énfasis1 2 2 7 2" xfId="5760" xr:uid="{00000000-0005-0000-0000-0000C1000000}"/>
    <cellStyle name="20% - Énfasis1 2 2 7 3" xfId="9536" xr:uid="{00000000-0005-0000-0000-0000C2000000}"/>
    <cellStyle name="20% - Énfasis1 2 2 8" xfId="3872" xr:uid="{00000000-0005-0000-0000-0000C3000000}"/>
    <cellStyle name="20% - Énfasis1 2 2 9" xfId="7648" xr:uid="{00000000-0005-0000-0000-0000C4000000}"/>
    <cellStyle name="20% - Énfasis1 2 3" xfId="110" xr:uid="{00000000-0005-0000-0000-0000C5000000}"/>
    <cellStyle name="20% - Énfasis1 2 3 2" xfId="233" xr:uid="{00000000-0005-0000-0000-0000C6000000}"/>
    <cellStyle name="20% - Énfasis1 2 3 2 2" xfId="471" xr:uid="{00000000-0005-0000-0000-0000C7000000}"/>
    <cellStyle name="20% - Énfasis1 2 3 2 2 2" xfId="945" xr:uid="{00000000-0005-0000-0000-0000C8000000}"/>
    <cellStyle name="20% - Énfasis1 2 3 2 2 2 2" xfId="1891" xr:uid="{00000000-0005-0000-0000-0000C9000000}"/>
    <cellStyle name="20% - Énfasis1 2 3 2 2 2 2 2" xfId="3781" xr:uid="{00000000-0005-0000-0000-0000CA000000}"/>
    <cellStyle name="20% - Énfasis1 2 3 2 2 2 2 2 2" xfId="7560" xr:uid="{00000000-0005-0000-0000-0000CB000000}"/>
    <cellStyle name="20% - Énfasis1 2 3 2 2 2 2 2 3" xfId="11336" xr:uid="{00000000-0005-0000-0000-0000CC000000}"/>
    <cellStyle name="20% - Énfasis1 2 3 2 2 2 2 3" xfId="5672" xr:uid="{00000000-0005-0000-0000-0000CD000000}"/>
    <cellStyle name="20% - Énfasis1 2 3 2 2 2 2 4" xfId="9448" xr:uid="{00000000-0005-0000-0000-0000CE000000}"/>
    <cellStyle name="20% - Énfasis1 2 3 2 2 2 3" xfId="2837" xr:uid="{00000000-0005-0000-0000-0000CF000000}"/>
    <cellStyle name="20% - Énfasis1 2 3 2 2 2 3 2" xfId="6616" xr:uid="{00000000-0005-0000-0000-0000D0000000}"/>
    <cellStyle name="20% - Énfasis1 2 3 2 2 2 3 3" xfId="10392" xr:uid="{00000000-0005-0000-0000-0000D1000000}"/>
    <cellStyle name="20% - Énfasis1 2 3 2 2 2 4" xfId="4728" xr:uid="{00000000-0005-0000-0000-0000D2000000}"/>
    <cellStyle name="20% - Énfasis1 2 3 2 2 2 5" xfId="8504" xr:uid="{00000000-0005-0000-0000-0000D3000000}"/>
    <cellStyle name="20% - Énfasis1 2 3 2 2 3" xfId="1419" xr:uid="{00000000-0005-0000-0000-0000D4000000}"/>
    <cellStyle name="20% - Énfasis1 2 3 2 2 3 2" xfId="3309" xr:uid="{00000000-0005-0000-0000-0000D5000000}"/>
    <cellStyle name="20% - Énfasis1 2 3 2 2 3 2 2" xfId="7088" xr:uid="{00000000-0005-0000-0000-0000D6000000}"/>
    <cellStyle name="20% - Énfasis1 2 3 2 2 3 2 3" xfId="10864" xr:uid="{00000000-0005-0000-0000-0000D7000000}"/>
    <cellStyle name="20% - Énfasis1 2 3 2 2 3 3" xfId="5200" xr:uid="{00000000-0005-0000-0000-0000D8000000}"/>
    <cellStyle name="20% - Énfasis1 2 3 2 2 3 4" xfId="8976" xr:uid="{00000000-0005-0000-0000-0000D9000000}"/>
    <cellStyle name="20% - Énfasis1 2 3 2 2 4" xfId="2365" xr:uid="{00000000-0005-0000-0000-0000DA000000}"/>
    <cellStyle name="20% - Énfasis1 2 3 2 2 4 2" xfId="6144" xr:uid="{00000000-0005-0000-0000-0000DB000000}"/>
    <cellStyle name="20% - Énfasis1 2 3 2 2 4 3" xfId="9920" xr:uid="{00000000-0005-0000-0000-0000DC000000}"/>
    <cellStyle name="20% - Énfasis1 2 3 2 2 5" xfId="4256" xr:uid="{00000000-0005-0000-0000-0000DD000000}"/>
    <cellStyle name="20% - Énfasis1 2 3 2 2 6" xfId="8032" xr:uid="{00000000-0005-0000-0000-0000DE000000}"/>
    <cellStyle name="20% - Énfasis1 2 3 2 3" xfId="709" xr:uid="{00000000-0005-0000-0000-0000DF000000}"/>
    <cellStyle name="20% - Énfasis1 2 3 2 3 2" xfId="1655" xr:uid="{00000000-0005-0000-0000-0000E0000000}"/>
    <cellStyle name="20% - Énfasis1 2 3 2 3 2 2" xfId="3545" xr:uid="{00000000-0005-0000-0000-0000E1000000}"/>
    <cellStyle name="20% - Énfasis1 2 3 2 3 2 2 2" xfId="7324" xr:uid="{00000000-0005-0000-0000-0000E2000000}"/>
    <cellStyle name="20% - Énfasis1 2 3 2 3 2 2 3" xfId="11100" xr:uid="{00000000-0005-0000-0000-0000E3000000}"/>
    <cellStyle name="20% - Énfasis1 2 3 2 3 2 3" xfId="5436" xr:uid="{00000000-0005-0000-0000-0000E4000000}"/>
    <cellStyle name="20% - Énfasis1 2 3 2 3 2 4" xfId="9212" xr:uid="{00000000-0005-0000-0000-0000E5000000}"/>
    <cellStyle name="20% - Énfasis1 2 3 2 3 3" xfId="2601" xr:uid="{00000000-0005-0000-0000-0000E6000000}"/>
    <cellStyle name="20% - Énfasis1 2 3 2 3 3 2" xfId="6380" xr:uid="{00000000-0005-0000-0000-0000E7000000}"/>
    <cellStyle name="20% - Énfasis1 2 3 2 3 3 3" xfId="10156" xr:uid="{00000000-0005-0000-0000-0000E8000000}"/>
    <cellStyle name="20% - Énfasis1 2 3 2 3 4" xfId="4492" xr:uid="{00000000-0005-0000-0000-0000E9000000}"/>
    <cellStyle name="20% - Énfasis1 2 3 2 3 5" xfId="8268" xr:uid="{00000000-0005-0000-0000-0000EA000000}"/>
    <cellStyle name="20% - Énfasis1 2 3 2 4" xfId="1183" xr:uid="{00000000-0005-0000-0000-0000EB000000}"/>
    <cellStyle name="20% - Énfasis1 2 3 2 4 2" xfId="3073" xr:uid="{00000000-0005-0000-0000-0000EC000000}"/>
    <cellStyle name="20% - Énfasis1 2 3 2 4 2 2" xfId="6852" xr:uid="{00000000-0005-0000-0000-0000ED000000}"/>
    <cellStyle name="20% - Énfasis1 2 3 2 4 2 3" xfId="10628" xr:uid="{00000000-0005-0000-0000-0000EE000000}"/>
    <cellStyle name="20% - Énfasis1 2 3 2 4 3" xfId="4964" xr:uid="{00000000-0005-0000-0000-0000EF000000}"/>
    <cellStyle name="20% - Énfasis1 2 3 2 4 4" xfId="8740" xr:uid="{00000000-0005-0000-0000-0000F0000000}"/>
    <cellStyle name="20% - Énfasis1 2 3 2 5" xfId="2129" xr:uid="{00000000-0005-0000-0000-0000F1000000}"/>
    <cellStyle name="20% - Énfasis1 2 3 2 5 2" xfId="5908" xr:uid="{00000000-0005-0000-0000-0000F2000000}"/>
    <cellStyle name="20% - Énfasis1 2 3 2 5 3" xfId="9684" xr:uid="{00000000-0005-0000-0000-0000F3000000}"/>
    <cellStyle name="20% - Énfasis1 2 3 2 6" xfId="4020" xr:uid="{00000000-0005-0000-0000-0000F4000000}"/>
    <cellStyle name="20% - Énfasis1 2 3 2 7" xfId="7796" xr:uid="{00000000-0005-0000-0000-0000F5000000}"/>
    <cellStyle name="20% - Énfasis1 2 3 3" xfId="353" xr:uid="{00000000-0005-0000-0000-0000F6000000}"/>
    <cellStyle name="20% - Énfasis1 2 3 3 2" xfId="827" xr:uid="{00000000-0005-0000-0000-0000F7000000}"/>
    <cellStyle name="20% - Énfasis1 2 3 3 2 2" xfId="1773" xr:uid="{00000000-0005-0000-0000-0000F8000000}"/>
    <cellStyle name="20% - Énfasis1 2 3 3 2 2 2" xfId="3663" xr:uid="{00000000-0005-0000-0000-0000F9000000}"/>
    <cellStyle name="20% - Énfasis1 2 3 3 2 2 2 2" xfId="7442" xr:uid="{00000000-0005-0000-0000-0000FA000000}"/>
    <cellStyle name="20% - Énfasis1 2 3 3 2 2 2 3" xfId="11218" xr:uid="{00000000-0005-0000-0000-0000FB000000}"/>
    <cellStyle name="20% - Énfasis1 2 3 3 2 2 3" xfId="5554" xr:uid="{00000000-0005-0000-0000-0000FC000000}"/>
    <cellStyle name="20% - Énfasis1 2 3 3 2 2 4" xfId="9330" xr:uid="{00000000-0005-0000-0000-0000FD000000}"/>
    <cellStyle name="20% - Énfasis1 2 3 3 2 3" xfId="2719" xr:uid="{00000000-0005-0000-0000-0000FE000000}"/>
    <cellStyle name="20% - Énfasis1 2 3 3 2 3 2" xfId="6498" xr:uid="{00000000-0005-0000-0000-0000FF000000}"/>
    <cellStyle name="20% - Énfasis1 2 3 3 2 3 3" xfId="10274" xr:uid="{00000000-0005-0000-0000-000000010000}"/>
    <cellStyle name="20% - Énfasis1 2 3 3 2 4" xfId="4610" xr:uid="{00000000-0005-0000-0000-000001010000}"/>
    <cellStyle name="20% - Énfasis1 2 3 3 2 5" xfId="8386" xr:uid="{00000000-0005-0000-0000-000002010000}"/>
    <cellStyle name="20% - Énfasis1 2 3 3 3" xfId="1301" xr:uid="{00000000-0005-0000-0000-000003010000}"/>
    <cellStyle name="20% - Énfasis1 2 3 3 3 2" xfId="3191" xr:uid="{00000000-0005-0000-0000-000004010000}"/>
    <cellStyle name="20% - Énfasis1 2 3 3 3 2 2" xfId="6970" xr:uid="{00000000-0005-0000-0000-000005010000}"/>
    <cellStyle name="20% - Énfasis1 2 3 3 3 2 3" xfId="10746" xr:uid="{00000000-0005-0000-0000-000006010000}"/>
    <cellStyle name="20% - Énfasis1 2 3 3 3 3" xfId="5082" xr:uid="{00000000-0005-0000-0000-000007010000}"/>
    <cellStyle name="20% - Énfasis1 2 3 3 3 4" xfId="8858" xr:uid="{00000000-0005-0000-0000-000008010000}"/>
    <cellStyle name="20% - Énfasis1 2 3 3 4" xfId="2247" xr:uid="{00000000-0005-0000-0000-000009010000}"/>
    <cellStyle name="20% - Énfasis1 2 3 3 4 2" xfId="6026" xr:uid="{00000000-0005-0000-0000-00000A010000}"/>
    <cellStyle name="20% - Énfasis1 2 3 3 4 3" xfId="9802" xr:uid="{00000000-0005-0000-0000-00000B010000}"/>
    <cellStyle name="20% - Énfasis1 2 3 3 5" xfId="4138" xr:uid="{00000000-0005-0000-0000-00000C010000}"/>
    <cellStyle name="20% - Énfasis1 2 3 3 6" xfId="7914" xr:uid="{00000000-0005-0000-0000-00000D010000}"/>
    <cellStyle name="20% - Énfasis1 2 3 4" xfId="591" xr:uid="{00000000-0005-0000-0000-00000E010000}"/>
    <cellStyle name="20% - Énfasis1 2 3 4 2" xfId="1537" xr:uid="{00000000-0005-0000-0000-00000F010000}"/>
    <cellStyle name="20% - Énfasis1 2 3 4 2 2" xfId="3427" xr:uid="{00000000-0005-0000-0000-000010010000}"/>
    <cellStyle name="20% - Énfasis1 2 3 4 2 2 2" xfId="7206" xr:uid="{00000000-0005-0000-0000-000011010000}"/>
    <cellStyle name="20% - Énfasis1 2 3 4 2 2 3" xfId="10982" xr:uid="{00000000-0005-0000-0000-000012010000}"/>
    <cellStyle name="20% - Énfasis1 2 3 4 2 3" xfId="5318" xr:uid="{00000000-0005-0000-0000-000013010000}"/>
    <cellStyle name="20% - Énfasis1 2 3 4 2 4" xfId="9094" xr:uid="{00000000-0005-0000-0000-000014010000}"/>
    <cellStyle name="20% - Énfasis1 2 3 4 3" xfId="2483" xr:uid="{00000000-0005-0000-0000-000015010000}"/>
    <cellStyle name="20% - Énfasis1 2 3 4 3 2" xfId="6262" xr:uid="{00000000-0005-0000-0000-000016010000}"/>
    <cellStyle name="20% - Énfasis1 2 3 4 3 3" xfId="10038" xr:uid="{00000000-0005-0000-0000-000017010000}"/>
    <cellStyle name="20% - Énfasis1 2 3 4 4" xfId="4374" xr:uid="{00000000-0005-0000-0000-000018010000}"/>
    <cellStyle name="20% - Énfasis1 2 3 4 5" xfId="8150" xr:uid="{00000000-0005-0000-0000-000019010000}"/>
    <cellStyle name="20% - Énfasis1 2 3 5" xfId="1065" xr:uid="{00000000-0005-0000-0000-00001A010000}"/>
    <cellStyle name="20% - Énfasis1 2 3 5 2" xfId="2955" xr:uid="{00000000-0005-0000-0000-00001B010000}"/>
    <cellStyle name="20% - Énfasis1 2 3 5 2 2" xfId="6734" xr:uid="{00000000-0005-0000-0000-00001C010000}"/>
    <cellStyle name="20% - Énfasis1 2 3 5 2 3" xfId="10510" xr:uid="{00000000-0005-0000-0000-00001D010000}"/>
    <cellStyle name="20% - Énfasis1 2 3 5 3" xfId="4846" xr:uid="{00000000-0005-0000-0000-00001E010000}"/>
    <cellStyle name="20% - Énfasis1 2 3 5 4" xfId="8622" xr:uid="{00000000-0005-0000-0000-00001F010000}"/>
    <cellStyle name="20% - Énfasis1 2 3 6" xfId="2011" xr:uid="{00000000-0005-0000-0000-000020010000}"/>
    <cellStyle name="20% - Énfasis1 2 3 6 2" xfId="5790" xr:uid="{00000000-0005-0000-0000-000021010000}"/>
    <cellStyle name="20% - Énfasis1 2 3 6 3" xfId="9566" xr:uid="{00000000-0005-0000-0000-000022010000}"/>
    <cellStyle name="20% - Énfasis1 2 3 7" xfId="3902" xr:uid="{00000000-0005-0000-0000-000023010000}"/>
    <cellStyle name="20% - Énfasis1 2 3 8" xfId="7678" xr:uid="{00000000-0005-0000-0000-000024010000}"/>
    <cellStyle name="20% - Énfasis1 2 4" xfId="174" xr:uid="{00000000-0005-0000-0000-000025010000}"/>
    <cellStyle name="20% - Énfasis1 2 4 2" xfId="412" xr:uid="{00000000-0005-0000-0000-000026010000}"/>
    <cellStyle name="20% - Énfasis1 2 4 2 2" xfId="886" xr:uid="{00000000-0005-0000-0000-000027010000}"/>
    <cellStyle name="20% - Énfasis1 2 4 2 2 2" xfId="1832" xr:uid="{00000000-0005-0000-0000-000028010000}"/>
    <cellStyle name="20% - Énfasis1 2 4 2 2 2 2" xfId="3722" xr:uid="{00000000-0005-0000-0000-000029010000}"/>
    <cellStyle name="20% - Énfasis1 2 4 2 2 2 2 2" xfId="7501" xr:uid="{00000000-0005-0000-0000-00002A010000}"/>
    <cellStyle name="20% - Énfasis1 2 4 2 2 2 2 3" xfId="11277" xr:uid="{00000000-0005-0000-0000-00002B010000}"/>
    <cellStyle name="20% - Énfasis1 2 4 2 2 2 3" xfId="5613" xr:uid="{00000000-0005-0000-0000-00002C010000}"/>
    <cellStyle name="20% - Énfasis1 2 4 2 2 2 4" xfId="9389" xr:uid="{00000000-0005-0000-0000-00002D010000}"/>
    <cellStyle name="20% - Énfasis1 2 4 2 2 3" xfId="2778" xr:uid="{00000000-0005-0000-0000-00002E010000}"/>
    <cellStyle name="20% - Énfasis1 2 4 2 2 3 2" xfId="6557" xr:uid="{00000000-0005-0000-0000-00002F010000}"/>
    <cellStyle name="20% - Énfasis1 2 4 2 2 3 3" xfId="10333" xr:uid="{00000000-0005-0000-0000-000030010000}"/>
    <cellStyle name="20% - Énfasis1 2 4 2 2 4" xfId="4669" xr:uid="{00000000-0005-0000-0000-000031010000}"/>
    <cellStyle name="20% - Énfasis1 2 4 2 2 5" xfId="8445" xr:uid="{00000000-0005-0000-0000-000032010000}"/>
    <cellStyle name="20% - Énfasis1 2 4 2 3" xfId="1360" xr:uid="{00000000-0005-0000-0000-000033010000}"/>
    <cellStyle name="20% - Énfasis1 2 4 2 3 2" xfId="3250" xr:uid="{00000000-0005-0000-0000-000034010000}"/>
    <cellStyle name="20% - Énfasis1 2 4 2 3 2 2" xfId="7029" xr:uid="{00000000-0005-0000-0000-000035010000}"/>
    <cellStyle name="20% - Énfasis1 2 4 2 3 2 3" xfId="10805" xr:uid="{00000000-0005-0000-0000-000036010000}"/>
    <cellStyle name="20% - Énfasis1 2 4 2 3 3" xfId="5141" xr:uid="{00000000-0005-0000-0000-000037010000}"/>
    <cellStyle name="20% - Énfasis1 2 4 2 3 4" xfId="8917" xr:uid="{00000000-0005-0000-0000-000038010000}"/>
    <cellStyle name="20% - Énfasis1 2 4 2 4" xfId="2306" xr:uid="{00000000-0005-0000-0000-000039010000}"/>
    <cellStyle name="20% - Énfasis1 2 4 2 4 2" xfId="6085" xr:uid="{00000000-0005-0000-0000-00003A010000}"/>
    <cellStyle name="20% - Énfasis1 2 4 2 4 3" xfId="9861" xr:uid="{00000000-0005-0000-0000-00003B010000}"/>
    <cellStyle name="20% - Énfasis1 2 4 2 5" xfId="4197" xr:uid="{00000000-0005-0000-0000-00003C010000}"/>
    <cellStyle name="20% - Énfasis1 2 4 2 6" xfId="7973" xr:uid="{00000000-0005-0000-0000-00003D010000}"/>
    <cellStyle name="20% - Énfasis1 2 4 3" xfId="650" xr:uid="{00000000-0005-0000-0000-00003E010000}"/>
    <cellStyle name="20% - Énfasis1 2 4 3 2" xfId="1596" xr:uid="{00000000-0005-0000-0000-00003F010000}"/>
    <cellStyle name="20% - Énfasis1 2 4 3 2 2" xfId="3486" xr:uid="{00000000-0005-0000-0000-000040010000}"/>
    <cellStyle name="20% - Énfasis1 2 4 3 2 2 2" xfId="7265" xr:uid="{00000000-0005-0000-0000-000041010000}"/>
    <cellStyle name="20% - Énfasis1 2 4 3 2 2 3" xfId="11041" xr:uid="{00000000-0005-0000-0000-000042010000}"/>
    <cellStyle name="20% - Énfasis1 2 4 3 2 3" xfId="5377" xr:uid="{00000000-0005-0000-0000-000043010000}"/>
    <cellStyle name="20% - Énfasis1 2 4 3 2 4" xfId="9153" xr:uid="{00000000-0005-0000-0000-000044010000}"/>
    <cellStyle name="20% - Énfasis1 2 4 3 3" xfId="2542" xr:uid="{00000000-0005-0000-0000-000045010000}"/>
    <cellStyle name="20% - Énfasis1 2 4 3 3 2" xfId="6321" xr:uid="{00000000-0005-0000-0000-000046010000}"/>
    <cellStyle name="20% - Énfasis1 2 4 3 3 3" xfId="10097" xr:uid="{00000000-0005-0000-0000-000047010000}"/>
    <cellStyle name="20% - Énfasis1 2 4 3 4" xfId="4433" xr:uid="{00000000-0005-0000-0000-000048010000}"/>
    <cellStyle name="20% - Énfasis1 2 4 3 5" xfId="8209" xr:uid="{00000000-0005-0000-0000-000049010000}"/>
    <cellStyle name="20% - Énfasis1 2 4 4" xfId="1124" xr:uid="{00000000-0005-0000-0000-00004A010000}"/>
    <cellStyle name="20% - Énfasis1 2 4 4 2" xfId="3014" xr:uid="{00000000-0005-0000-0000-00004B010000}"/>
    <cellStyle name="20% - Énfasis1 2 4 4 2 2" xfId="6793" xr:uid="{00000000-0005-0000-0000-00004C010000}"/>
    <cellStyle name="20% - Énfasis1 2 4 4 2 3" xfId="10569" xr:uid="{00000000-0005-0000-0000-00004D010000}"/>
    <cellStyle name="20% - Énfasis1 2 4 4 3" xfId="4905" xr:uid="{00000000-0005-0000-0000-00004E010000}"/>
    <cellStyle name="20% - Énfasis1 2 4 4 4" xfId="8681" xr:uid="{00000000-0005-0000-0000-00004F010000}"/>
    <cellStyle name="20% - Énfasis1 2 4 5" xfId="2070" xr:uid="{00000000-0005-0000-0000-000050010000}"/>
    <cellStyle name="20% - Énfasis1 2 4 5 2" xfId="5849" xr:uid="{00000000-0005-0000-0000-000051010000}"/>
    <cellStyle name="20% - Énfasis1 2 4 5 3" xfId="9625" xr:uid="{00000000-0005-0000-0000-000052010000}"/>
    <cellStyle name="20% - Énfasis1 2 4 6" xfId="3961" xr:uid="{00000000-0005-0000-0000-000053010000}"/>
    <cellStyle name="20% - Énfasis1 2 4 7" xfId="7737" xr:uid="{00000000-0005-0000-0000-000054010000}"/>
    <cellStyle name="20% - Énfasis1 2 5" xfId="294" xr:uid="{00000000-0005-0000-0000-000055010000}"/>
    <cellStyle name="20% - Énfasis1 2 5 2" xfId="768" xr:uid="{00000000-0005-0000-0000-000056010000}"/>
    <cellStyle name="20% - Énfasis1 2 5 2 2" xfId="1714" xr:uid="{00000000-0005-0000-0000-000057010000}"/>
    <cellStyle name="20% - Énfasis1 2 5 2 2 2" xfId="3604" xr:uid="{00000000-0005-0000-0000-000058010000}"/>
    <cellStyle name="20% - Énfasis1 2 5 2 2 2 2" xfId="7383" xr:uid="{00000000-0005-0000-0000-000059010000}"/>
    <cellStyle name="20% - Énfasis1 2 5 2 2 2 3" xfId="11159" xr:uid="{00000000-0005-0000-0000-00005A010000}"/>
    <cellStyle name="20% - Énfasis1 2 5 2 2 3" xfId="5495" xr:uid="{00000000-0005-0000-0000-00005B010000}"/>
    <cellStyle name="20% - Énfasis1 2 5 2 2 4" xfId="9271" xr:uid="{00000000-0005-0000-0000-00005C010000}"/>
    <cellStyle name="20% - Énfasis1 2 5 2 3" xfId="2660" xr:uid="{00000000-0005-0000-0000-00005D010000}"/>
    <cellStyle name="20% - Énfasis1 2 5 2 3 2" xfId="6439" xr:uid="{00000000-0005-0000-0000-00005E010000}"/>
    <cellStyle name="20% - Énfasis1 2 5 2 3 3" xfId="10215" xr:uid="{00000000-0005-0000-0000-00005F010000}"/>
    <cellStyle name="20% - Énfasis1 2 5 2 4" xfId="4551" xr:uid="{00000000-0005-0000-0000-000060010000}"/>
    <cellStyle name="20% - Énfasis1 2 5 2 5" xfId="8327" xr:uid="{00000000-0005-0000-0000-000061010000}"/>
    <cellStyle name="20% - Énfasis1 2 5 3" xfId="1242" xr:uid="{00000000-0005-0000-0000-000062010000}"/>
    <cellStyle name="20% - Énfasis1 2 5 3 2" xfId="3132" xr:uid="{00000000-0005-0000-0000-000063010000}"/>
    <cellStyle name="20% - Énfasis1 2 5 3 2 2" xfId="6911" xr:uid="{00000000-0005-0000-0000-000064010000}"/>
    <cellStyle name="20% - Énfasis1 2 5 3 2 3" xfId="10687" xr:uid="{00000000-0005-0000-0000-000065010000}"/>
    <cellStyle name="20% - Énfasis1 2 5 3 3" xfId="5023" xr:uid="{00000000-0005-0000-0000-000066010000}"/>
    <cellStyle name="20% - Énfasis1 2 5 3 4" xfId="8799" xr:uid="{00000000-0005-0000-0000-000067010000}"/>
    <cellStyle name="20% - Énfasis1 2 5 4" xfId="2188" xr:uid="{00000000-0005-0000-0000-000068010000}"/>
    <cellStyle name="20% - Énfasis1 2 5 4 2" xfId="5967" xr:uid="{00000000-0005-0000-0000-000069010000}"/>
    <cellStyle name="20% - Énfasis1 2 5 4 3" xfId="9743" xr:uid="{00000000-0005-0000-0000-00006A010000}"/>
    <cellStyle name="20% - Énfasis1 2 5 5" xfId="4079" xr:uid="{00000000-0005-0000-0000-00006B010000}"/>
    <cellStyle name="20% - Énfasis1 2 5 6" xfId="7855" xr:uid="{00000000-0005-0000-0000-00006C010000}"/>
    <cellStyle name="20% - Énfasis1 2 6" xfId="532" xr:uid="{00000000-0005-0000-0000-00006D010000}"/>
    <cellStyle name="20% - Énfasis1 2 6 2" xfId="1478" xr:uid="{00000000-0005-0000-0000-00006E010000}"/>
    <cellStyle name="20% - Énfasis1 2 6 2 2" xfId="3368" xr:uid="{00000000-0005-0000-0000-00006F010000}"/>
    <cellStyle name="20% - Énfasis1 2 6 2 2 2" xfId="7147" xr:uid="{00000000-0005-0000-0000-000070010000}"/>
    <cellStyle name="20% - Énfasis1 2 6 2 2 3" xfId="10923" xr:uid="{00000000-0005-0000-0000-000071010000}"/>
    <cellStyle name="20% - Énfasis1 2 6 2 3" xfId="5259" xr:uid="{00000000-0005-0000-0000-000072010000}"/>
    <cellStyle name="20% - Énfasis1 2 6 2 4" xfId="9035" xr:uid="{00000000-0005-0000-0000-000073010000}"/>
    <cellStyle name="20% - Énfasis1 2 6 3" xfId="2424" xr:uid="{00000000-0005-0000-0000-000074010000}"/>
    <cellStyle name="20% - Énfasis1 2 6 3 2" xfId="6203" xr:uid="{00000000-0005-0000-0000-000075010000}"/>
    <cellStyle name="20% - Énfasis1 2 6 3 3" xfId="9979" xr:uid="{00000000-0005-0000-0000-000076010000}"/>
    <cellStyle name="20% - Énfasis1 2 6 4" xfId="4315" xr:uid="{00000000-0005-0000-0000-000077010000}"/>
    <cellStyle name="20% - Énfasis1 2 6 5" xfId="8091" xr:uid="{00000000-0005-0000-0000-000078010000}"/>
    <cellStyle name="20% - Énfasis1 2 7" xfId="1006" xr:uid="{00000000-0005-0000-0000-000079010000}"/>
    <cellStyle name="20% - Énfasis1 2 7 2" xfId="2896" xr:uid="{00000000-0005-0000-0000-00007A010000}"/>
    <cellStyle name="20% - Énfasis1 2 7 2 2" xfId="6675" xr:uid="{00000000-0005-0000-0000-00007B010000}"/>
    <cellStyle name="20% - Énfasis1 2 7 2 3" xfId="10451" xr:uid="{00000000-0005-0000-0000-00007C010000}"/>
    <cellStyle name="20% - Énfasis1 2 7 3" xfId="4787" xr:uid="{00000000-0005-0000-0000-00007D010000}"/>
    <cellStyle name="20% - Énfasis1 2 7 4" xfId="8563" xr:uid="{00000000-0005-0000-0000-00007E010000}"/>
    <cellStyle name="20% - Énfasis1 2 8" xfId="1952" xr:uid="{00000000-0005-0000-0000-00007F010000}"/>
    <cellStyle name="20% - Énfasis1 2 8 2" xfId="5731" xr:uid="{00000000-0005-0000-0000-000080010000}"/>
    <cellStyle name="20% - Énfasis1 2 8 3" xfId="9507" xr:uid="{00000000-0005-0000-0000-000081010000}"/>
    <cellStyle name="20% - Énfasis1 2 9" xfId="3843" xr:uid="{00000000-0005-0000-0000-000082010000}"/>
    <cellStyle name="20% - Énfasis1 3" xfId="59" xr:uid="{00000000-0005-0000-0000-000083010000}"/>
    <cellStyle name="20% - Énfasis1 3 2" xfId="123" xr:uid="{00000000-0005-0000-0000-000084010000}"/>
    <cellStyle name="20% - Énfasis1 3 2 2" xfId="246" xr:uid="{00000000-0005-0000-0000-000085010000}"/>
    <cellStyle name="20% - Énfasis1 3 2 2 2" xfId="484" xr:uid="{00000000-0005-0000-0000-000086010000}"/>
    <cellStyle name="20% - Énfasis1 3 2 2 2 2" xfId="958" xr:uid="{00000000-0005-0000-0000-000087010000}"/>
    <cellStyle name="20% - Énfasis1 3 2 2 2 2 2" xfId="1904" xr:uid="{00000000-0005-0000-0000-000088010000}"/>
    <cellStyle name="20% - Énfasis1 3 2 2 2 2 2 2" xfId="3794" xr:uid="{00000000-0005-0000-0000-000089010000}"/>
    <cellStyle name="20% - Énfasis1 3 2 2 2 2 2 2 2" xfId="7573" xr:uid="{00000000-0005-0000-0000-00008A010000}"/>
    <cellStyle name="20% - Énfasis1 3 2 2 2 2 2 2 3" xfId="11349" xr:uid="{00000000-0005-0000-0000-00008B010000}"/>
    <cellStyle name="20% - Énfasis1 3 2 2 2 2 2 3" xfId="5685" xr:uid="{00000000-0005-0000-0000-00008C010000}"/>
    <cellStyle name="20% - Énfasis1 3 2 2 2 2 2 4" xfId="9461" xr:uid="{00000000-0005-0000-0000-00008D010000}"/>
    <cellStyle name="20% - Énfasis1 3 2 2 2 2 3" xfId="2850" xr:uid="{00000000-0005-0000-0000-00008E010000}"/>
    <cellStyle name="20% - Énfasis1 3 2 2 2 2 3 2" xfId="6629" xr:uid="{00000000-0005-0000-0000-00008F010000}"/>
    <cellStyle name="20% - Énfasis1 3 2 2 2 2 3 3" xfId="10405" xr:uid="{00000000-0005-0000-0000-000090010000}"/>
    <cellStyle name="20% - Énfasis1 3 2 2 2 2 4" xfId="4741" xr:uid="{00000000-0005-0000-0000-000091010000}"/>
    <cellStyle name="20% - Énfasis1 3 2 2 2 2 5" xfId="8517" xr:uid="{00000000-0005-0000-0000-000092010000}"/>
    <cellStyle name="20% - Énfasis1 3 2 2 2 3" xfId="1432" xr:uid="{00000000-0005-0000-0000-000093010000}"/>
    <cellStyle name="20% - Énfasis1 3 2 2 2 3 2" xfId="3322" xr:uid="{00000000-0005-0000-0000-000094010000}"/>
    <cellStyle name="20% - Énfasis1 3 2 2 2 3 2 2" xfId="7101" xr:uid="{00000000-0005-0000-0000-000095010000}"/>
    <cellStyle name="20% - Énfasis1 3 2 2 2 3 2 3" xfId="10877" xr:uid="{00000000-0005-0000-0000-000096010000}"/>
    <cellStyle name="20% - Énfasis1 3 2 2 2 3 3" xfId="5213" xr:uid="{00000000-0005-0000-0000-000097010000}"/>
    <cellStyle name="20% - Énfasis1 3 2 2 2 3 4" xfId="8989" xr:uid="{00000000-0005-0000-0000-000098010000}"/>
    <cellStyle name="20% - Énfasis1 3 2 2 2 4" xfId="2378" xr:uid="{00000000-0005-0000-0000-000099010000}"/>
    <cellStyle name="20% - Énfasis1 3 2 2 2 4 2" xfId="6157" xr:uid="{00000000-0005-0000-0000-00009A010000}"/>
    <cellStyle name="20% - Énfasis1 3 2 2 2 4 3" xfId="9933" xr:uid="{00000000-0005-0000-0000-00009B010000}"/>
    <cellStyle name="20% - Énfasis1 3 2 2 2 5" xfId="4269" xr:uid="{00000000-0005-0000-0000-00009C010000}"/>
    <cellStyle name="20% - Énfasis1 3 2 2 2 6" xfId="8045" xr:uid="{00000000-0005-0000-0000-00009D010000}"/>
    <cellStyle name="20% - Énfasis1 3 2 2 3" xfId="722" xr:uid="{00000000-0005-0000-0000-00009E010000}"/>
    <cellStyle name="20% - Énfasis1 3 2 2 3 2" xfId="1668" xr:uid="{00000000-0005-0000-0000-00009F010000}"/>
    <cellStyle name="20% - Énfasis1 3 2 2 3 2 2" xfId="3558" xr:uid="{00000000-0005-0000-0000-0000A0010000}"/>
    <cellStyle name="20% - Énfasis1 3 2 2 3 2 2 2" xfId="7337" xr:uid="{00000000-0005-0000-0000-0000A1010000}"/>
    <cellStyle name="20% - Énfasis1 3 2 2 3 2 2 3" xfId="11113" xr:uid="{00000000-0005-0000-0000-0000A2010000}"/>
    <cellStyle name="20% - Énfasis1 3 2 2 3 2 3" xfId="5449" xr:uid="{00000000-0005-0000-0000-0000A3010000}"/>
    <cellStyle name="20% - Énfasis1 3 2 2 3 2 4" xfId="9225" xr:uid="{00000000-0005-0000-0000-0000A4010000}"/>
    <cellStyle name="20% - Énfasis1 3 2 2 3 3" xfId="2614" xr:uid="{00000000-0005-0000-0000-0000A5010000}"/>
    <cellStyle name="20% - Énfasis1 3 2 2 3 3 2" xfId="6393" xr:uid="{00000000-0005-0000-0000-0000A6010000}"/>
    <cellStyle name="20% - Énfasis1 3 2 2 3 3 3" xfId="10169" xr:uid="{00000000-0005-0000-0000-0000A7010000}"/>
    <cellStyle name="20% - Énfasis1 3 2 2 3 4" xfId="4505" xr:uid="{00000000-0005-0000-0000-0000A8010000}"/>
    <cellStyle name="20% - Énfasis1 3 2 2 3 5" xfId="8281" xr:uid="{00000000-0005-0000-0000-0000A9010000}"/>
    <cellStyle name="20% - Énfasis1 3 2 2 4" xfId="1196" xr:uid="{00000000-0005-0000-0000-0000AA010000}"/>
    <cellStyle name="20% - Énfasis1 3 2 2 4 2" xfId="3086" xr:uid="{00000000-0005-0000-0000-0000AB010000}"/>
    <cellStyle name="20% - Énfasis1 3 2 2 4 2 2" xfId="6865" xr:uid="{00000000-0005-0000-0000-0000AC010000}"/>
    <cellStyle name="20% - Énfasis1 3 2 2 4 2 3" xfId="10641" xr:uid="{00000000-0005-0000-0000-0000AD010000}"/>
    <cellStyle name="20% - Énfasis1 3 2 2 4 3" xfId="4977" xr:uid="{00000000-0005-0000-0000-0000AE010000}"/>
    <cellStyle name="20% - Énfasis1 3 2 2 4 4" xfId="8753" xr:uid="{00000000-0005-0000-0000-0000AF010000}"/>
    <cellStyle name="20% - Énfasis1 3 2 2 5" xfId="2142" xr:uid="{00000000-0005-0000-0000-0000B0010000}"/>
    <cellStyle name="20% - Énfasis1 3 2 2 5 2" xfId="5921" xr:uid="{00000000-0005-0000-0000-0000B1010000}"/>
    <cellStyle name="20% - Énfasis1 3 2 2 5 3" xfId="9697" xr:uid="{00000000-0005-0000-0000-0000B2010000}"/>
    <cellStyle name="20% - Énfasis1 3 2 2 6" xfId="4033" xr:uid="{00000000-0005-0000-0000-0000B3010000}"/>
    <cellStyle name="20% - Énfasis1 3 2 2 7" xfId="7809" xr:uid="{00000000-0005-0000-0000-0000B4010000}"/>
    <cellStyle name="20% - Énfasis1 3 2 3" xfId="366" xr:uid="{00000000-0005-0000-0000-0000B5010000}"/>
    <cellStyle name="20% - Énfasis1 3 2 3 2" xfId="840" xr:uid="{00000000-0005-0000-0000-0000B6010000}"/>
    <cellStyle name="20% - Énfasis1 3 2 3 2 2" xfId="1786" xr:uid="{00000000-0005-0000-0000-0000B7010000}"/>
    <cellStyle name="20% - Énfasis1 3 2 3 2 2 2" xfId="3676" xr:uid="{00000000-0005-0000-0000-0000B8010000}"/>
    <cellStyle name="20% - Énfasis1 3 2 3 2 2 2 2" xfId="7455" xr:uid="{00000000-0005-0000-0000-0000B9010000}"/>
    <cellStyle name="20% - Énfasis1 3 2 3 2 2 2 3" xfId="11231" xr:uid="{00000000-0005-0000-0000-0000BA010000}"/>
    <cellStyle name="20% - Énfasis1 3 2 3 2 2 3" xfId="5567" xr:uid="{00000000-0005-0000-0000-0000BB010000}"/>
    <cellStyle name="20% - Énfasis1 3 2 3 2 2 4" xfId="9343" xr:uid="{00000000-0005-0000-0000-0000BC010000}"/>
    <cellStyle name="20% - Énfasis1 3 2 3 2 3" xfId="2732" xr:uid="{00000000-0005-0000-0000-0000BD010000}"/>
    <cellStyle name="20% - Énfasis1 3 2 3 2 3 2" xfId="6511" xr:uid="{00000000-0005-0000-0000-0000BE010000}"/>
    <cellStyle name="20% - Énfasis1 3 2 3 2 3 3" xfId="10287" xr:uid="{00000000-0005-0000-0000-0000BF010000}"/>
    <cellStyle name="20% - Énfasis1 3 2 3 2 4" xfId="4623" xr:uid="{00000000-0005-0000-0000-0000C0010000}"/>
    <cellStyle name="20% - Énfasis1 3 2 3 2 5" xfId="8399" xr:uid="{00000000-0005-0000-0000-0000C1010000}"/>
    <cellStyle name="20% - Énfasis1 3 2 3 3" xfId="1314" xr:uid="{00000000-0005-0000-0000-0000C2010000}"/>
    <cellStyle name="20% - Énfasis1 3 2 3 3 2" xfId="3204" xr:uid="{00000000-0005-0000-0000-0000C3010000}"/>
    <cellStyle name="20% - Énfasis1 3 2 3 3 2 2" xfId="6983" xr:uid="{00000000-0005-0000-0000-0000C4010000}"/>
    <cellStyle name="20% - Énfasis1 3 2 3 3 2 3" xfId="10759" xr:uid="{00000000-0005-0000-0000-0000C5010000}"/>
    <cellStyle name="20% - Énfasis1 3 2 3 3 3" xfId="5095" xr:uid="{00000000-0005-0000-0000-0000C6010000}"/>
    <cellStyle name="20% - Énfasis1 3 2 3 3 4" xfId="8871" xr:uid="{00000000-0005-0000-0000-0000C7010000}"/>
    <cellStyle name="20% - Énfasis1 3 2 3 4" xfId="2260" xr:uid="{00000000-0005-0000-0000-0000C8010000}"/>
    <cellStyle name="20% - Énfasis1 3 2 3 4 2" xfId="6039" xr:uid="{00000000-0005-0000-0000-0000C9010000}"/>
    <cellStyle name="20% - Énfasis1 3 2 3 4 3" xfId="9815" xr:uid="{00000000-0005-0000-0000-0000CA010000}"/>
    <cellStyle name="20% - Énfasis1 3 2 3 5" xfId="4151" xr:uid="{00000000-0005-0000-0000-0000CB010000}"/>
    <cellStyle name="20% - Énfasis1 3 2 3 6" xfId="7927" xr:uid="{00000000-0005-0000-0000-0000CC010000}"/>
    <cellStyle name="20% - Énfasis1 3 2 4" xfId="604" xr:uid="{00000000-0005-0000-0000-0000CD010000}"/>
    <cellStyle name="20% - Énfasis1 3 2 4 2" xfId="1550" xr:uid="{00000000-0005-0000-0000-0000CE010000}"/>
    <cellStyle name="20% - Énfasis1 3 2 4 2 2" xfId="3440" xr:uid="{00000000-0005-0000-0000-0000CF010000}"/>
    <cellStyle name="20% - Énfasis1 3 2 4 2 2 2" xfId="7219" xr:uid="{00000000-0005-0000-0000-0000D0010000}"/>
    <cellStyle name="20% - Énfasis1 3 2 4 2 2 3" xfId="10995" xr:uid="{00000000-0005-0000-0000-0000D1010000}"/>
    <cellStyle name="20% - Énfasis1 3 2 4 2 3" xfId="5331" xr:uid="{00000000-0005-0000-0000-0000D2010000}"/>
    <cellStyle name="20% - Énfasis1 3 2 4 2 4" xfId="9107" xr:uid="{00000000-0005-0000-0000-0000D3010000}"/>
    <cellStyle name="20% - Énfasis1 3 2 4 3" xfId="2496" xr:uid="{00000000-0005-0000-0000-0000D4010000}"/>
    <cellStyle name="20% - Énfasis1 3 2 4 3 2" xfId="6275" xr:uid="{00000000-0005-0000-0000-0000D5010000}"/>
    <cellStyle name="20% - Énfasis1 3 2 4 3 3" xfId="10051" xr:uid="{00000000-0005-0000-0000-0000D6010000}"/>
    <cellStyle name="20% - Énfasis1 3 2 4 4" xfId="4387" xr:uid="{00000000-0005-0000-0000-0000D7010000}"/>
    <cellStyle name="20% - Énfasis1 3 2 4 5" xfId="8163" xr:uid="{00000000-0005-0000-0000-0000D8010000}"/>
    <cellStyle name="20% - Énfasis1 3 2 5" xfId="1078" xr:uid="{00000000-0005-0000-0000-0000D9010000}"/>
    <cellStyle name="20% - Énfasis1 3 2 5 2" xfId="2968" xr:uid="{00000000-0005-0000-0000-0000DA010000}"/>
    <cellStyle name="20% - Énfasis1 3 2 5 2 2" xfId="6747" xr:uid="{00000000-0005-0000-0000-0000DB010000}"/>
    <cellStyle name="20% - Énfasis1 3 2 5 2 3" xfId="10523" xr:uid="{00000000-0005-0000-0000-0000DC010000}"/>
    <cellStyle name="20% - Énfasis1 3 2 5 3" xfId="4859" xr:uid="{00000000-0005-0000-0000-0000DD010000}"/>
    <cellStyle name="20% - Énfasis1 3 2 5 4" xfId="8635" xr:uid="{00000000-0005-0000-0000-0000DE010000}"/>
    <cellStyle name="20% - Énfasis1 3 2 6" xfId="2024" xr:uid="{00000000-0005-0000-0000-0000DF010000}"/>
    <cellStyle name="20% - Énfasis1 3 2 6 2" xfId="5803" xr:uid="{00000000-0005-0000-0000-0000E0010000}"/>
    <cellStyle name="20% - Énfasis1 3 2 6 3" xfId="9579" xr:uid="{00000000-0005-0000-0000-0000E1010000}"/>
    <cellStyle name="20% - Énfasis1 3 2 7" xfId="3915" xr:uid="{00000000-0005-0000-0000-0000E2010000}"/>
    <cellStyle name="20% - Énfasis1 3 2 8" xfId="7691" xr:uid="{00000000-0005-0000-0000-0000E3010000}"/>
    <cellStyle name="20% - Énfasis1 3 3" xfId="187" xr:uid="{00000000-0005-0000-0000-0000E4010000}"/>
    <cellStyle name="20% - Énfasis1 3 3 2" xfId="425" xr:uid="{00000000-0005-0000-0000-0000E5010000}"/>
    <cellStyle name="20% - Énfasis1 3 3 2 2" xfId="899" xr:uid="{00000000-0005-0000-0000-0000E6010000}"/>
    <cellStyle name="20% - Énfasis1 3 3 2 2 2" xfId="1845" xr:uid="{00000000-0005-0000-0000-0000E7010000}"/>
    <cellStyle name="20% - Énfasis1 3 3 2 2 2 2" xfId="3735" xr:uid="{00000000-0005-0000-0000-0000E8010000}"/>
    <cellStyle name="20% - Énfasis1 3 3 2 2 2 2 2" xfId="7514" xr:uid="{00000000-0005-0000-0000-0000E9010000}"/>
    <cellStyle name="20% - Énfasis1 3 3 2 2 2 2 3" xfId="11290" xr:uid="{00000000-0005-0000-0000-0000EA010000}"/>
    <cellStyle name="20% - Énfasis1 3 3 2 2 2 3" xfId="5626" xr:uid="{00000000-0005-0000-0000-0000EB010000}"/>
    <cellStyle name="20% - Énfasis1 3 3 2 2 2 4" xfId="9402" xr:uid="{00000000-0005-0000-0000-0000EC010000}"/>
    <cellStyle name="20% - Énfasis1 3 3 2 2 3" xfId="2791" xr:uid="{00000000-0005-0000-0000-0000ED010000}"/>
    <cellStyle name="20% - Énfasis1 3 3 2 2 3 2" xfId="6570" xr:uid="{00000000-0005-0000-0000-0000EE010000}"/>
    <cellStyle name="20% - Énfasis1 3 3 2 2 3 3" xfId="10346" xr:uid="{00000000-0005-0000-0000-0000EF010000}"/>
    <cellStyle name="20% - Énfasis1 3 3 2 2 4" xfId="4682" xr:uid="{00000000-0005-0000-0000-0000F0010000}"/>
    <cellStyle name="20% - Énfasis1 3 3 2 2 5" xfId="8458" xr:uid="{00000000-0005-0000-0000-0000F1010000}"/>
    <cellStyle name="20% - Énfasis1 3 3 2 3" xfId="1373" xr:uid="{00000000-0005-0000-0000-0000F2010000}"/>
    <cellStyle name="20% - Énfasis1 3 3 2 3 2" xfId="3263" xr:uid="{00000000-0005-0000-0000-0000F3010000}"/>
    <cellStyle name="20% - Énfasis1 3 3 2 3 2 2" xfId="7042" xr:uid="{00000000-0005-0000-0000-0000F4010000}"/>
    <cellStyle name="20% - Énfasis1 3 3 2 3 2 3" xfId="10818" xr:uid="{00000000-0005-0000-0000-0000F5010000}"/>
    <cellStyle name="20% - Énfasis1 3 3 2 3 3" xfId="5154" xr:uid="{00000000-0005-0000-0000-0000F6010000}"/>
    <cellStyle name="20% - Énfasis1 3 3 2 3 4" xfId="8930" xr:uid="{00000000-0005-0000-0000-0000F7010000}"/>
    <cellStyle name="20% - Énfasis1 3 3 2 4" xfId="2319" xr:uid="{00000000-0005-0000-0000-0000F8010000}"/>
    <cellStyle name="20% - Énfasis1 3 3 2 4 2" xfId="6098" xr:uid="{00000000-0005-0000-0000-0000F9010000}"/>
    <cellStyle name="20% - Énfasis1 3 3 2 4 3" xfId="9874" xr:uid="{00000000-0005-0000-0000-0000FA010000}"/>
    <cellStyle name="20% - Énfasis1 3 3 2 5" xfId="4210" xr:uid="{00000000-0005-0000-0000-0000FB010000}"/>
    <cellStyle name="20% - Énfasis1 3 3 2 6" xfId="7986" xr:uid="{00000000-0005-0000-0000-0000FC010000}"/>
    <cellStyle name="20% - Énfasis1 3 3 3" xfId="663" xr:uid="{00000000-0005-0000-0000-0000FD010000}"/>
    <cellStyle name="20% - Énfasis1 3 3 3 2" xfId="1609" xr:uid="{00000000-0005-0000-0000-0000FE010000}"/>
    <cellStyle name="20% - Énfasis1 3 3 3 2 2" xfId="3499" xr:uid="{00000000-0005-0000-0000-0000FF010000}"/>
    <cellStyle name="20% - Énfasis1 3 3 3 2 2 2" xfId="7278" xr:uid="{00000000-0005-0000-0000-000000020000}"/>
    <cellStyle name="20% - Énfasis1 3 3 3 2 2 3" xfId="11054" xr:uid="{00000000-0005-0000-0000-000001020000}"/>
    <cellStyle name="20% - Énfasis1 3 3 3 2 3" xfId="5390" xr:uid="{00000000-0005-0000-0000-000002020000}"/>
    <cellStyle name="20% - Énfasis1 3 3 3 2 4" xfId="9166" xr:uid="{00000000-0005-0000-0000-000003020000}"/>
    <cellStyle name="20% - Énfasis1 3 3 3 3" xfId="2555" xr:uid="{00000000-0005-0000-0000-000004020000}"/>
    <cellStyle name="20% - Énfasis1 3 3 3 3 2" xfId="6334" xr:uid="{00000000-0005-0000-0000-000005020000}"/>
    <cellStyle name="20% - Énfasis1 3 3 3 3 3" xfId="10110" xr:uid="{00000000-0005-0000-0000-000006020000}"/>
    <cellStyle name="20% - Énfasis1 3 3 3 4" xfId="4446" xr:uid="{00000000-0005-0000-0000-000007020000}"/>
    <cellStyle name="20% - Énfasis1 3 3 3 5" xfId="8222" xr:uid="{00000000-0005-0000-0000-000008020000}"/>
    <cellStyle name="20% - Énfasis1 3 3 4" xfId="1137" xr:uid="{00000000-0005-0000-0000-000009020000}"/>
    <cellStyle name="20% - Énfasis1 3 3 4 2" xfId="3027" xr:uid="{00000000-0005-0000-0000-00000A020000}"/>
    <cellStyle name="20% - Énfasis1 3 3 4 2 2" xfId="6806" xr:uid="{00000000-0005-0000-0000-00000B020000}"/>
    <cellStyle name="20% - Énfasis1 3 3 4 2 3" xfId="10582" xr:uid="{00000000-0005-0000-0000-00000C020000}"/>
    <cellStyle name="20% - Énfasis1 3 3 4 3" xfId="4918" xr:uid="{00000000-0005-0000-0000-00000D020000}"/>
    <cellStyle name="20% - Énfasis1 3 3 4 4" xfId="8694" xr:uid="{00000000-0005-0000-0000-00000E020000}"/>
    <cellStyle name="20% - Énfasis1 3 3 5" xfId="2083" xr:uid="{00000000-0005-0000-0000-00000F020000}"/>
    <cellStyle name="20% - Énfasis1 3 3 5 2" xfId="5862" xr:uid="{00000000-0005-0000-0000-000010020000}"/>
    <cellStyle name="20% - Énfasis1 3 3 5 3" xfId="9638" xr:uid="{00000000-0005-0000-0000-000011020000}"/>
    <cellStyle name="20% - Énfasis1 3 3 6" xfId="3974" xr:uid="{00000000-0005-0000-0000-000012020000}"/>
    <cellStyle name="20% - Énfasis1 3 3 7" xfId="7750" xr:uid="{00000000-0005-0000-0000-000013020000}"/>
    <cellStyle name="20% - Énfasis1 3 4" xfId="307" xr:uid="{00000000-0005-0000-0000-000014020000}"/>
    <cellStyle name="20% - Énfasis1 3 4 2" xfId="781" xr:uid="{00000000-0005-0000-0000-000015020000}"/>
    <cellStyle name="20% - Énfasis1 3 4 2 2" xfId="1727" xr:uid="{00000000-0005-0000-0000-000016020000}"/>
    <cellStyle name="20% - Énfasis1 3 4 2 2 2" xfId="3617" xr:uid="{00000000-0005-0000-0000-000017020000}"/>
    <cellStyle name="20% - Énfasis1 3 4 2 2 2 2" xfId="7396" xr:uid="{00000000-0005-0000-0000-000018020000}"/>
    <cellStyle name="20% - Énfasis1 3 4 2 2 2 3" xfId="11172" xr:uid="{00000000-0005-0000-0000-000019020000}"/>
    <cellStyle name="20% - Énfasis1 3 4 2 2 3" xfId="5508" xr:uid="{00000000-0005-0000-0000-00001A020000}"/>
    <cellStyle name="20% - Énfasis1 3 4 2 2 4" xfId="9284" xr:uid="{00000000-0005-0000-0000-00001B020000}"/>
    <cellStyle name="20% - Énfasis1 3 4 2 3" xfId="2673" xr:uid="{00000000-0005-0000-0000-00001C020000}"/>
    <cellStyle name="20% - Énfasis1 3 4 2 3 2" xfId="6452" xr:uid="{00000000-0005-0000-0000-00001D020000}"/>
    <cellStyle name="20% - Énfasis1 3 4 2 3 3" xfId="10228" xr:uid="{00000000-0005-0000-0000-00001E020000}"/>
    <cellStyle name="20% - Énfasis1 3 4 2 4" xfId="4564" xr:uid="{00000000-0005-0000-0000-00001F020000}"/>
    <cellStyle name="20% - Énfasis1 3 4 2 5" xfId="8340" xr:uid="{00000000-0005-0000-0000-000020020000}"/>
    <cellStyle name="20% - Énfasis1 3 4 3" xfId="1255" xr:uid="{00000000-0005-0000-0000-000021020000}"/>
    <cellStyle name="20% - Énfasis1 3 4 3 2" xfId="3145" xr:uid="{00000000-0005-0000-0000-000022020000}"/>
    <cellStyle name="20% - Énfasis1 3 4 3 2 2" xfId="6924" xr:uid="{00000000-0005-0000-0000-000023020000}"/>
    <cellStyle name="20% - Énfasis1 3 4 3 2 3" xfId="10700" xr:uid="{00000000-0005-0000-0000-000024020000}"/>
    <cellStyle name="20% - Énfasis1 3 4 3 3" xfId="5036" xr:uid="{00000000-0005-0000-0000-000025020000}"/>
    <cellStyle name="20% - Énfasis1 3 4 3 4" xfId="8812" xr:uid="{00000000-0005-0000-0000-000026020000}"/>
    <cellStyle name="20% - Énfasis1 3 4 4" xfId="2201" xr:uid="{00000000-0005-0000-0000-000027020000}"/>
    <cellStyle name="20% - Énfasis1 3 4 4 2" xfId="5980" xr:uid="{00000000-0005-0000-0000-000028020000}"/>
    <cellStyle name="20% - Énfasis1 3 4 4 3" xfId="9756" xr:uid="{00000000-0005-0000-0000-000029020000}"/>
    <cellStyle name="20% - Énfasis1 3 4 5" xfId="4092" xr:uid="{00000000-0005-0000-0000-00002A020000}"/>
    <cellStyle name="20% - Énfasis1 3 4 6" xfId="7868" xr:uid="{00000000-0005-0000-0000-00002B020000}"/>
    <cellStyle name="20% - Énfasis1 3 5" xfId="545" xr:uid="{00000000-0005-0000-0000-00002C020000}"/>
    <cellStyle name="20% - Énfasis1 3 5 2" xfId="1491" xr:uid="{00000000-0005-0000-0000-00002D020000}"/>
    <cellStyle name="20% - Énfasis1 3 5 2 2" xfId="3381" xr:uid="{00000000-0005-0000-0000-00002E020000}"/>
    <cellStyle name="20% - Énfasis1 3 5 2 2 2" xfId="7160" xr:uid="{00000000-0005-0000-0000-00002F020000}"/>
    <cellStyle name="20% - Énfasis1 3 5 2 2 3" xfId="10936" xr:uid="{00000000-0005-0000-0000-000030020000}"/>
    <cellStyle name="20% - Énfasis1 3 5 2 3" xfId="5272" xr:uid="{00000000-0005-0000-0000-000031020000}"/>
    <cellStyle name="20% - Énfasis1 3 5 2 4" xfId="9048" xr:uid="{00000000-0005-0000-0000-000032020000}"/>
    <cellStyle name="20% - Énfasis1 3 5 3" xfId="2437" xr:uid="{00000000-0005-0000-0000-000033020000}"/>
    <cellStyle name="20% - Énfasis1 3 5 3 2" xfId="6216" xr:uid="{00000000-0005-0000-0000-000034020000}"/>
    <cellStyle name="20% - Énfasis1 3 5 3 3" xfId="9992" xr:uid="{00000000-0005-0000-0000-000035020000}"/>
    <cellStyle name="20% - Énfasis1 3 5 4" xfId="4328" xr:uid="{00000000-0005-0000-0000-000036020000}"/>
    <cellStyle name="20% - Énfasis1 3 5 5" xfId="8104" xr:uid="{00000000-0005-0000-0000-000037020000}"/>
    <cellStyle name="20% - Énfasis1 3 6" xfId="1019" xr:uid="{00000000-0005-0000-0000-000038020000}"/>
    <cellStyle name="20% - Énfasis1 3 6 2" xfId="2909" xr:uid="{00000000-0005-0000-0000-000039020000}"/>
    <cellStyle name="20% - Énfasis1 3 6 2 2" xfId="6688" xr:uid="{00000000-0005-0000-0000-00003A020000}"/>
    <cellStyle name="20% - Énfasis1 3 6 2 3" xfId="10464" xr:uid="{00000000-0005-0000-0000-00003B020000}"/>
    <cellStyle name="20% - Énfasis1 3 6 3" xfId="4800" xr:uid="{00000000-0005-0000-0000-00003C020000}"/>
    <cellStyle name="20% - Énfasis1 3 6 4" xfId="8576" xr:uid="{00000000-0005-0000-0000-00003D020000}"/>
    <cellStyle name="20% - Énfasis1 3 7" xfId="1965" xr:uid="{00000000-0005-0000-0000-00003E020000}"/>
    <cellStyle name="20% - Énfasis1 3 7 2" xfId="5744" xr:uid="{00000000-0005-0000-0000-00003F020000}"/>
    <cellStyle name="20% - Énfasis1 3 7 3" xfId="9520" xr:uid="{00000000-0005-0000-0000-000040020000}"/>
    <cellStyle name="20% - Énfasis1 3 8" xfId="3856" xr:uid="{00000000-0005-0000-0000-000041020000}"/>
    <cellStyle name="20% - Énfasis1 3 9" xfId="7632" xr:uid="{00000000-0005-0000-0000-000042020000}"/>
    <cellStyle name="20% - Énfasis1 4" xfId="92" xr:uid="{00000000-0005-0000-0000-000043020000}"/>
    <cellStyle name="20% - Énfasis1 4 2" xfId="217" xr:uid="{00000000-0005-0000-0000-000044020000}"/>
    <cellStyle name="20% - Énfasis1 4 2 2" xfId="455" xr:uid="{00000000-0005-0000-0000-000045020000}"/>
    <cellStyle name="20% - Énfasis1 4 2 2 2" xfId="929" xr:uid="{00000000-0005-0000-0000-000046020000}"/>
    <cellStyle name="20% - Énfasis1 4 2 2 2 2" xfId="1875" xr:uid="{00000000-0005-0000-0000-000047020000}"/>
    <cellStyle name="20% - Énfasis1 4 2 2 2 2 2" xfId="3765" xr:uid="{00000000-0005-0000-0000-000048020000}"/>
    <cellStyle name="20% - Énfasis1 4 2 2 2 2 2 2" xfId="7544" xr:uid="{00000000-0005-0000-0000-000049020000}"/>
    <cellStyle name="20% - Énfasis1 4 2 2 2 2 2 3" xfId="11320" xr:uid="{00000000-0005-0000-0000-00004A020000}"/>
    <cellStyle name="20% - Énfasis1 4 2 2 2 2 3" xfId="5656" xr:uid="{00000000-0005-0000-0000-00004B020000}"/>
    <cellStyle name="20% - Énfasis1 4 2 2 2 2 4" xfId="9432" xr:uid="{00000000-0005-0000-0000-00004C020000}"/>
    <cellStyle name="20% - Énfasis1 4 2 2 2 3" xfId="2821" xr:uid="{00000000-0005-0000-0000-00004D020000}"/>
    <cellStyle name="20% - Énfasis1 4 2 2 2 3 2" xfId="6600" xr:uid="{00000000-0005-0000-0000-00004E020000}"/>
    <cellStyle name="20% - Énfasis1 4 2 2 2 3 3" xfId="10376" xr:uid="{00000000-0005-0000-0000-00004F020000}"/>
    <cellStyle name="20% - Énfasis1 4 2 2 2 4" xfId="4712" xr:uid="{00000000-0005-0000-0000-000050020000}"/>
    <cellStyle name="20% - Énfasis1 4 2 2 2 5" xfId="8488" xr:uid="{00000000-0005-0000-0000-000051020000}"/>
    <cellStyle name="20% - Énfasis1 4 2 2 3" xfId="1403" xr:uid="{00000000-0005-0000-0000-000052020000}"/>
    <cellStyle name="20% - Énfasis1 4 2 2 3 2" xfId="3293" xr:uid="{00000000-0005-0000-0000-000053020000}"/>
    <cellStyle name="20% - Énfasis1 4 2 2 3 2 2" xfId="7072" xr:uid="{00000000-0005-0000-0000-000054020000}"/>
    <cellStyle name="20% - Énfasis1 4 2 2 3 2 3" xfId="10848" xr:uid="{00000000-0005-0000-0000-000055020000}"/>
    <cellStyle name="20% - Énfasis1 4 2 2 3 3" xfId="5184" xr:uid="{00000000-0005-0000-0000-000056020000}"/>
    <cellStyle name="20% - Énfasis1 4 2 2 3 4" xfId="8960" xr:uid="{00000000-0005-0000-0000-000057020000}"/>
    <cellStyle name="20% - Énfasis1 4 2 2 4" xfId="2349" xr:uid="{00000000-0005-0000-0000-000058020000}"/>
    <cellStyle name="20% - Énfasis1 4 2 2 4 2" xfId="6128" xr:uid="{00000000-0005-0000-0000-000059020000}"/>
    <cellStyle name="20% - Énfasis1 4 2 2 4 3" xfId="9904" xr:uid="{00000000-0005-0000-0000-00005A020000}"/>
    <cellStyle name="20% - Énfasis1 4 2 2 5" xfId="4240" xr:uid="{00000000-0005-0000-0000-00005B020000}"/>
    <cellStyle name="20% - Énfasis1 4 2 2 6" xfId="8016" xr:uid="{00000000-0005-0000-0000-00005C020000}"/>
    <cellStyle name="20% - Énfasis1 4 2 3" xfId="693" xr:uid="{00000000-0005-0000-0000-00005D020000}"/>
    <cellStyle name="20% - Énfasis1 4 2 3 2" xfId="1639" xr:uid="{00000000-0005-0000-0000-00005E020000}"/>
    <cellStyle name="20% - Énfasis1 4 2 3 2 2" xfId="3529" xr:uid="{00000000-0005-0000-0000-00005F020000}"/>
    <cellStyle name="20% - Énfasis1 4 2 3 2 2 2" xfId="7308" xr:uid="{00000000-0005-0000-0000-000060020000}"/>
    <cellStyle name="20% - Énfasis1 4 2 3 2 2 3" xfId="11084" xr:uid="{00000000-0005-0000-0000-000061020000}"/>
    <cellStyle name="20% - Énfasis1 4 2 3 2 3" xfId="5420" xr:uid="{00000000-0005-0000-0000-000062020000}"/>
    <cellStyle name="20% - Énfasis1 4 2 3 2 4" xfId="9196" xr:uid="{00000000-0005-0000-0000-000063020000}"/>
    <cellStyle name="20% - Énfasis1 4 2 3 3" xfId="2585" xr:uid="{00000000-0005-0000-0000-000064020000}"/>
    <cellStyle name="20% - Énfasis1 4 2 3 3 2" xfId="6364" xr:uid="{00000000-0005-0000-0000-000065020000}"/>
    <cellStyle name="20% - Énfasis1 4 2 3 3 3" xfId="10140" xr:uid="{00000000-0005-0000-0000-000066020000}"/>
    <cellStyle name="20% - Énfasis1 4 2 3 4" xfId="4476" xr:uid="{00000000-0005-0000-0000-000067020000}"/>
    <cellStyle name="20% - Énfasis1 4 2 3 5" xfId="8252" xr:uid="{00000000-0005-0000-0000-000068020000}"/>
    <cellStyle name="20% - Énfasis1 4 2 4" xfId="1167" xr:uid="{00000000-0005-0000-0000-000069020000}"/>
    <cellStyle name="20% - Énfasis1 4 2 4 2" xfId="3057" xr:uid="{00000000-0005-0000-0000-00006A020000}"/>
    <cellStyle name="20% - Énfasis1 4 2 4 2 2" xfId="6836" xr:uid="{00000000-0005-0000-0000-00006B020000}"/>
    <cellStyle name="20% - Énfasis1 4 2 4 2 3" xfId="10612" xr:uid="{00000000-0005-0000-0000-00006C020000}"/>
    <cellStyle name="20% - Énfasis1 4 2 4 3" xfId="4948" xr:uid="{00000000-0005-0000-0000-00006D020000}"/>
    <cellStyle name="20% - Énfasis1 4 2 4 4" xfId="8724" xr:uid="{00000000-0005-0000-0000-00006E020000}"/>
    <cellStyle name="20% - Énfasis1 4 2 5" xfId="2113" xr:uid="{00000000-0005-0000-0000-00006F020000}"/>
    <cellStyle name="20% - Énfasis1 4 2 5 2" xfId="5892" xr:uid="{00000000-0005-0000-0000-000070020000}"/>
    <cellStyle name="20% - Énfasis1 4 2 5 3" xfId="9668" xr:uid="{00000000-0005-0000-0000-000071020000}"/>
    <cellStyle name="20% - Énfasis1 4 2 6" xfId="4004" xr:uid="{00000000-0005-0000-0000-000072020000}"/>
    <cellStyle name="20% - Énfasis1 4 2 7" xfId="7780" xr:uid="{00000000-0005-0000-0000-000073020000}"/>
    <cellStyle name="20% - Énfasis1 4 3" xfId="337" xr:uid="{00000000-0005-0000-0000-000074020000}"/>
    <cellStyle name="20% - Énfasis1 4 3 2" xfId="811" xr:uid="{00000000-0005-0000-0000-000075020000}"/>
    <cellStyle name="20% - Énfasis1 4 3 2 2" xfId="1757" xr:uid="{00000000-0005-0000-0000-000076020000}"/>
    <cellStyle name="20% - Énfasis1 4 3 2 2 2" xfId="3647" xr:uid="{00000000-0005-0000-0000-000077020000}"/>
    <cellStyle name="20% - Énfasis1 4 3 2 2 2 2" xfId="7426" xr:uid="{00000000-0005-0000-0000-000078020000}"/>
    <cellStyle name="20% - Énfasis1 4 3 2 2 2 3" xfId="11202" xr:uid="{00000000-0005-0000-0000-000079020000}"/>
    <cellStyle name="20% - Énfasis1 4 3 2 2 3" xfId="5538" xr:uid="{00000000-0005-0000-0000-00007A020000}"/>
    <cellStyle name="20% - Énfasis1 4 3 2 2 4" xfId="9314" xr:uid="{00000000-0005-0000-0000-00007B020000}"/>
    <cellStyle name="20% - Énfasis1 4 3 2 3" xfId="2703" xr:uid="{00000000-0005-0000-0000-00007C020000}"/>
    <cellStyle name="20% - Énfasis1 4 3 2 3 2" xfId="6482" xr:uid="{00000000-0005-0000-0000-00007D020000}"/>
    <cellStyle name="20% - Énfasis1 4 3 2 3 3" xfId="10258" xr:uid="{00000000-0005-0000-0000-00007E020000}"/>
    <cellStyle name="20% - Énfasis1 4 3 2 4" xfId="4594" xr:uid="{00000000-0005-0000-0000-00007F020000}"/>
    <cellStyle name="20% - Énfasis1 4 3 2 5" xfId="8370" xr:uid="{00000000-0005-0000-0000-000080020000}"/>
    <cellStyle name="20% - Énfasis1 4 3 3" xfId="1285" xr:uid="{00000000-0005-0000-0000-000081020000}"/>
    <cellStyle name="20% - Énfasis1 4 3 3 2" xfId="3175" xr:uid="{00000000-0005-0000-0000-000082020000}"/>
    <cellStyle name="20% - Énfasis1 4 3 3 2 2" xfId="6954" xr:uid="{00000000-0005-0000-0000-000083020000}"/>
    <cellStyle name="20% - Énfasis1 4 3 3 2 3" xfId="10730" xr:uid="{00000000-0005-0000-0000-000084020000}"/>
    <cellStyle name="20% - Énfasis1 4 3 3 3" xfId="5066" xr:uid="{00000000-0005-0000-0000-000085020000}"/>
    <cellStyle name="20% - Énfasis1 4 3 3 4" xfId="8842" xr:uid="{00000000-0005-0000-0000-000086020000}"/>
    <cellStyle name="20% - Énfasis1 4 3 4" xfId="2231" xr:uid="{00000000-0005-0000-0000-000087020000}"/>
    <cellStyle name="20% - Énfasis1 4 3 4 2" xfId="6010" xr:uid="{00000000-0005-0000-0000-000088020000}"/>
    <cellStyle name="20% - Énfasis1 4 3 4 3" xfId="9786" xr:uid="{00000000-0005-0000-0000-000089020000}"/>
    <cellStyle name="20% - Énfasis1 4 3 5" xfId="4122" xr:uid="{00000000-0005-0000-0000-00008A020000}"/>
    <cellStyle name="20% - Énfasis1 4 3 6" xfId="7898" xr:uid="{00000000-0005-0000-0000-00008B020000}"/>
    <cellStyle name="20% - Énfasis1 4 4" xfId="575" xr:uid="{00000000-0005-0000-0000-00008C020000}"/>
    <cellStyle name="20% - Énfasis1 4 4 2" xfId="1521" xr:uid="{00000000-0005-0000-0000-00008D020000}"/>
    <cellStyle name="20% - Énfasis1 4 4 2 2" xfId="3411" xr:uid="{00000000-0005-0000-0000-00008E020000}"/>
    <cellStyle name="20% - Énfasis1 4 4 2 2 2" xfId="7190" xr:uid="{00000000-0005-0000-0000-00008F020000}"/>
    <cellStyle name="20% - Énfasis1 4 4 2 2 3" xfId="10966" xr:uid="{00000000-0005-0000-0000-000090020000}"/>
    <cellStyle name="20% - Énfasis1 4 4 2 3" xfId="5302" xr:uid="{00000000-0005-0000-0000-000091020000}"/>
    <cellStyle name="20% - Énfasis1 4 4 2 4" xfId="9078" xr:uid="{00000000-0005-0000-0000-000092020000}"/>
    <cellStyle name="20% - Énfasis1 4 4 3" xfId="2467" xr:uid="{00000000-0005-0000-0000-000093020000}"/>
    <cellStyle name="20% - Énfasis1 4 4 3 2" xfId="6246" xr:uid="{00000000-0005-0000-0000-000094020000}"/>
    <cellStyle name="20% - Énfasis1 4 4 3 3" xfId="10022" xr:uid="{00000000-0005-0000-0000-000095020000}"/>
    <cellStyle name="20% - Énfasis1 4 4 4" xfId="4358" xr:uid="{00000000-0005-0000-0000-000096020000}"/>
    <cellStyle name="20% - Énfasis1 4 4 5" xfId="8134" xr:uid="{00000000-0005-0000-0000-000097020000}"/>
    <cellStyle name="20% - Énfasis1 4 5" xfId="1049" xr:uid="{00000000-0005-0000-0000-000098020000}"/>
    <cellStyle name="20% - Énfasis1 4 5 2" xfId="2939" xr:uid="{00000000-0005-0000-0000-000099020000}"/>
    <cellStyle name="20% - Énfasis1 4 5 2 2" xfId="6718" xr:uid="{00000000-0005-0000-0000-00009A020000}"/>
    <cellStyle name="20% - Énfasis1 4 5 2 3" xfId="10494" xr:uid="{00000000-0005-0000-0000-00009B020000}"/>
    <cellStyle name="20% - Énfasis1 4 5 3" xfId="4830" xr:uid="{00000000-0005-0000-0000-00009C020000}"/>
    <cellStyle name="20% - Énfasis1 4 5 4" xfId="8606" xr:uid="{00000000-0005-0000-0000-00009D020000}"/>
    <cellStyle name="20% - Énfasis1 4 6" xfId="1995" xr:uid="{00000000-0005-0000-0000-00009E020000}"/>
    <cellStyle name="20% - Énfasis1 4 6 2" xfId="5774" xr:uid="{00000000-0005-0000-0000-00009F020000}"/>
    <cellStyle name="20% - Énfasis1 4 6 3" xfId="9550" xr:uid="{00000000-0005-0000-0000-0000A0020000}"/>
    <cellStyle name="20% - Énfasis1 4 7" xfId="3886" xr:uid="{00000000-0005-0000-0000-0000A1020000}"/>
    <cellStyle name="20% - Énfasis1 4 8" xfId="7662" xr:uid="{00000000-0005-0000-0000-0000A2020000}"/>
    <cellStyle name="20% - Énfasis1 5" xfId="156" xr:uid="{00000000-0005-0000-0000-0000A3020000}"/>
    <cellStyle name="20% - Énfasis1 5 2" xfId="396" xr:uid="{00000000-0005-0000-0000-0000A4020000}"/>
    <cellStyle name="20% - Énfasis1 5 2 2" xfId="870" xr:uid="{00000000-0005-0000-0000-0000A5020000}"/>
    <cellStyle name="20% - Énfasis1 5 2 2 2" xfId="1816" xr:uid="{00000000-0005-0000-0000-0000A6020000}"/>
    <cellStyle name="20% - Énfasis1 5 2 2 2 2" xfId="3706" xr:uid="{00000000-0005-0000-0000-0000A7020000}"/>
    <cellStyle name="20% - Énfasis1 5 2 2 2 2 2" xfId="7485" xr:uid="{00000000-0005-0000-0000-0000A8020000}"/>
    <cellStyle name="20% - Énfasis1 5 2 2 2 2 3" xfId="11261" xr:uid="{00000000-0005-0000-0000-0000A9020000}"/>
    <cellStyle name="20% - Énfasis1 5 2 2 2 3" xfId="5597" xr:uid="{00000000-0005-0000-0000-0000AA020000}"/>
    <cellStyle name="20% - Énfasis1 5 2 2 2 4" xfId="9373" xr:uid="{00000000-0005-0000-0000-0000AB020000}"/>
    <cellStyle name="20% - Énfasis1 5 2 2 3" xfId="2762" xr:uid="{00000000-0005-0000-0000-0000AC020000}"/>
    <cellStyle name="20% - Énfasis1 5 2 2 3 2" xfId="6541" xr:uid="{00000000-0005-0000-0000-0000AD020000}"/>
    <cellStyle name="20% - Énfasis1 5 2 2 3 3" xfId="10317" xr:uid="{00000000-0005-0000-0000-0000AE020000}"/>
    <cellStyle name="20% - Énfasis1 5 2 2 4" xfId="4653" xr:uid="{00000000-0005-0000-0000-0000AF020000}"/>
    <cellStyle name="20% - Énfasis1 5 2 2 5" xfId="8429" xr:uid="{00000000-0005-0000-0000-0000B0020000}"/>
    <cellStyle name="20% - Énfasis1 5 2 3" xfId="1344" xr:uid="{00000000-0005-0000-0000-0000B1020000}"/>
    <cellStyle name="20% - Énfasis1 5 2 3 2" xfId="3234" xr:uid="{00000000-0005-0000-0000-0000B2020000}"/>
    <cellStyle name="20% - Énfasis1 5 2 3 2 2" xfId="7013" xr:uid="{00000000-0005-0000-0000-0000B3020000}"/>
    <cellStyle name="20% - Énfasis1 5 2 3 2 3" xfId="10789" xr:uid="{00000000-0005-0000-0000-0000B4020000}"/>
    <cellStyle name="20% - Énfasis1 5 2 3 3" xfId="5125" xr:uid="{00000000-0005-0000-0000-0000B5020000}"/>
    <cellStyle name="20% - Énfasis1 5 2 3 4" xfId="8901" xr:uid="{00000000-0005-0000-0000-0000B6020000}"/>
    <cellStyle name="20% - Énfasis1 5 2 4" xfId="2290" xr:uid="{00000000-0005-0000-0000-0000B7020000}"/>
    <cellStyle name="20% - Énfasis1 5 2 4 2" xfId="6069" xr:uid="{00000000-0005-0000-0000-0000B8020000}"/>
    <cellStyle name="20% - Énfasis1 5 2 4 3" xfId="9845" xr:uid="{00000000-0005-0000-0000-0000B9020000}"/>
    <cellStyle name="20% - Énfasis1 5 2 5" xfId="4181" xr:uid="{00000000-0005-0000-0000-0000BA020000}"/>
    <cellStyle name="20% - Énfasis1 5 2 6" xfId="7957" xr:uid="{00000000-0005-0000-0000-0000BB020000}"/>
    <cellStyle name="20% - Énfasis1 5 3" xfId="634" xr:uid="{00000000-0005-0000-0000-0000BC020000}"/>
    <cellStyle name="20% - Énfasis1 5 3 2" xfId="1580" xr:uid="{00000000-0005-0000-0000-0000BD020000}"/>
    <cellStyle name="20% - Énfasis1 5 3 2 2" xfId="3470" xr:uid="{00000000-0005-0000-0000-0000BE020000}"/>
    <cellStyle name="20% - Énfasis1 5 3 2 2 2" xfId="7249" xr:uid="{00000000-0005-0000-0000-0000BF020000}"/>
    <cellStyle name="20% - Énfasis1 5 3 2 2 3" xfId="11025" xr:uid="{00000000-0005-0000-0000-0000C0020000}"/>
    <cellStyle name="20% - Énfasis1 5 3 2 3" xfId="5361" xr:uid="{00000000-0005-0000-0000-0000C1020000}"/>
    <cellStyle name="20% - Énfasis1 5 3 2 4" xfId="9137" xr:uid="{00000000-0005-0000-0000-0000C2020000}"/>
    <cellStyle name="20% - Énfasis1 5 3 3" xfId="2526" xr:uid="{00000000-0005-0000-0000-0000C3020000}"/>
    <cellStyle name="20% - Énfasis1 5 3 3 2" xfId="6305" xr:uid="{00000000-0005-0000-0000-0000C4020000}"/>
    <cellStyle name="20% - Énfasis1 5 3 3 3" xfId="10081" xr:uid="{00000000-0005-0000-0000-0000C5020000}"/>
    <cellStyle name="20% - Énfasis1 5 3 4" xfId="4417" xr:uid="{00000000-0005-0000-0000-0000C6020000}"/>
    <cellStyle name="20% - Énfasis1 5 3 5" xfId="8193" xr:uid="{00000000-0005-0000-0000-0000C7020000}"/>
    <cellStyle name="20% - Énfasis1 5 4" xfId="1108" xr:uid="{00000000-0005-0000-0000-0000C8020000}"/>
    <cellStyle name="20% - Énfasis1 5 4 2" xfId="2998" xr:uid="{00000000-0005-0000-0000-0000C9020000}"/>
    <cellStyle name="20% - Énfasis1 5 4 2 2" xfId="6777" xr:uid="{00000000-0005-0000-0000-0000CA020000}"/>
    <cellStyle name="20% - Énfasis1 5 4 2 3" xfId="10553" xr:uid="{00000000-0005-0000-0000-0000CB020000}"/>
    <cellStyle name="20% - Énfasis1 5 4 3" xfId="4889" xr:uid="{00000000-0005-0000-0000-0000CC020000}"/>
    <cellStyle name="20% - Énfasis1 5 4 4" xfId="8665" xr:uid="{00000000-0005-0000-0000-0000CD020000}"/>
    <cellStyle name="20% - Énfasis1 5 5" xfId="2054" xr:uid="{00000000-0005-0000-0000-0000CE020000}"/>
    <cellStyle name="20% - Énfasis1 5 5 2" xfId="5833" xr:uid="{00000000-0005-0000-0000-0000CF020000}"/>
    <cellStyle name="20% - Énfasis1 5 5 3" xfId="9609" xr:uid="{00000000-0005-0000-0000-0000D0020000}"/>
    <cellStyle name="20% - Énfasis1 5 6" xfId="3945" xr:uid="{00000000-0005-0000-0000-0000D1020000}"/>
    <cellStyle name="20% - Énfasis1 5 7" xfId="7721" xr:uid="{00000000-0005-0000-0000-0000D2020000}"/>
    <cellStyle name="20% - Énfasis1 6" xfId="276" xr:uid="{00000000-0005-0000-0000-0000D3020000}"/>
    <cellStyle name="20% - Énfasis1 6 2" xfId="752" xr:uid="{00000000-0005-0000-0000-0000D4020000}"/>
    <cellStyle name="20% - Énfasis1 6 2 2" xfId="1698" xr:uid="{00000000-0005-0000-0000-0000D5020000}"/>
    <cellStyle name="20% - Énfasis1 6 2 2 2" xfId="3588" xr:uid="{00000000-0005-0000-0000-0000D6020000}"/>
    <cellStyle name="20% - Énfasis1 6 2 2 2 2" xfId="7367" xr:uid="{00000000-0005-0000-0000-0000D7020000}"/>
    <cellStyle name="20% - Énfasis1 6 2 2 2 3" xfId="11143" xr:uid="{00000000-0005-0000-0000-0000D8020000}"/>
    <cellStyle name="20% - Énfasis1 6 2 2 3" xfId="5479" xr:uid="{00000000-0005-0000-0000-0000D9020000}"/>
    <cellStyle name="20% - Énfasis1 6 2 2 4" xfId="9255" xr:uid="{00000000-0005-0000-0000-0000DA020000}"/>
    <cellStyle name="20% - Énfasis1 6 2 3" xfId="2644" xr:uid="{00000000-0005-0000-0000-0000DB020000}"/>
    <cellStyle name="20% - Énfasis1 6 2 3 2" xfId="6423" xr:uid="{00000000-0005-0000-0000-0000DC020000}"/>
    <cellStyle name="20% - Énfasis1 6 2 3 3" xfId="10199" xr:uid="{00000000-0005-0000-0000-0000DD020000}"/>
    <cellStyle name="20% - Énfasis1 6 2 4" xfId="4535" xr:uid="{00000000-0005-0000-0000-0000DE020000}"/>
    <cellStyle name="20% - Énfasis1 6 2 5" xfId="8311" xr:uid="{00000000-0005-0000-0000-0000DF020000}"/>
    <cellStyle name="20% - Énfasis1 6 3" xfId="1226" xr:uid="{00000000-0005-0000-0000-0000E0020000}"/>
    <cellStyle name="20% - Énfasis1 6 3 2" xfId="3116" xr:uid="{00000000-0005-0000-0000-0000E1020000}"/>
    <cellStyle name="20% - Énfasis1 6 3 2 2" xfId="6895" xr:uid="{00000000-0005-0000-0000-0000E2020000}"/>
    <cellStyle name="20% - Énfasis1 6 3 2 3" xfId="10671" xr:uid="{00000000-0005-0000-0000-0000E3020000}"/>
    <cellStyle name="20% - Énfasis1 6 3 3" xfId="5007" xr:uid="{00000000-0005-0000-0000-0000E4020000}"/>
    <cellStyle name="20% - Énfasis1 6 3 4" xfId="8783" xr:uid="{00000000-0005-0000-0000-0000E5020000}"/>
    <cellStyle name="20% - Énfasis1 6 4" xfId="2172" xr:uid="{00000000-0005-0000-0000-0000E6020000}"/>
    <cellStyle name="20% - Énfasis1 6 4 2" xfId="5951" xr:uid="{00000000-0005-0000-0000-0000E7020000}"/>
    <cellStyle name="20% - Énfasis1 6 4 3" xfId="9727" xr:uid="{00000000-0005-0000-0000-0000E8020000}"/>
    <cellStyle name="20% - Énfasis1 6 5" xfId="4063" xr:uid="{00000000-0005-0000-0000-0000E9020000}"/>
    <cellStyle name="20% - Énfasis1 6 6" xfId="7839" xr:uid="{00000000-0005-0000-0000-0000EA020000}"/>
    <cellStyle name="20% - Énfasis1 7" xfId="514" xr:uid="{00000000-0005-0000-0000-0000EB020000}"/>
    <cellStyle name="20% - Énfasis1 7 2" xfId="1462" xr:uid="{00000000-0005-0000-0000-0000EC020000}"/>
    <cellStyle name="20% - Énfasis1 7 2 2" xfId="3352" xr:uid="{00000000-0005-0000-0000-0000ED020000}"/>
    <cellStyle name="20% - Énfasis1 7 2 2 2" xfId="7131" xr:uid="{00000000-0005-0000-0000-0000EE020000}"/>
    <cellStyle name="20% - Énfasis1 7 2 2 3" xfId="10907" xr:uid="{00000000-0005-0000-0000-0000EF020000}"/>
    <cellStyle name="20% - Énfasis1 7 2 3" xfId="5243" xr:uid="{00000000-0005-0000-0000-0000F0020000}"/>
    <cellStyle name="20% - Énfasis1 7 2 4" xfId="9019" xr:uid="{00000000-0005-0000-0000-0000F1020000}"/>
    <cellStyle name="20% - Énfasis1 7 3" xfId="2408" xr:uid="{00000000-0005-0000-0000-0000F2020000}"/>
    <cellStyle name="20% - Énfasis1 7 3 2" xfId="6187" xr:uid="{00000000-0005-0000-0000-0000F3020000}"/>
    <cellStyle name="20% - Énfasis1 7 3 3" xfId="9963" xr:uid="{00000000-0005-0000-0000-0000F4020000}"/>
    <cellStyle name="20% - Énfasis1 7 4" xfId="4299" xr:uid="{00000000-0005-0000-0000-0000F5020000}"/>
    <cellStyle name="20% - Énfasis1 7 5" xfId="8075" xr:uid="{00000000-0005-0000-0000-0000F6020000}"/>
    <cellStyle name="20% - Énfasis1 8" xfId="988" xr:uid="{00000000-0005-0000-0000-0000F7020000}"/>
    <cellStyle name="20% - Énfasis1 8 2" xfId="2880" xr:uid="{00000000-0005-0000-0000-0000F8020000}"/>
    <cellStyle name="20% - Énfasis1 8 2 2" xfId="6659" xr:uid="{00000000-0005-0000-0000-0000F9020000}"/>
    <cellStyle name="20% - Énfasis1 8 2 3" xfId="10435" xr:uid="{00000000-0005-0000-0000-0000FA020000}"/>
    <cellStyle name="20% - Énfasis1 8 3" xfId="4771" xr:uid="{00000000-0005-0000-0000-0000FB020000}"/>
    <cellStyle name="20% - Énfasis1 8 4" xfId="8547" xr:uid="{00000000-0005-0000-0000-0000FC020000}"/>
    <cellStyle name="20% - Énfasis1 9" xfId="1934" xr:uid="{00000000-0005-0000-0000-0000FD020000}"/>
    <cellStyle name="20% - Énfasis1 9 2" xfId="5715" xr:uid="{00000000-0005-0000-0000-0000FE020000}"/>
    <cellStyle name="20% - Énfasis1 9 3" xfId="9491" xr:uid="{00000000-0005-0000-0000-0000FF020000}"/>
    <cellStyle name="20% - Énfasis2" xfId="23" builtinId="34" customBuiltin="1"/>
    <cellStyle name="20% - Énfasis2 10" xfId="3827" xr:uid="{00000000-0005-0000-0000-000001030000}"/>
    <cellStyle name="20% - Énfasis2 11" xfId="7605" xr:uid="{00000000-0005-0000-0000-000002030000}"/>
    <cellStyle name="20% - Énfasis2 2" xfId="48" xr:uid="{00000000-0005-0000-0000-000003030000}"/>
    <cellStyle name="20% - Énfasis2 2 10" xfId="7621" xr:uid="{00000000-0005-0000-0000-000004030000}"/>
    <cellStyle name="20% - Énfasis2 2 2" xfId="79" xr:uid="{00000000-0005-0000-0000-000005030000}"/>
    <cellStyle name="20% - Énfasis2 2 2 2" xfId="142" xr:uid="{00000000-0005-0000-0000-000006030000}"/>
    <cellStyle name="20% - Énfasis2 2 2 2 2" xfId="264" xr:uid="{00000000-0005-0000-0000-000007030000}"/>
    <cellStyle name="20% - Énfasis2 2 2 2 2 2" xfId="502" xr:uid="{00000000-0005-0000-0000-000008030000}"/>
    <cellStyle name="20% - Énfasis2 2 2 2 2 2 2" xfId="976" xr:uid="{00000000-0005-0000-0000-000009030000}"/>
    <cellStyle name="20% - Énfasis2 2 2 2 2 2 2 2" xfId="1922" xr:uid="{00000000-0005-0000-0000-00000A030000}"/>
    <cellStyle name="20% - Énfasis2 2 2 2 2 2 2 2 2" xfId="3812" xr:uid="{00000000-0005-0000-0000-00000B030000}"/>
    <cellStyle name="20% - Énfasis2 2 2 2 2 2 2 2 2 2" xfId="7591" xr:uid="{00000000-0005-0000-0000-00000C030000}"/>
    <cellStyle name="20% - Énfasis2 2 2 2 2 2 2 2 2 3" xfId="11367" xr:uid="{00000000-0005-0000-0000-00000D030000}"/>
    <cellStyle name="20% - Énfasis2 2 2 2 2 2 2 2 3" xfId="5703" xr:uid="{00000000-0005-0000-0000-00000E030000}"/>
    <cellStyle name="20% - Énfasis2 2 2 2 2 2 2 2 4" xfId="9479" xr:uid="{00000000-0005-0000-0000-00000F030000}"/>
    <cellStyle name="20% - Énfasis2 2 2 2 2 2 2 3" xfId="2868" xr:uid="{00000000-0005-0000-0000-000010030000}"/>
    <cellStyle name="20% - Énfasis2 2 2 2 2 2 2 3 2" xfId="6647" xr:uid="{00000000-0005-0000-0000-000011030000}"/>
    <cellStyle name="20% - Énfasis2 2 2 2 2 2 2 3 3" xfId="10423" xr:uid="{00000000-0005-0000-0000-000012030000}"/>
    <cellStyle name="20% - Énfasis2 2 2 2 2 2 2 4" xfId="4759" xr:uid="{00000000-0005-0000-0000-000013030000}"/>
    <cellStyle name="20% - Énfasis2 2 2 2 2 2 2 5" xfId="8535" xr:uid="{00000000-0005-0000-0000-000014030000}"/>
    <cellStyle name="20% - Énfasis2 2 2 2 2 2 3" xfId="1450" xr:uid="{00000000-0005-0000-0000-000015030000}"/>
    <cellStyle name="20% - Énfasis2 2 2 2 2 2 3 2" xfId="3340" xr:uid="{00000000-0005-0000-0000-000016030000}"/>
    <cellStyle name="20% - Énfasis2 2 2 2 2 2 3 2 2" xfId="7119" xr:uid="{00000000-0005-0000-0000-000017030000}"/>
    <cellStyle name="20% - Énfasis2 2 2 2 2 2 3 2 3" xfId="10895" xr:uid="{00000000-0005-0000-0000-000018030000}"/>
    <cellStyle name="20% - Énfasis2 2 2 2 2 2 3 3" xfId="5231" xr:uid="{00000000-0005-0000-0000-000019030000}"/>
    <cellStyle name="20% - Énfasis2 2 2 2 2 2 3 4" xfId="9007" xr:uid="{00000000-0005-0000-0000-00001A030000}"/>
    <cellStyle name="20% - Énfasis2 2 2 2 2 2 4" xfId="2396" xr:uid="{00000000-0005-0000-0000-00001B030000}"/>
    <cellStyle name="20% - Énfasis2 2 2 2 2 2 4 2" xfId="6175" xr:uid="{00000000-0005-0000-0000-00001C030000}"/>
    <cellStyle name="20% - Énfasis2 2 2 2 2 2 4 3" xfId="9951" xr:uid="{00000000-0005-0000-0000-00001D030000}"/>
    <cellStyle name="20% - Énfasis2 2 2 2 2 2 5" xfId="4287" xr:uid="{00000000-0005-0000-0000-00001E030000}"/>
    <cellStyle name="20% - Énfasis2 2 2 2 2 2 6" xfId="8063" xr:uid="{00000000-0005-0000-0000-00001F030000}"/>
    <cellStyle name="20% - Énfasis2 2 2 2 2 3" xfId="740" xr:uid="{00000000-0005-0000-0000-000020030000}"/>
    <cellStyle name="20% - Énfasis2 2 2 2 2 3 2" xfId="1686" xr:uid="{00000000-0005-0000-0000-000021030000}"/>
    <cellStyle name="20% - Énfasis2 2 2 2 2 3 2 2" xfId="3576" xr:uid="{00000000-0005-0000-0000-000022030000}"/>
    <cellStyle name="20% - Énfasis2 2 2 2 2 3 2 2 2" xfId="7355" xr:uid="{00000000-0005-0000-0000-000023030000}"/>
    <cellStyle name="20% - Énfasis2 2 2 2 2 3 2 2 3" xfId="11131" xr:uid="{00000000-0005-0000-0000-000024030000}"/>
    <cellStyle name="20% - Énfasis2 2 2 2 2 3 2 3" xfId="5467" xr:uid="{00000000-0005-0000-0000-000025030000}"/>
    <cellStyle name="20% - Énfasis2 2 2 2 2 3 2 4" xfId="9243" xr:uid="{00000000-0005-0000-0000-000026030000}"/>
    <cellStyle name="20% - Énfasis2 2 2 2 2 3 3" xfId="2632" xr:uid="{00000000-0005-0000-0000-000027030000}"/>
    <cellStyle name="20% - Énfasis2 2 2 2 2 3 3 2" xfId="6411" xr:uid="{00000000-0005-0000-0000-000028030000}"/>
    <cellStyle name="20% - Énfasis2 2 2 2 2 3 3 3" xfId="10187" xr:uid="{00000000-0005-0000-0000-000029030000}"/>
    <cellStyle name="20% - Énfasis2 2 2 2 2 3 4" xfId="4523" xr:uid="{00000000-0005-0000-0000-00002A030000}"/>
    <cellStyle name="20% - Énfasis2 2 2 2 2 3 5" xfId="8299" xr:uid="{00000000-0005-0000-0000-00002B030000}"/>
    <cellStyle name="20% - Énfasis2 2 2 2 2 4" xfId="1214" xr:uid="{00000000-0005-0000-0000-00002C030000}"/>
    <cellStyle name="20% - Énfasis2 2 2 2 2 4 2" xfId="3104" xr:uid="{00000000-0005-0000-0000-00002D030000}"/>
    <cellStyle name="20% - Énfasis2 2 2 2 2 4 2 2" xfId="6883" xr:uid="{00000000-0005-0000-0000-00002E030000}"/>
    <cellStyle name="20% - Énfasis2 2 2 2 2 4 2 3" xfId="10659" xr:uid="{00000000-0005-0000-0000-00002F030000}"/>
    <cellStyle name="20% - Énfasis2 2 2 2 2 4 3" xfId="4995" xr:uid="{00000000-0005-0000-0000-000030030000}"/>
    <cellStyle name="20% - Énfasis2 2 2 2 2 4 4" xfId="8771" xr:uid="{00000000-0005-0000-0000-000031030000}"/>
    <cellStyle name="20% - Énfasis2 2 2 2 2 5" xfId="2160" xr:uid="{00000000-0005-0000-0000-000032030000}"/>
    <cellStyle name="20% - Énfasis2 2 2 2 2 5 2" xfId="5939" xr:uid="{00000000-0005-0000-0000-000033030000}"/>
    <cellStyle name="20% - Énfasis2 2 2 2 2 5 3" xfId="9715" xr:uid="{00000000-0005-0000-0000-000034030000}"/>
    <cellStyle name="20% - Énfasis2 2 2 2 2 6" xfId="4051" xr:uid="{00000000-0005-0000-0000-000035030000}"/>
    <cellStyle name="20% - Énfasis2 2 2 2 2 7" xfId="7827" xr:uid="{00000000-0005-0000-0000-000036030000}"/>
    <cellStyle name="20% - Énfasis2 2 2 2 3" xfId="384" xr:uid="{00000000-0005-0000-0000-000037030000}"/>
    <cellStyle name="20% - Énfasis2 2 2 2 3 2" xfId="858" xr:uid="{00000000-0005-0000-0000-000038030000}"/>
    <cellStyle name="20% - Énfasis2 2 2 2 3 2 2" xfId="1804" xr:uid="{00000000-0005-0000-0000-000039030000}"/>
    <cellStyle name="20% - Énfasis2 2 2 2 3 2 2 2" xfId="3694" xr:uid="{00000000-0005-0000-0000-00003A030000}"/>
    <cellStyle name="20% - Énfasis2 2 2 2 3 2 2 2 2" xfId="7473" xr:uid="{00000000-0005-0000-0000-00003B030000}"/>
    <cellStyle name="20% - Énfasis2 2 2 2 3 2 2 2 3" xfId="11249" xr:uid="{00000000-0005-0000-0000-00003C030000}"/>
    <cellStyle name="20% - Énfasis2 2 2 2 3 2 2 3" xfId="5585" xr:uid="{00000000-0005-0000-0000-00003D030000}"/>
    <cellStyle name="20% - Énfasis2 2 2 2 3 2 2 4" xfId="9361" xr:uid="{00000000-0005-0000-0000-00003E030000}"/>
    <cellStyle name="20% - Énfasis2 2 2 2 3 2 3" xfId="2750" xr:uid="{00000000-0005-0000-0000-00003F030000}"/>
    <cellStyle name="20% - Énfasis2 2 2 2 3 2 3 2" xfId="6529" xr:uid="{00000000-0005-0000-0000-000040030000}"/>
    <cellStyle name="20% - Énfasis2 2 2 2 3 2 3 3" xfId="10305" xr:uid="{00000000-0005-0000-0000-000041030000}"/>
    <cellStyle name="20% - Énfasis2 2 2 2 3 2 4" xfId="4641" xr:uid="{00000000-0005-0000-0000-000042030000}"/>
    <cellStyle name="20% - Énfasis2 2 2 2 3 2 5" xfId="8417" xr:uid="{00000000-0005-0000-0000-000043030000}"/>
    <cellStyle name="20% - Énfasis2 2 2 2 3 3" xfId="1332" xr:uid="{00000000-0005-0000-0000-000044030000}"/>
    <cellStyle name="20% - Énfasis2 2 2 2 3 3 2" xfId="3222" xr:uid="{00000000-0005-0000-0000-000045030000}"/>
    <cellStyle name="20% - Énfasis2 2 2 2 3 3 2 2" xfId="7001" xr:uid="{00000000-0005-0000-0000-000046030000}"/>
    <cellStyle name="20% - Énfasis2 2 2 2 3 3 2 3" xfId="10777" xr:uid="{00000000-0005-0000-0000-000047030000}"/>
    <cellStyle name="20% - Énfasis2 2 2 2 3 3 3" xfId="5113" xr:uid="{00000000-0005-0000-0000-000048030000}"/>
    <cellStyle name="20% - Énfasis2 2 2 2 3 3 4" xfId="8889" xr:uid="{00000000-0005-0000-0000-000049030000}"/>
    <cellStyle name="20% - Énfasis2 2 2 2 3 4" xfId="2278" xr:uid="{00000000-0005-0000-0000-00004A030000}"/>
    <cellStyle name="20% - Énfasis2 2 2 2 3 4 2" xfId="6057" xr:uid="{00000000-0005-0000-0000-00004B030000}"/>
    <cellStyle name="20% - Énfasis2 2 2 2 3 4 3" xfId="9833" xr:uid="{00000000-0005-0000-0000-00004C030000}"/>
    <cellStyle name="20% - Énfasis2 2 2 2 3 5" xfId="4169" xr:uid="{00000000-0005-0000-0000-00004D030000}"/>
    <cellStyle name="20% - Énfasis2 2 2 2 3 6" xfId="7945" xr:uid="{00000000-0005-0000-0000-00004E030000}"/>
    <cellStyle name="20% - Énfasis2 2 2 2 4" xfId="622" xr:uid="{00000000-0005-0000-0000-00004F030000}"/>
    <cellStyle name="20% - Énfasis2 2 2 2 4 2" xfId="1568" xr:uid="{00000000-0005-0000-0000-000050030000}"/>
    <cellStyle name="20% - Énfasis2 2 2 2 4 2 2" xfId="3458" xr:uid="{00000000-0005-0000-0000-000051030000}"/>
    <cellStyle name="20% - Énfasis2 2 2 2 4 2 2 2" xfId="7237" xr:uid="{00000000-0005-0000-0000-000052030000}"/>
    <cellStyle name="20% - Énfasis2 2 2 2 4 2 2 3" xfId="11013" xr:uid="{00000000-0005-0000-0000-000053030000}"/>
    <cellStyle name="20% - Énfasis2 2 2 2 4 2 3" xfId="5349" xr:uid="{00000000-0005-0000-0000-000054030000}"/>
    <cellStyle name="20% - Énfasis2 2 2 2 4 2 4" xfId="9125" xr:uid="{00000000-0005-0000-0000-000055030000}"/>
    <cellStyle name="20% - Énfasis2 2 2 2 4 3" xfId="2514" xr:uid="{00000000-0005-0000-0000-000056030000}"/>
    <cellStyle name="20% - Énfasis2 2 2 2 4 3 2" xfId="6293" xr:uid="{00000000-0005-0000-0000-000057030000}"/>
    <cellStyle name="20% - Énfasis2 2 2 2 4 3 3" xfId="10069" xr:uid="{00000000-0005-0000-0000-000058030000}"/>
    <cellStyle name="20% - Énfasis2 2 2 2 4 4" xfId="4405" xr:uid="{00000000-0005-0000-0000-000059030000}"/>
    <cellStyle name="20% - Énfasis2 2 2 2 4 5" xfId="8181" xr:uid="{00000000-0005-0000-0000-00005A030000}"/>
    <cellStyle name="20% - Énfasis2 2 2 2 5" xfId="1096" xr:uid="{00000000-0005-0000-0000-00005B030000}"/>
    <cellStyle name="20% - Énfasis2 2 2 2 5 2" xfId="2986" xr:uid="{00000000-0005-0000-0000-00005C030000}"/>
    <cellStyle name="20% - Énfasis2 2 2 2 5 2 2" xfId="6765" xr:uid="{00000000-0005-0000-0000-00005D030000}"/>
    <cellStyle name="20% - Énfasis2 2 2 2 5 2 3" xfId="10541" xr:uid="{00000000-0005-0000-0000-00005E030000}"/>
    <cellStyle name="20% - Énfasis2 2 2 2 5 3" xfId="4877" xr:uid="{00000000-0005-0000-0000-00005F030000}"/>
    <cellStyle name="20% - Énfasis2 2 2 2 5 4" xfId="8653" xr:uid="{00000000-0005-0000-0000-000060030000}"/>
    <cellStyle name="20% - Énfasis2 2 2 2 6" xfId="2042" xr:uid="{00000000-0005-0000-0000-000061030000}"/>
    <cellStyle name="20% - Énfasis2 2 2 2 6 2" xfId="5821" xr:uid="{00000000-0005-0000-0000-000062030000}"/>
    <cellStyle name="20% - Énfasis2 2 2 2 6 3" xfId="9597" xr:uid="{00000000-0005-0000-0000-000063030000}"/>
    <cellStyle name="20% - Énfasis2 2 2 2 7" xfId="3933" xr:uid="{00000000-0005-0000-0000-000064030000}"/>
    <cellStyle name="20% - Énfasis2 2 2 2 8" xfId="7709" xr:uid="{00000000-0005-0000-0000-000065030000}"/>
    <cellStyle name="20% - Énfasis2 2 2 3" xfId="205" xr:uid="{00000000-0005-0000-0000-000066030000}"/>
    <cellStyle name="20% - Énfasis2 2 2 3 2" xfId="443" xr:uid="{00000000-0005-0000-0000-000067030000}"/>
    <cellStyle name="20% - Énfasis2 2 2 3 2 2" xfId="917" xr:uid="{00000000-0005-0000-0000-000068030000}"/>
    <cellStyle name="20% - Énfasis2 2 2 3 2 2 2" xfId="1863" xr:uid="{00000000-0005-0000-0000-000069030000}"/>
    <cellStyle name="20% - Énfasis2 2 2 3 2 2 2 2" xfId="3753" xr:uid="{00000000-0005-0000-0000-00006A030000}"/>
    <cellStyle name="20% - Énfasis2 2 2 3 2 2 2 2 2" xfId="7532" xr:uid="{00000000-0005-0000-0000-00006B030000}"/>
    <cellStyle name="20% - Énfasis2 2 2 3 2 2 2 2 3" xfId="11308" xr:uid="{00000000-0005-0000-0000-00006C030000}"/>
    <cellStyle name="20% - Énfasis2 2 2 3 2 2 2 3" xfId="5644" xr:uid="{00000000-0005-0000-0000-00006D030000}"/>
    <cellStyle name="20% - Énfasis2 2 2 3 2 2 2 4" xfId="9420" xr:uid="{00000000-0005-0000-0000-00006E030000}"/>
    <cellStyle name="20% - Énfasis2 2 2 3 2 2 3" xfId="2809" xr:uid="{00000000-0005-0000-0000-00006F030000}"/>
    <cellStyle name="20% - Énfasis2 2 2 3 2 2 3 2" xfId="6588" xr:uid="{00000000-0005-0000-0000-000070030000}"/>
    <cellStyle name="20% - Énfasis2 2 2 3 2 2 3 3" xfId="10364" xr:uid="{00000000-0005-0000-0000-000071030000}"/>
    <cellStyle name="20% - Énfasis2 2 2 3 2 2 4" xfId="4700" xr:uid="{00000000-0005-0000-0000-000072030000}"/>
    <cellStyle name="20% - Énfasis2 2 2 3 2 2 5" xfId="8476" xr:uid="{00000000-0005-0000-0000-000073030000}"/>
    <cellStyle name="20% - Énfasis2 2 2 3 2 3" xfId="1391" xr:uid="{00000000-0005-0000-0000-000074030000}"/>
    <cellStyle name="20% - Énfasis2 2 2 3 2 3 2" xfId="3281" xr:uid="{00000000-0005-0000-0000-000075030000}"/>
    <cellStyle name="20% - Énfasis2 2 2 3 2 3 2 2" xfId="7060" xr:uid="{00000000-0005-0000-0000-000076030000}"/>
    <cellStyle name="20% - Énfasis2 2 2 3 2 3 2 3" xfId="10836" xr:uid="{00000000-0005-0000-0000-000077030000}"/>
    <cellStyle name="20% - Énfasis2 2 2 3 2 3 3" xfId="5172" xr:uid="{00000000-0005-0000-0000-000078030000}"/>
    <cellStyle name="20% - Énfasis2 2 2 3 2 3 4" xfId="8948" xr:uid="{00000000-0005-0000-0000-000079030000}"/>
    <cellStyle name="20% - Énfasis2 2 2 3 2 4" xfId="2337" xr:uid="{00000000-0005-0000-0000-00007A030000}"/>
    <cellStyle name="20% - Énfasis2 2 2 3 2 4 2" xfId="6116" xr:uid="{00000000-0005-0000-0000-00007B030000}"/>
    <cellStyle name="20% - Énfasis2 2 2 3 2 4 3" xfId="9892" xr:uid="{00000000-0005-0000-0000-00007C030000}"/>
    <cellStyle name="20% - Énfasis2 2 2 3 2 5" xfId="4228" xr:uid="{00000000-0005-0000-0000-00007D030000}"/>
    <cellStyle name="20% - Énfasis2 2 2 3 2 6" xfId="8004" xr:uid="{00000000-0005-0000-0000-00007E030000}"/>
    <cellStyle name="20% - Énfasis2 2 2 3 3" xfId="681" xr:uid="{00000000-0005-0000-0000-00007F030000}"/>
    <cellStyle name="20% - Énfasis2 2 2 3 3 2" xfId="1627" xr:uid="{00000000-0005-0000-0000-000080030000}"/>
    <cellStyle name="20% - Énfasis2 2 2 3 3 2 2" xfId="3517" xr:uid="{00000000-0005-0000-0000-000081030000}"/>
    <cellStyle name="20% - Énfasis2 2 2 3 3 2 2 2" xfId="7296" xr:uid="{00000000-0005-0000-0000-000082030000}"/>
    <cellStyle name="20% - Énfasis2 2 2 3 3 2 2 3" xfId="11072" xr:uid="{00000000-0005-0000-0000-000083030000}"/>
    <cellStyle name="20% - Énfasis2 2 2 3 3 2 3" xfId="5408" xr:uid="{00000000-0005-0000-0000-000084030000}"/>
    <cellStyle name="20% - Énfasis2 2 2 3 3 2 4" xfId="9184" xr:uid="{00000000-0005-0000-0000-000085030000}"/>
    <cellStyle name="20% - Énfasis2 2 2 3 3 3" xfId="2573" xr:uid="{00000000-0005-0000-0000-000086030000}"/>
    <cellStyle name="20% - Énfasis2 2 2 3 3 3 2" xfId="6352" xr:uid="{00000000-0005-0000-0000-000087030000}"/>
    <cellStyle name="20% - Énfasis2 2 2 3 3 3 3" xfId="10128" xr:uid="{00000000-0005-0000-0000-000088030000}"/>
    <cellStyle name="20% - Énfasis2 2 2 3 3 4" xfId="4464" xr:uid="{00000000-0005-0000-0000-000089030000}"/>
    <cellStyle name="20% - Énfasis2 2 2 3 3 5" xfId="8240" xr:uid="{00000000-0005-0000-0000-00008A030000}"/>
    <cellStyle name="20% - Énfasis2 2 2 3 4" xfId="1155" xr:uid="{00000000-0005-0000-0000-00008B030000}"/>
    <cellStyle name="20% - Énfasis2 2 2 3 4 2" xfId="3045" xr:uid="{00000000-0005-0000-0000-00008C030000}"/>
    <cellStyle name="20% - Énfasis2 2 2 3 4 2 2" xfId="6824" xr:uid="{00000000-0005-0000-0000-00008D030000}"/>
    <cellStyle name="20% - Énfasis2 2 2 3 4 2 3" xfId="10600" xr:uid="{00000000-0005-0000-0000-00008E030000}"/>
    <cellStyle name="20% - Énfasis2 2 2 3 4 3" xfId="4936" xr:uid="{00000000-0005-0000-0000-00008F030000}"/>
    <cellStyle name="20% - Énfasis2 2 2 3 4 4" xfId="8712" xr:uid="{00000000-0005-0000-0000-000090030000}"/>
    <cellStyle name="20% - Énfasis2 2 2 3 5" xfId="2101" xr:uid="{00000000-0005-0000-0000-000091030000}"/>
    <cellStyle name="20% - Énfasis2 2 2 3 5 2" xfId="5880" xr:uid="{00000000-0005-0000-0000-000092030000}"/>
    <cellStyle name="20% - Énfasis2 2 2 3 5 3" xfId="9656" xr:uid="{00000000-0005-0000-0000-000093030000}"/>
    <cellStyle name="20% - Énfasis2 2 2 3 6" xfId="3992" xr:uid="{00000000-0005-0000-0000-000094030000}"/>
    <cellStyle name="20% - Énfasis2 2 2 3 7" xfId="7768" xr:uid="{00000000-0005-0000-0000-000095030000}"/>
    <cellStyle name="20% - Énfasis2 2 2 4" xfId="325" xr:uid="{00000000-0005-0000-0000-000096030000}"/>
    <cellStyle name="20% - Énfasis2 2 2 4 2" xfId="799" xr:uid="{00000000-0005-0000-0000-000097030000}"/>
    <cellStyle name="20% - Énfasis2 2 2 4 2 2" xfId="1745" xr:uid="{00000000-0005-0000-0000-000098030000}"/>
    <cellStyle name="20% - Énfasis2 2 2 4 2 2 2" xfId="3635" xr:uid="{00000000-0005-0000-0000-000099030000}"/>
    <cellStyle name="20% - Énfasis2 2 2 4 2 2 2 2" xfId="7414" xr:uid="{00000000-0005-0000-0000-00009A030000}"/>
    <cellStyle name="20% - Énfasis2 2 2 4 2 2 2 3" xfId="11190" xr:uid="{00000000-0005-0000-0000-00009B030000}"/>
    <cellStyle name="20% - Énfasis2 2 2 4 2 2 3" xfId="5526" xr:uid="{00000000-0005-0000-0000-00009C030000}"/>
    <cellStyle name="20% - Énfasis2 2 2 4 2 2 4" xfId="9302" xr:uid="{00000000-0005-0000-0000-00009D030000}"/>
    <cellStyle name="20% - Énfasis2 2 2 4 2 3" xfId="2691" xr:uid="{00000000-0005-0000-0000-00009E030000}"/>
    <cellStyle name="20% - Énfasis2 2 2 4 2 3 2" xfId="6470" xr:uid="{00000000-0005-0000-0000-00009F030000}"/>
    <cellStyle name="20% - Énfasis2 2 2 4 2 3 3" xfId="10246" xr:uid="{00000000-0005-0000-0000-0000A0030000}"/>
    <cellStyle name="20% - Énfasis2 2 2 4 2 4" xfId="4582" xr:uid="{00000000-0005-0000-0000-0000A1030000}"/>
    <cellStyle name="20% - Énfasis2 2 2 4 2 5" xfId="8358" xr:uid="{00000000-0005-0000-0000-0000A2030000}"/>
    <cellStyle name="20% - Énfasis2 2 2 4 3" xfId="1273" xr:uid="{00000000-0005-0000-0000-0000A3030000}"/>
    <cellStyle name="20% - Énfasis2 2 2 4 3 2" xfId="3163" xr:uid="{00000000-0005-0000-0000-0000A4030000}"/>
    <cellStyle name="20% - Énfasis2 2 2 4 3 2 2" xfId="6942" xr:uid="{00000000-0005-0000-0000-0000A5030000}"/>
    <cellStyle name="20% - Énfasis2 2 2 4 3 2 3" xfId="10718" xr:uid="{00000000-0005-0000-0000-0000A6030000}"/>
    <cellStyle name="20% - Énfasis2 2 2 4 3 3" xfId="5054" xr:uid="{00000000-0005-0000-0000-0000A7030000}"/>
    <cellStyle name="20% - Énfasis2 2 2 4 3 4" xfId="8830" xr:uid="{00000000-0005-0000-0000-0000A8030000}"/>
    <cellStyle name="20% - Énfasis2 2 2 4 4" xfId="2219" xr:uid="{00000000-0005-0000-0000-0000A9030000}"/>
    <cellStyle name="20% - Énfasis2 2 2 4 4 2" xfId="5998" xr:uid="{00000000-0005-0000-0000-0000AA030000}"/>
    <cellStyle name="20% - Énfasis2 2 2 4 4 3" xfId="9774" xr:uid="{00000000-0005-0000-0000-0000AB030000}"/>
    <cellStyle name="20% - Énfasis2 2 2 4 5" xfId="4110" xr:uid="{00000000-0005-0000-0000-0000AC030000}"/>
    <cellStyle name="20% - Énfasis2 2 2 4 6" xfId="7886" xr:uid="{00000000-0005-0000-0000-0000AD030000}"/>
    <cellStyle name="20% - Énfasis2 2 2 5" xfId="563" xr:uid="{00000000-0005-0000-0000-0000AE030000}"/>
    <cellStyle name="20% - Énfasis2 2 2 5 2" xfId="1509" xr:uid="{00000000-0005-0000-0000-0000AF030000}"/>
    <cellStyle name="20% - Énfasis2 2 2 5 2 2" xfId="3399" xr:uid="{00000000-0005-0000-0000-0000B0030000}"/>
    <cellStyle name="20% - Énfasis2 2 2 5 2 2 2" xfId="7178" xr:uid="{00000000-0005-0000-0000-0000B1030000}"/>
    <cellStyle name="20% - Énfasis2 2 2 5 2 2 3" xfId="10954" xr:uid="{00000000-0005-0000-0000-0000B2030000}"/>
    <cellStyle name="20% - Énfasis2 2 2 5 2 3" xfId="5290" xr:uid="{00000000-0005-0000-0000-0000B3030000}"/>
    <cellStyle name="20% - Énfasis2 2 2 5 2 4" xfId="9066" xr:uid="{00000000-0005-0000-0000-0000B4030000}"/>
    <cellStyle name="20% - Énfasis2 2 2 5 3" xfId="2455" xr:uid="{00000000-0005-0000-0000-0000B5030000}"/>
    <cellStyle name="20% - Énfasis2 2 2 5 3 2" xfId="6234" xr:uid="{00000000-0005-0000-0000-0000B6030000}"/>
    <cellStyle name="20% - Énfasis2 2 2 5 3 3" xfId="10010" xr:uid="{00000000-0005-0000-0000-0000B7030000}"/>
    <cellStyle name="20% - Énfasis2 2 2 5 4" xfId="4346" xr:uid="{00000000-0005-0000-0000-0000B8030000}"/>
    <cellStyle name="20% - Énfasis2 2 2 5 5" xfId="8122" xr:uid="{00000000-0005-0000-0000-0000B9030000}"/>
    <cellStyle name="20% - Énfasis2 2 2 6" xfId="1037" xr:uid="{00000000-0005-0000-0000-0000BA030000}"/>
    <cellStyle name="20% - Énfasis2 2 2 6 2" xfId="2927" xr:uid="{00000000-0005-0000-0000-0000BB030000}"/>
    <cellStyle name="20% - Énfasis2 2 2 6 2 2" xfId="6706" xr:uid="{00000000-0005-0000-0000-0000BC030000}"/>
    <cellStyle name="20% - Énfasis2 2 2 6 2 3" xfId="10482" xr:uid="{00000000-0005-0000-0000-0000BD030000}"/>
    <cellStyle name="20% - Énfasis2 2 2 6 3" xfId="4818" xr:uid="{00000000-0005-0000-0000-0000BE030000}"/>
    <cellStyle name="20% - Énfasis2 2 2 6 4" xfId="8594" xr:uid="{00000000-0005-0000-0000-0000BF030000}"/>
    <cellStyle name="20% - Énfasis2 2 2 7" xfId="1983" xr:uid="{00000000-0005-0000-0000-0000C0030000}"/>
    <cellStyle name="20% - Énfasis2 2 2 7 2" xfId="5762" xr:uid="{00000000-0005-0000-0000-0000C1030000}"/>
    <cellStyle name="20% - Énfasis2 2 2 7 3" xfId="9538" xr:uid="{00000000-0005-0000-0000-0000C2030000}"/>
    <cellStyle name="20% - Énfasis2 2 2 8" xfId="3874" xr:uid="{00000000-0005-0000-0000-0000C3030000}"/>
    <cellStyle name="20% - Énfasis2 2 2 9" xfId="7650" xr:uid="{00000000-0005-0000-0000-0000C4030000}"/>
    <cellStyle name="20% - Énfasis2 2 3" xfId="112" xr:uid="{00000000-0005-0000-0000-0000C5030000}"/>
    <cellStyle name="20% - Énfasis2 2 3 2" xfId="235" xr:uid="{00000000-0005-0000-0000-0000C6030000}"/>
    <cellStyle name="20% - Énfasis2 2 3 2 2" xfId="473" xr:uid="{00000000-0005-0000-0000-0000C7030000}"/>
    <cellStyle name="20% - Énfasis2 2 3 2 2 2" xfId="947" xr:uid="{00000000-0005-0000-0000-0000C8030000}"/>
    <cellStyle name="20% - Énfasis2 2 3 2 2 2 2" xfId="1893" xr:uid="{00000000-0005-0000-0000-0000C9030000}"/>
    <cellStyle name="20% - Énfasis2 2 3 2 2 2 2 2" xfId="3783" xr:uid="{00000000-0005-0000-0000-0000CA030000}"/>
    <cellStyle name="20% - Énfasis2 2 3 2 2 2 2 2 2" xfId="7562" xr:uid="{00000000-0005-0000-0000-0000CB030000}"/>
    <cellStyle name="20% - Énfasis2 2 3 2 2 2 2 2 3" xfId="11338" xr:uid="{00000000-0005-0000-0000-0000CC030000}"/>
    <cellStyle name="20% - Énfasis2 2 3 2 2 2 2 3" xfId="5674" xr:uid="{00000000-0005-0000-0000-0000CD030000}"/>
    <cellStyle name="20% - Énfasis2 2 3 2 2 2 2 4" xfId="9450" xr:uid="{00000000-0005-0000-0000-0000CE030000}"/>
    <cellStyle name="20% - Énfasis2 2 3 2 2 2 3" xfId="2839" xr:uid="{00000000-0005-0000-0000-0000CF030000}"/>
    <cellStyle name="20% - Énfasis2 2 3 2 2 2 3 2" xfId="6618" xr:uid="{00000000-0005-0000-0000-0000D0030000}"/>
    <cellStyle name="20% - Énfasis2 2 3 2 2 2 3 3" xfId="10394" xr:uid="{00000000-0005-0000-0000-0000D1030000}"/>
    <cellStyle name="20% - Énfasis2 2 3 2 2 2 4" xfId="4730" xr:uid="{00000000-0005-0000-0000-0000D2030000}"/>
    <cellStyle name="20% - Énfasis2 2 3 2 2 2 5" xfId="8506" xr:uid="{00000000-0005-0000-0000-0000D3030000}"/>
    <cellStyle name="20% - Énfasis2 2 3 2 2 3" xfId="1421" xr:uid="{00000000-0005-0000-0000-0000D4030000}"/>
    <cellStyle name="20% - Énfasis2 2 3 2 2 3 2" xfId="3311" xr:uid="{00000000-0005-0000-0000-0000D5030000}"/>
    <cellStyle name="20% - Énfasis2 2 3 2 2 3 2 2" xfId="7090" xr:uid="{00000000-0005-0000-0000-0000D6030000}"/>
    <cellStyle name="20% - Énfasis2 2 3 2 2 3 2 3" xfId="10866" xr:uid="{00000000-0005-0000-0000-0000D7030000}"/>
    <cellStyle name="20% - Énfasis2 2 3 2 2 3 3" xfId="5202" xr:uid="{00000000-0005-0000-0000-0000D8030000}"/>
    <cellStyle name="20% - Énfasis2 2 3 2 2 3 4" xfId="8978" xr:uid="{00000000-0005-0000-0000-0000D9030000}"/>
    <cellStyle name="20% - Énfasis2 2 3 2 2 4" xfId="2367" xr:uid="{00000000-0005-0000-0000-0000DA030000}"/>
    <cellStyle name="20% - Énfasis2 2 3 2 2 4 2" xfId="6146" xr:uid="{00000000-0005-0000-0000-0000DB030000}"/>
    <cellStyle name="20% - Énfasis2 2 3 2 2 4 3" xfId="9922" xr:uid="{00000000-0005-0000-0000-0000DC030000}"/>
    <cellStyle name="20% - Énfasis2 2 3 2 2 5" xfId="4258" xr:uid="{00000000-0005-0000-0000-0000DD030000}"/>
    <cellStyle name="20% - Énfasis2 2 3 2 2 6" xfId="8034" xr:uid="{00000000-0005-0000-0000-0000DE030000}"/>
    <cellStyle name="20% - Énfasis2 2 3 2 3" xfId="711" xr:uid="{00000000-0005-0000-0000-0000DF030000}"/>
    <cellStyle name="20% - Énfasis2 2 3 2 3 2" xfId="1657" xr:uid="{00000000-0005-0000-0000-0000E0030000}"/>
    <cellStyle name="20% - Énfasis2 2 3 2 3 2 2" xfId="3547" xr:uid="{00000000-0005-0000-0000-0000E1030000}"/>
    <cellStyle name="20% - Énfasis2 2 3 2 3 2 2 2" xfId="7326" xr:uid="{00000000-0005-0000-0000-0000E2030000}"/>
    <cellStyle name="20% - Énfasis2 2 3 2 3 2 2 3" xfId="11102" xr:uid="{00000000-0005-0000-0000-0000E3030000}"/>
    <cellStyle name="20% - Énfasis2 2 3 2 3 2 3" xfId="5438" xr:uid="{00000000-0005-0000-0000-0000E4030000}"/>
    <cellStyle name="20% - Énfasis2 2 3 2 3 2 4" xfId="9214" xr:uid="{00000000-0005-0000-0000-0000E5030000}"/>
    <cellStyle name="20% - Énfasis2 2 3 2 3 3" xfId="2603" xr:uid="{00000000-0005-0000-0000-0000E6030000}"/>
    <cellStyle name="20% - Énfasis2 2 3 2 3 3 2" xfId="6382" xr:uid="{00000000-0005-0000-0000-0000E7030000}"/>
    <cellStyle name="20% - Énfasis2 2 3 2 3 3 3" xfId="10158" xr:uid="{00000000-0005-0000-0000-0000E8030000}"/>
    <cellStyle name="20% - Énfasis2 2 3 2 3 4" xfId="4494" xr:uid="{00000000-0005-0000-0000-0000E9030000}"/>
    <cellStyle name="20% - Énfasis2 2 3 2 3 5" xfId="8270" xr:uid="{00000000-0005-0000-0000-0000EA030000}"/>
    <cellStyle name="20% - Énfasis2 2 3 2 4" xfId="1185" xr:uid="{00000000-0005-0000-0000-0000EB030000}"/>
    <cellStyle name="20% - Énfasis2 2 3 2 4 2" xfId="3075" xr:uid="{00000000-0005-0000-0000-0000EC030000}"/>
    <cellStyle name="20% - Énfasis2 2 3 2 4 2 2" xfId="6854" xr:uid="{00000000-0005-0000-0000-0000ED030000}"/>
    <cellStyle name="20% - Énfasis2 2 3 2 4 2 3" xfId="10630" xr:uid="{00000000-0005-0000-0000-0000EE030000}"/>
    <cellStyle name="20% - Énfasis2 2 3 2 4 3" xfId="4966" xr:uid="{00000000-0005-0000-0000-0000EF030000}"/>
    <cellStyle name="20% - Énfasis2 2 3 2 4 4" xfId="8742" xr:uid="{00000000-0005-0000-0000-0000F0030000}"/>
    <cellStyle name="20% - Énfasis2 2 3 2 5" xfId="2131" xr:uid="{00000000-0005-0000-0000-0000F1030000}"/>
    <cellStyle name="20% - Énfasis2 2 3 2 5 2" xfId="5910" xr:uid="{00000000-0005-0000-0000-0000F2030000}"/>
    <cellStyle name="20% - Énfasis2 2 3 2 5 3" xfId="9686" xr:uid="{00000000-0005-0000-0000-0000F3030000}"/>
    <cellStyle name="20% - Énfasis2 2 3 2 6" xfId="4022" xr:uid="{00000000-0005-0000-0000-0000F4030000}"/>
    <cellStyle name="20% - Énfasis2 2 3 2 7" xfId="7798" xr:uid="{00000000-0005-0000-0000-0000F5030000}"/>
    <cellStyle name="20% - Énfasis2 2 3 3" xfId="355" xr:uid="{00000000-0005-0000-0000-0000F6030000}"/>
    <cellStyle name="20% - Énfasis2 2 3 3 2" xfId="829" xr:uid="{00000000-0005-0000-0000-0000F7030000}"/>
    <cellStyle name="20% - Énfasis2 2 3 3 2 2" xfId="1775" xr:uid="{00000000-0005-0000-0000-0000F8030000}"/>
    <cellStyle name="20% - Énfasis2 2 3 3 2 2 2" xfId="3665" xr:uid="{00000000-0005-0000-0000-0000F9030000}"/>
    <cellStyle name="20% - Énfasis2 2 3 3 2 2 2 2" xfId="7444" xr:uid="{00000000-0005-0000-0000-0000FA030000}"/>
    <cellStyle name="20% - Énfasis2 2 3 3 2 2 2 3" xfId="11220" xr:uid="{00000000-0005-0000-0000-0000FB030000}"/>
    <cellStyle name="20% - Énfasis2 2 3 3 2 2 3" xfId="5556" xr:uid="{00000000-0005-0000-0000-0000FC030000}"/>
    <cellStyle name="20% - Énfasis2 2 3 3 2 2 4" xfId="9332" xr:uid="{00000000-0005-0000-0000-0000FD030000}"/>
    <cellStyle name="20% - Énfasis2 2 3 3 2 3" xfId="2721" xr:uid="{00000000-0005-0000-0000-0000FE030000}"/>
    <cellStyle name="20% - Énfasis2 2 3 3 2 3 2" xfId="6500" xr:uid="{00000000-0005-0000-0000-0000FF030000}"/>
    <cellStyle name="20% - Énfasis2 2 3 3 2 3 3" xfId="10276" xr:uid="{00000000-0005-0000-0000-000000040000}"/>
    <cellStyle name="20% - Énfasis2 2 3 3 2 4" xfId="4612" xr:uid="{00000000-0005-0000-0000-000001040000}"/>
    <cellStyle name="20% - Énfasis2 2 3 3 2 5" xfId="8388" xr:uid="{00000000-0005-0000-0000-000002040000}"/>
    <cellStyle name="20% - Énfasis2 2 3 3 3" xfId="1303" xr:uid="{00000000-0005-0000-0000-000003040000}"/>
    <cellStyle name="20% - Énfasis2 2 3 3 3 2" xfId="3193" xr:uid="{00000000-0005-0000-0000-000004040000}"/>
    <cellStyle name="20% - Énfasis2 2 3 3 3 2 2" xfId="6972" xr:uid="{00000000-0005-0000-0000-000005040000}"/>
    <cellStyle name="20% - Énfasis2 2 3 3 3 2 3" xfId="10748" xr:uid="{00000000-0005-0000-0000-000006040000}"/>
    <cellStyle name="20% - Énfasis2 2 3 3 3 3" xfId="5084" xr:uid="{00000000-0005-0000-0000-000007040000}"/>
    <cellStyle name="20% - Énfasis2 2 3 3 3 4" xfId="8860" xr:uid="{00000000-0005-0000-0000-000008040000}"/>
    <cellStyle name="20% - Énfasis2 2 3 3 4" xfId="2249" xr:uid="{00000000-0005-0000-0000-000009040000}"/>
    <cellStyle name="20% - Énfasis2 2 3 3 4 2" xfId="6028" xr:uid="{00000000-0005-0000-0000-00000A040000}"/>
    <cellStyle name="20% - Énfasis2 2 3 3 4 3" xfId="9804" xr:uid="{00000000-0005-0000-0000-00000B040000}"/>
    <cellStyle name="20% - Énfasis2 2 3 3 5" xfId="4140" xr:uid="{00000000-0005-0000-0000-00000C040000}"/>
    <cellStyle name="20% - Énfasis2 2 3 3 6" xfId="7916" xr:uid="{00000000-0005-0000-0000-00000D040000}"/>
    <cellStyle name="20% - Énfasis2 2 3 4" xfId="593" xr:uid="{00000000-0005-0000-0000-00000E040000}"/>
    <cellStyle name="20% - Énfasis2 2 3 4 2" xfId="1539" xr:uid="{00000000-0005-0000-0000-00000F040000}"/>
    <cellStyle name="20% - Énfasis2 2 3 4 2 2" xfId="3429" xr:uid="{00000000-0005-0000-0000-000010040000}"/>
    <cellStyle name="20% - Énfasis2 2 3 4 2 2 2" xfId="7208" xr:uid="{00000000-0005-0000-0000-000011040000}"/>
    <cellStyle name="20% - Énfasis2 2 3 4 2 2 3" xfId="10984" xr:uid="{00000000-0005-0000-0000-000012040000}"/>
    <cellStyle name="20% - Énfasis2 2 3 4 2 3" xfId="5320" xr:uid="{00000000-0005-0000-0000-000013040000}"/>
    <cellStyle name="20% - Énfasis2 2 3 4 2 4" xfId="9096" xr:uid="{00000000-0005-0000-0000-000014040000}"/>
    <cellStyle name="20% - Énfasis2 2 3 4 3" xfId="2485" xr:uid="{00000000-0005-0000-0000-000015040000}"/>
    <cellStyle name="20% - Énfasis2 2 3 4 3 2" xfId="6264" xr:uid="{00000000-0005-0000-0000-000016040000}"/>
    <cellStyle name="20% - Énfasis2 2 3 4 3 3" xfId="10040" xr:uid="{00000000-0005-0000-0000-000017040000}"/>
    <cellStyle name="20% - Énfasis2 2 3 4 4" xfId="4376" xr:uid="{00000000-0005-0000-0000-000018040000}"/>
    <cellStyle name="20% - Énfasis2 2 3 4 5" xfId="8152" xr:uid="{00000000-0005-0000-0000-000019040000}"/>
    <cellStyle name="20% - Énfasis2 2 3 5" xfId="1067" xr:uid="{00000000-0005-0000-0000-00001A040000}"/>
    <cellStyle name="20% - Énfasis2 2 3 5 2" xfId="2957" xr:uid="{00000000-0005-0000-0000-00001B040000}"/>
    <cellStyle name="20% - Énfasis2 2 3 5 2 2" xfId="6736" xr:uid="{00000000-0005-0000-0000-00001C040000}"/>
    <cellStyle name="20% - Énfasis2 2 3 5 2 3" xfId="10512" xr:uid="{00000000-0005-0000-0000-00001D040000}"/>
    <cellStyle name="20% - Énfasis2 2 3 5 3" xfId="4848" xr:uid="{00000000-0005-0000-0000-00001E040000}"/>
    <cellStyle name="20% - Énfasis2 2 3 5 4" xfId="8624" xr:uid="{00000000-0005-0000-0000-00001F040000}"/>
    <cellStyle name="20% - Énfasis2 2 3 6" xfId="2013" xr:uid="{00000000-0005-0000-0000-000020040000}"/>
    <cellStyle name="20% - Énfasis2 2 3 6 2" xfId="5792" xr:uid="{00000000-0005-0000-0000-000021040000}"/>
    <cellStyle name="20% - Énfasis2 2 3 6 3" xfId="9568" xr:uid="{00000000-0005-0000-0000-000022040000}"/>
    <cellStyle name="20% - Énfasis2 2 3 7" xfId="3904" xr:uid="{00000000-0005-0000-0000-000023040000}"/>
    <cellStyle name="20% - Énfasis2 2 3 8" xfId="7680" xr:uid="{00000000-0005-0000-0000-000024040000}"/>
    <cellStyle name="20% - Énfasis2 2 4" xfId="176" xr:uid="{00000000-0005-0000-0000-000025040000}"/>
    <cellStyle name="20% - Énfasis2 2 4 2" xfId="414" xr:uid="{00000000-0005-0000-0000-000026040000}"/>
    <cellStyle name="20% - Énfasis2 2 4 2 2" xfId="888" xr:uid="{00000000-0005-0000-0000-000027040000}"/>
    <cellStyle name="20% - Énfasis2 2 4 2 2 2" xfId="1834" xr:uid="{00000000-0005-0000-0000-000028040000}"/>
    <cellStyle name="20% - Énfasis2 2 4 2 2 2 2" xfId="3724" xr:uid="{00000000-0005-0000-0000-000029040000}"/>
    <cellStyle name="20% - Énfasis2 2 4 2 2 2 2 2" xfId="7503" xr:uid="{00000000-0005-0000-0000-00002A040000}"/>
    <cellStyle name="20% - Énfasis2 2 4 2 2 2 2 3" xfId="11279" xr:uid="{00000000-0005-0000-0000-00002B040000}"/>
    <cellStyle name="20% - Énfasis2 2 4 2 2 2 3" xfId="5615" xr:uid="{00000000-0005-0000-0000-00002C040000}"/>
    <cellStyle name="20% - Énfasis2 2 4 2 2 2 4" xfId="9391" xr:uid="{00000000-0005-0000-0000-00002D040000}"/>
    <cellStyle name="20% - Énfasis2 2 4 2 2 3" xfId="2780" xr:uid="{00000000-0005-0000-0000-00002E040000}"/>
    <cellStyle name="20% - Énfasis2 2 4 2 2 3 2" xfId="6559" xr:uid="{00000000-0005-0000-0000-00002F040000}"/>
    <cellStyle name="20% - Énfasis2 2 4 2 2 3 3" xfId="10335" xr:uid="{00000000-0005-0000-0000-000030040000}"/>
    <cellStyle name="20% - Énfasis2 2 4 2 2 4" xfId="4671" xr:uid="{00000000-0005-0000-0000-000031040000}"/>
    <cellStyle name="20% - Énfasis2 2 4 2 2 5" xfId="8447" xr:uid="{00000000-0005-0000-0000-000032040000}"/>
    <cellStyle name="20% - Énfasis2 2 4 2 3" xfId="1362" xr:uid="{00000000-0005-0000-0000-000033040000}"/>
    <cellStyle name="20% - Énfasis2 2 4 2 3 2" xfId="3252" xr:uid="{00000000-0005-0000-0000-000034040000}"/>
    <cellStyle name="20% - Énfasis2 2 4 2 3 2 2" xfId="7031" xr:uid="{00000000-0005-0000-0000-000035040000}"/>
    <cellStyle name="20% - Énfasis2 2 4 2 3 2 3" xfId="10807" xr:uid="{00000000-0005-0000-0000-000036040000}"/>
    <cellStyle name="20% - Énfasis2 2 4 2 3 3" xfId="5143" xr:uid="{00000000-0005-0000-0000-000037040000}"/>
    <cellStyle name="20% - Énfasis2 2 4 2 3 4" xfId="8919" xr:uid="{00000000-0005-0000-0000-000038040000}"/>
    <cellStyle name="20% - Énfasis2 2 4 2 4" xfId="2308" xr:uid="{00000000-0005-0000-0000-000039040000}"/>
    <cellStyle name="20% - Énfasis2 2 4 2 4 2" xfId="6087" xr:uid="{00000000-0005-0000-0000-00003A040000}"/>
    <cellStyle name="20% - Énfasis2 2 4 2 4 3" xfId="9863" xr:uid="{00000000-0005-0000-0000-00003B040000}"/>
    <cellStyle name="20% - Énfasis2 2 4 2 5" xfId="4199" xr:uid="{00000000-0005-0000-0000-00003C040000}"/>
    <cellStyle name="20% - Énfasis2 2 4 2 6" xfId="7975" xr:uid="{00000000-0005-0000-0000-00003D040000}"/>
    <cellStyle name="20% - Énfasis2 2 4 3" xfId="652" xr:uid="{00000000-0005-0000-0000-00003E040000}"/>
    <cellStyle name="20% - Énfasis2 2 4 3 2" xfId="1598" xr:uid="{00000000-0005-0000-0000-00003F040000}"/>
    <cellStyle name="20% - Énfasis2 2 4 3 2 2" xfId="3488" xr:uid="{00000000-0005-0000-0000-000040040000}"/>
    <cellStyle name="20% - Énfasis2 2 4 3 2 2 2" xfId="7267" xr:uid="{00000000-0005-0000-0000-000041040000}"/>
    <cellStyle name="20% - Énfasis2 2 4 3 2 2 3" xfId="11043" xr:uid="{00000000-0005-0000-0000-000042040000}"/>
    <cellStyle name="20% - Énfasis2 2 4 3 2 3" xfId="5379" xr:uid="{00000000-0005-0000-0000-000043040000}"/>
    <cellStyle name="20% - Énfasis2 2 4 3 2 4" xfId="9155" xr:uid="{00000000-0005-0000-0000-000044040000}"/>
    <cellStyle name="20% - Énfasis2 2 4 3 3" xfId="2544" xr:uid="{00000000-0005-0000-0000-000045040000}"/>
    <cellStyle name="20% - Énfasis2 2 4 3 3 2" xfId="6323" xr:uid="{00000000-0005-0000-0000-000046040000}"/>
    <cellStyle name="20% - Énfasis2 2 4 3 3 3" xfId="10099" xr:uid="{00000000-0005-0000-0000-000047040000}"/>
    <cellStyle name="20% - Énfasis2 2 4 3 4" xfId="4435" xr:uid="{00000000-0005-0000-0000-000048040000}"/>
    <cellStyle name="20% - Énfasis2 2 4 3 5" xfId="8211" xr:uid="{00000000-0005-0000-0000-000049040000}"/>
    <cellStyle name="20% - Énfasis2 2 4 4" xfId="1126" xr:uid="{00000000-0005-0000-0000-00004A040000}"/>
    <cellStyle name="20% - Énfasis2 2 4 4 2" xfId="3016" xr:uid="{00000000-0005-0000-0000-00004B040000}"/>
    <cellStyle name="20% - Énfasis2 2 4 4 2 2" xfId="6795" xr:uid="{00000000-0005-0000-0000-00004C040000}"/>
    <cellStyle name="20% - Énfasis2 2 4 4 2 3" xfId="10571" xr:uid="{00000000-0005-0000-0000-00004D040000}"/>
    <cellStyle name="20% - Énfasis2 2 4 4 3" xfId="4907" xr:uid="{00000000-0005-0000-0000-00004E040000}"/>
    <cellStyle name="20% - Énfasis2 2 4 4 4" xfId="8683" xr:uid="{00000000-0005-0000-0000-00004F040000}"/>
    <cellStyle name="20% - Énfasis2 2 4 5" xfId="2072" xr:uid="{00000000-0005-0000-0000-000050040000}"/>
    <cellStyle name="20% - Énfasis2 2 4 5 2" xfId="5851" xr:uid="{00000000-0005-0000-0000-000051040000}"/>
    <cellStyle name="20% - Énfasis2 2 4 5 3" xfId="9627" xr:uid="{00000000-0005-0000-0000-000052040000}"/>
    <cellStyle name="20% - Énfasis2 2 4 6" xfId="3963" xr:uid="{00000000-0005-0000-0000-000053040000}"/>
    <cellStyle name="20% - Énfasis2 2 4 7" xfId="7739" xr:uid="{00000000-0005-0000-0000-000054040000}"/>
    <cellStyle name="20% - Énfasis2 2 5" xfId="296" xr:uid="{00000000-0005-0000-0000-000055040000}"/>
    <cellStyle name="20% - Énfasis2 2 5 2" xfId="770" xr:uid="{00000000-0005-0000-0000-000056040000}"/>
    <cellStyle name="20% - Énfasis2 2 5 2 2" xfId="1716" xr:uid="{00000000-0005-0000-0000-000057040000}"/>
    <cellStyle name="20% - Énfasis2 2 5 2 2 2" xfId="3606" xr:uid="{00000000-0005-0000-0000-000058040000}"/>
    <cellStyle name="20% - Énfasis2 2 5 2 2 2 2" xfId="7385" xr:uid="{00000000-0005-0000-0000-000059040000}"/>
    <cellStyle name="20% - Énfasis2 2 5 2 2 2 3" xfId="11161" xr:uid="{00000000-0005-0000-0000-00005A040000}"/>
    <cellStyle name="20% - Énfasis2 2 5 2 2 3" xfId="5497" xr:uid="{00000000-0005-0000-0000-00005B040000}"/>
    <cellStyle name="20% - Énfasis2 2 5 2 2 4" xfId="9273" xr:uid="{00000000-0005-0000-0000-00005C040000}"/>
    <cellStyle name="20% - Énfasis2 2 5 2 3" xfId="2662" xr:uid="{00000000-0005-0000-0000-00005D040000}"/>
    <cellStyle name="20% - Énfasis2 2 5 2 3 2" xfId="6441" xr:uid="{00000000-0005-0000-0000-00005E040000}"/>
    <cellStyle name="20% - Énfasis2 2 5 2 3 3" xfId="10217" xr:uid="{00000000-0005-0000-0000-00005F040000}"/>
    <cellStyle name="20% - Énfasis2 2 5 2 4" xfId="4553" xr:uid="{00000000-0005-0000-0000-000060040000}"/>
    <cellStyle name="20% - Énfasis2 2 5 2 5" xfId="8329" xr:uid="{00000000-0005-0000-0000-000061040000}"/>
    <cellStyle name="20% - Énfasis2 2 5 3" xfId="1244" xr:uid="{00000000-0005-0000-0000-000062040000}"/>
    <cellStyle name="20% - Énfasis2 2 5 3 2" xfId="3134" xr:uid="{00000000-0005-0000-0000-000063040000}"/>
    <cellStyle name="20% - Énfasis2 2 5 3 2 2" xfId="6913" xr:uid="{00000000-0005-0000-0000-000064040000}"/>
    <cellStyle name="20% - Énfasis2 2 5 3 2 3" xfId="10689" xr:uid="{00000000-0005-0000-0000-000065040000}"/>
    <cellStyle name="20% - Énfasis2 2 5 3 3" xfId="5025" xr:uid="{00000000-0005-0000-0000-000066040000}"/>
    <cellStyle name="20% - Énfasis2 2 5 3 4" xfId="8801" xr:uid="{00000000-0005-0000-0000-000067040000}"/>
    <cellStyle name="20% - Énfasis2 2 5 4" xfId="2190" xr:uid="{00000000-0005-0000-0000-000068040000}"/>
    <cellStyle name="20% - Énfasis2 2 5 4 2" xfId="5969" xr:uid="{00000000-0005-0000-0000-000069040000}"/>
    <cellStyle name="20% - Énfasis2 2 5 4 3" xfId="9745" xr:uid="{00000000-0005-0000-0000-00006A040000}"/>
    <cellStyle name="20% - Énfasis2 2 5 5" xfId="4081" xr:uid="{00000000-0005-0000-0000-00006B040000}"/>
    <cellStyle name="20% - Énfasis2 2 5 6" xfId="7857" xr:uid="{00000000-0005-0000-0000-00006C040000}"/>
    <cellStyle name="20% - Énfasis2 2 6" xfId="534" xr:uid="{00000000-0005-0000-0000-00006D040000}"/>
    <cellStyle name="20% - Énfasis2 2 6 2" xfId="1480" xr:uid="{00000000-0005-0000-0000-00006E040000}"/>
    <cellStyle name="20% - Énfasis2 2 6 2 2" xfId="3370" xr:uid="{00000000-0005-0000-0000-00006F040000}"/>
    <cellStyle name="20% - Énfasis2 2 6 2 2 2" xfId="7149" xr:uid="{00000000-0005-0000-0000-000070040000}"/>
    <cellStyle name="20% - Énfasis2 2 6 2 2 3" xfId="10925" xr:uid="{00000000-0005-0000-0000-000071040000}"/>
    <cellStyle name="20% - Énfasis2 2 6 2 3" xfId="5261" xr:uid="{00000000-0005-0000-0000-000072040000}"/>
    <cellStyle name="20% - Énfasis2 2 6 2 4" xfId="9037" xr:uid="{00000000-0005-0000-0000-000073040000}"/>
    <cellStyle name="20% - Énfasis2 2 6 3" xfId="2426" xr:uid="{00000000-0005-0000-0000-000074040000}"/>
    <cellStyle name="20% - Énfasis2 2 6 3 2" xfId="6205" xr:uid="{00000000-0005-0000-0000-000075040000}"/>
    <cellStyle name="20% - Énfasis2 2 6 3 3" xfId="9981" xr:uid="{00000000-0005-0000-0000-000076040000}"/>
    <cellStyle name="20% - Énfasis2 2 6 4" xfId="4317" xr:uid="{00000000-0005-0000-0000-000077040000}"/>
    <cellStyle name="20% - Énfasis2 2 6 5" xfId="8093" xr:uid="{00000000-0005-0000-0000-000078040000}"/>
    <cellStyle name="20% - Énfasis2 2 7" xfId="1008" xr:uid="{00000000-0005-0000-0000-000079040000}"/>
    <cellStyle name="20% - Énfasis2 2 7 2" xfId="2898" xr:uid="{00000000-0005-0000-0000-00007A040000}"/>
    <cellStyle name="20% - Énfasis2 2 7 2 2" xfId="6677" xr:uid="{00000000-0005-0000-0000-00007B040000}"/>
    <cellStyle name="20% - Énfasis2 2 7 2 3" xfId="10453" xr:uid="{00000000-0005-0000-0000-00007C040000}"/>
    <cellStyle name="20% - Énfasis2 2 7 3" xfId="4789" xr:uid="{00000000-0005-0000-0000-00007D040000}"/>
    <cellStyle name="20% - Énfasis2 2 7 4" xfId="8565" xr:uid="{00000000-0005-0000-0000-00007E040000}"/>
    <cellStyle name="20% - Énfasis2 2 8" xfId="1954" xr:uid="{00000000-0005-0000-0000-00007F040000}"/>
    <cellStyle name="20% - Énfasis2 2 8 2" xfId="5733" xr:uid="{00000000-0005-0000-0000-000080040000}"/>
    <cellStyle name="20% - Énfasis2 2 8 3" xfId="9509" xr:uid="{00000000-0005-0000-0000-000081040000}"/>
    <cellStyle name="20% - Énfasis2 2 9" xfId="3845" xr:uid="{00000000-0005-0000-0000-000082040000}"/>
    <cellStyle name="20% - Énfasis2 3" xfId="61" xr:uid="{00000000-0005-0000-0000-000083040000}"/>
    <cellStyle name="20% - Énfasis2 3 2" xfId="125" xr:uid="{00000000-0005-0000-0000-000084040000}"/>
    <cellStyle name="20% - Énfasis2 3 2 2" xfId="248" xr:uid="{00000000-0005-0000-0000-000085040000}"/>
    <cellStyle name="20% - Énfasis2 3 2 2 2" xfId="486" xr:uid="{00000000-0005-0000-0000-000086040000}"/>
    <cellStyle name="20% - Énfasis2 3 2 2 2 2" xfId="960" xr:uid="{00000000-0005-0000-0000-000087040000}"/>
    <cellStyle name="20% - Énfasis2 3 2 2 2 2 2" xfId="1906" xr:uid="{00000000-0005-0000-0000-000088040000}"/>
    <cellStyle name="20% - Énfasis2 3 2 2 2 2 2 2" xfId="3796" xr:uid="{00000000-0005-0000-0000-000089040000}"/>
    <cellStyle name="20% - Énfasis2 3 2 2 2 2 2 2 2" xfId="7575" xr:uid="{00000000-0005-0000-0000-00008A040000}"/>
    <cellStyle name="20% - Énfasis2 3 2 2 2 2 2 2 3" xfId="11351" xr:uid="{00000000-0005-0000-0000-00008B040000}"/>
    <cellStyle name="20% - Énfasis2 3 2 2 2 2 2 3" xfId="5687" xr:uid="{00000000-0005-0000-0000-00008C040000}"/>
    <cellStyle name="20% - Énfasis2 3 2 2 2 2 2 4" xfId="9463" xr:uid="{00000000-0005-0000-0000-00008D040000}"/>
    <cellStyle name="20% - Énfasis2 3 2 2 2 2 3" xfId="2852" xr:uid="{00000000-0005-0000-0000-00008E040000}"/>
    <cellStyle name="20% - Énfasis2 3 2 2 2 2 3 2" xfId="6631" xr:uid="{00000000-0005-0000-0000-00008F040000}"/>
    <cellStyle name="20% - Énfasis2 3 2 2 2 2 3 3" xfId="10407" xr:uid="{00000000-0005-0000-0000-000090040000}"/>
    <cellStyle name="20% - Énfasis2 3 2 2 2 2 4" xfId="4743" xr:uid="{00000000-0005-0000-0000-000091040000}"/>
    <cellStyle name="20% - Énfasis2 3 2 2 2 2 5" xfId="8519" xr:uid="{00000000-0005-0000-0000-000092040000}"/>
    <cellStyle name="20% - Énfasis2 3 2 2 2 3" xfId="1434" xr:uid="{00000000-0005-0000-0000-000093040000}"/>
    <cellStyle name="20% - Énfasis2 3 2 2 2 3 2" xfId="3324" xr:uid="{00000000-0005-0000-0000-000094040000}"/>
    <cellStyle name="20% - Énfasis2 3 2 2 2 3 2 2" xfId="7103" xr:uid="{00000000-0005-0000-0000-000095040000}"/>
    <cellStyle name="20% - Énfasis2 3 2 2 2 3 2 3" xfId="10879" xr:uid="{00000000-0005-0000-0000-000096040000}"/>
    <cellStyle name="20% - Énfasis2 3 2 2 2 3 3" xfId="5215" xr:uid="{00000000-0005-0000-0000-000097040000}"/>
    <cellStyle name="20% - Énfasis2 3 2 2 2 3 4" xfId="8991" xr:uid="{00000000-0005-0000-0000-000098040000}"/>
    <cellStyle name="20% - Énfasis2 3 2 2 2 4" xfId="2380" xr:uid="{00000000-0005-0000-0000-000099040000}"/>
    <cellStyle name="20% - Énfasis2 3 2 2 2 4 2" xfId="6159" xr:uid="{00000000-0005-0000-0000-00009A040000}"/>
    <cellStyle name="20% - Énfasis2 3 2 2 2 4 3" xfId="9935" xr:uid="{00000000-0005-0000-0000-00009B040000}"/>
    <cellStyle name="20% - Énfasis2 3 2 2 2 5" xfId="4271" xr:uid="{00000000-0005-0000-0000-00009C040000}"/>
    <cellStyle name="20% - Énfasis2 3 2 2 2 6" xfId="8047" xr:uid="{00000000-0005-0000-0000-00009D040000}"/>
    <cellStyle name="20% - Énfasis2 3 2 2 3" xfId="724" xr:uid="{00000000-0005-0000-0000-00009E040000}"/>
    <cellStyle name="20% - Énfasis2 3 2 2 3 2" xfId="1670" xr:uid="{00000000-0005-0000-0000-00009F040000}"/>
    <cellStyle name="20% - Énfasis2 3 2 2 3 2 2" xfId="3560" xr:uid="{00000000-0005-0000-0000-0000A0040000}"/>
    <cellStyle name="20% - Énfasis2 3 2 2 3 2 2 2" xfId="7339" xr:uid="{00000000-0005-0000-0000-0000A1040000}"/>
    <cellStyle name="20% - Énfasis2 3 2 2 3 2 2 3" xfId="11115" xr:uid="{00000000-0005-0000-0000-0000A2040000}"/>
    <cellStyle name="20% - Énfasis2 3 2 2 3 2 3" xfId="5451" xr:uid="{00000000-0005-0000-0000-0000A3040000}"/>
    <cellStyle name="20% - Énfasis2 3 2 2 3 2 4" xfId="9227" xr:uid="{00000000-0005-0000-0000-0000A4040000}"/>
    <cellStyle name="20% - Énfasis2 3 2 2 3 3" xfId="2616" xr:uid="{00000000-0005-0000-0000-0000A5040000}"/>
    <cellStyle name="20% - Énfasis2 3 2 2 3 3 2" xfId="6395" xr:uid="{00000000-0005-0000-0000-0000A6040000}"/>
    <cellStyle name="20% - Énfasis2 3 2 2 3 3 3" xfId="10171" xr:uid="{00000000-0005-0000-0000-0000A7040000}"/>
    <cellStyle name="20% - Énfasis2 3 2 2 3 4" xfId="4507" xr:uid="{00000000-0005-0000-0000-0000A8040000}"/>
    <cellStyle name="20% - Énfasis2 3 2 2 3 5" xfId="8283" xr:uid="{00000000-0005-0000-0000-0000A9040000}"/>
    <cellStyle name="20% - Énfasis2 3 2 2 4" xfId="1198" xr:uid="{00000000-0005-0000-0000-0000AA040000}"/>
    <cellStyle name="20% - Énfasis2 3 2 2 4 2" xfId="3088" xr:uid="{00000000-0005-0000-0000-0000AB040000}"/>
    <cellStyle name="20% - Énfasis2 3 2 2 4 2 2" xfId="6867" xr:uid="{00000000-0005-0000-0000-0000AC040000}"/>
    <cellStyle name="20% - Énfasis2 3 2 2 4 2 3" xfId="10643" xr:uid="{00000000-0005-0000-0000-0000AD040000}"/>
    <cellStyle name="20% - Énfasis2 3 2 2 4 3" xfId="4979" xr:uid="{00000000-0005-0000-0000-0000AE040000}"/>
    <cellStyle name="20% - Énfasis2 3 2 2 4 4" xfId="8755" xr:uid="{00000000-0005-0000-0000-0000AF040000}"/>
    <cellStyle name="20% - Énfasis2 3 2 2 5" xfId="2144" xr:uid="{00000000-0005-0000-0000-0000B0040000}"/>
    <cellStyle name="20% - Énfasis2 3 2 2 5 2" xfId="5923" xr:uid="{00000000-0005-0000-0000-0000B1040000}"/>
    <cellStyle name="20% - Énfasis2 3 2 2 5 3" xfId="9699" xr:uid="{00000000-0005-0000-0000-0000B2040000}"/>
    <cellStyle name="20% - Énfasis2 3 2 2 6" xfId="4035" xr:uid="{00000000-0005-0000-0000-0000B3040000}"/>
    <cellStyle name="20% - Énfasis2 3 2 2 7" xfId="7811" xr:uid="{00000000-0005-0000-0000-0000B4040000}"/>
    <cellStyle name="20% - Énfasis2 3 2 3" xfId="368" xr:uid="{00000000-0005-0000-0000-0000B5040000}"/>
    <cellStyle name="20% - Énfasis2 3 2 3 2" xfId="842" xr:uid="{00000000-0005-0000-0000-0000B6040000}"/>
    <cellStyle name="20% - Énfasis2 3 2 3 2 2" xfId="1788" xr:uid="{00000000-0005-0000-0000-0000B7040000}"/>
    <cellStyle name="20% - Énfasis2 3 2 3 2 2 2" xfId="3678" xr:uid="{00000000-0005-0000-0000-0000B8040000}"/>
    <cellStyle name="20% - Énfasis2 3 2 3 2 2 2 2" xfId="7457" xr:uid="{00000000-0005-0000-0000-0000B9040000}"/>
    <cellStyle name="20% - Énfasis2 3 2 3 2 2 2 3" xfId="11233" xr:uid="{00000000-0005-0000-0000-0000BA040000}"/>
    <cellStyle name="20% - Énfasis2 3 2 3 2 2 3" xfId="5569" xr:uid="{00000000-0005-0000-0000-0000BB040000}"/>
    <cellStyle name="20% - Énfasis2 3 2 3 2 2 4" xfId="9345" xr:uid="{00000000-0005-0000-0000-0000BC040000}"/>
    <cellStyle name="20% - Énfasis2 3 2 3 2 3" xfId="2734" xr:uid="{00000000-0005-0000-0000-0000BD040000}"/>
    <cellStyle name="20% - Énfasis2 3 2 3 2 3 2" xfId="6513" xr:uid="{00000000-0005-0000-0000-0000BE040000}"/>
    <cellStyle name="20% - Énfasis2 3 2 3 2 3 3" xfId="10289" xr:uid="{00000000-0005-0000-0000-0000BF040000}"/>
    <cellStyle name="20% - Énfasis2 3 2 3 2 4" xfId="4625" xr:uid="{00000000-0005-0000-0000-0000C0040000}"/>
    <cellStyle name="20% - Énfasis2 3 2 3 2 5" xfId="8401" xr:uid="{00000000-0005-0000-0000-0000C1040000}"/>
    <cellStyle name="20% - Énfasis2 3 2 3 3" xfId="1316" xr:uid="{00000000-0005-0000-0000-0000C2040000}"/>
    <cellStyle name="20% - Énfasis2 3 2 3 3 2" xfId="3206" xr:uid="{00000000-0005-0000-0000-0000C3040000}"/>
    <cellStyle name="20% - Énfasis2 3 2 3 3 2 2" xfId="6985" xr:uid="{00000000-0005-0000-0000-0000C4040000}"/>
    <cellStyle name="20% - Énfasis2 3 2 3 3 2 3" xfId="10761" xr:uid="{00000000-0005-0000-0000-0000C5040000}"/>
    <cellStyle name="20% - Énfasis2 3 2 3 3 3" xfId="5097" xr:uid="{00000000-0005-0000-0000-0000C6040000}"/>
    <cellStyle name="20% - Énfasis2 3 2 3 3 4" xfId="8873" xr:uid="{00000000-0005-0000-0000-0000C7040000}"/>
    <cellStyle name="20% - Énfasis2 3 2 3 4" xfId="2262" xr:uid="{00000000-0005-0000-0000-0000C8040000}"/>
    <cellStyle name="20% - Énfasis2 3 2 3 4 2" xfId="6041" xr:uid="{00000000-0005-0000-0000-0000C9040000}"/>
    <cellStyle name="20% - Énfasis2 3 2 3 4 3" xfId="9817" xr:uid="{00000000-0005-0000-0000-0000CA040000}"/>
    <cellStyle name="20% - Énfasis2 3 2 3 5" xfId="4153" xr:uid="{00000000-0005-0000-0000-0000CB040000}"/>
    <cellStyle name="20% - Énfasis2 3 2 3 6" xfId="7929" xr:uid="{00000000-0005-0000-0000-0000CC040000}"/>
    <cellStyle name="20% - Énfasis2 3 2 4" xfId="606" xr:uid="{00000000-0005-0000-0000-0000CD040000}"/>
    <cellStyle name="20% - Énfasis2 3 2 4 2" xfId="1552" xr:uid="{00000000-0005-0000-0000-0000CE040000}"/>
    <cellStyle name="20% - Énfasis2 3 2 4 2 2" xfId="3442" xr:uid="{00000000-0005-0000-0000-0000CF040000}"/>
    <cellStyle name="20% - Énfasis2 3 2 4 2 2 2" xfId="7221" xr:uid="{00000000-0005-0000-0000-0000D0040000}"/>
    <cellStyle name="20% - Énfasis2 3 2 4 2 2 3" xfId="10997" xr:uid="{00000000-0005-0000-0000-0000D1040000}"/>
    <cellStyle name="20% - Énfasis2 3 2 4 2 3" xfId="5333" xr:uid="{00000000-0005-0000-0000-0000D2040000}"/>
    <cellStyle name="20% - Énfasis2 3 2 4 2 4" xfId="9109" xr:uid="{00000000-0005-0000-0000-0000D3040000}"/>
    <cellStyle name="20% - Énfasis2 3 2 4 3" xfId="2498" xr:uid="{00000000-0005-0000-0000-0000D4040000}"/>
    <cellStyle name="20% - Énfasis2 3 2 4 3 2" xfId="6277" xr:uid="{00000000-0005-0000-0000-0000D5040000}"/>
    <cellStyle name="20% - Énfasis2 3 2 4 3 3" xfId="10053" xr:uid="{00000000-0005-0000-0000-0000D6040000}"/>
    <cellStyle name="20% - Énfasis2 3 2 4 4" xfId="4389" xr:uid="{00000000-0005-0000-0000-0000D7040000}"/>
    <cellStyle name="20% - Énfasis2 3 2 4 5" xfId="8165" xr:uid="{00000000-0005-0000-0000-0000D8040000}"/>
    <cellStyle name="20% - Énfasis2 3 2 5" xfId="1080" xr:uid="{00000000-0005-0000-0000-0000D9040000}"/>
    <cellStyle name="20% - Énfasis2 3 2 5 2" xfId="2970" xr:uid="{00000000-0005-0000-0000-0000DA040000}"/>
    <cellStyle name="20% - Énfasis2 3 2 5 2 2" xfId="6749" xr:uid="{00000000-0005-0000-0000-0000DB040000}"/>
    <cellStyle name="20% - Énfasis2 3 2 5 2 3" xfId="10525" xr:uid="{00000000-0005-0000-0000-0000DC040000}"/>
    <cellStyle name="20% - Énfasis2 3 2 5 3" xfId="4861" xr:uid="{00000000-0005-0000-0000-0000DD040000}"/>
    <cellStyle name="20% - Énfasis2 3 2 5 4" xfId="8637" xr:uid="{00000000-0005-0000-0000-0000DE040000}"/>
    <cellStyle name="20% - Énfasis2 3 2 6" xfId="2026" xr:uid="{00000000-0005-0000-0000-0000DF040000}"/>
    <cellStyle name="20% - Énfasis2 3 2 6 2" xfId="5805" xr:uid="{00000000-0005-0000-0000-0000E0040000}"/>
    <cellStyle name="20% - Énfasis2 3 2 6 3" xfId="9581" xr:uid="{00000000-0005-0000-0000-0000E1040000}"/>
    <cellStyle name="20% - Énfasis2 3 2 7" xfId="3917" xr:uid="{00000000-0005-0000-0000-0000E2040000}"/>
    <cellStyle name="20% - Énfasis2 3 2 8" xfId="7693" xr:uid="{00000000-0005-0000-0000-0000E3040000}"/>
    <cellStyle name="20% - Énfasis2 3 3" xfId="189" xr:uid="{00000000-0005-0000-0000-0000E4040000}"/>
    <cellStyle name="20% - Énfasis2 3 3 2" xfId="427" xr:uid="{00000000-0005-0000-0000-0000E5040000}"/>
    <cellStyle name="20% - Énfasis2 3 3 2 2" xfId="901" xr:uid="{00000000-0005-0000-0000-0000E6040000}"/>
    <cellStyle name="20% - Énfasis2 3 3 2 2 2" xfId="1847" xr:uid="{00000000-0005-0000-0000-0000E7040000}"/>
    <cellStyle name="20% - Énfasis2 3 3 2 2 2 2" xfId="3737" xr:uid="{00000000-0005-0000-0000-0000E8040000}"/>
    <cellStyle name="20% - Énfasis2 3 3 2 2 2 2 2" xfId="7516" xr:uid="{00000000-0005-0000-0000-0000E9040000}"/>
    <cellStyle name="20% - Énfasis2 3 3 2 2 2 2 3" xfId="11292" xr:uid="{00000000-0005-0000-0000-0000EA040000}"/>
    <cellStyle name="20% - Énfasis2 3 3 2 2 2 3" xfId="5628" xr:uid="{00000000-0005-0000-0000-0000EB040000}"/>
    <cellStyle name="20% - Énfasis2 3 3 2 2 2 4" xfId="9404" xr:uid="{00000000-0005-0000-0000-0000EC040000}"/>
    <cellStyle name="20% - Énfasis2 3 3 2 2 3" xfId="2793" xr:uid="{00000000-0005-0000-0000-0000ED040000}"/>
    <cellStyle name="20% - Énfasis2 3 3 2 2 3 2" xfId="6572" xr:uid="{00000000-0005-0000-0000-0000EE040000}"/>
    <cellStyle name="20% - Énfasis2 3 3 2 2 3 3" xfId="10348" xr:uid="{00000000-0005-0000-0000-0000EF040000}"/>
    <cellStyle name="20% - Énfasis2 3 3 2 2 4" xfId="4684" xr:uid="{00000000-0005-0000-0000-0000F0040000}"/>
    <cellStyle name="20% - Énfasis2 3 3 2 2 5" xfId="8460" xr:uid="{00000000-0005-0000-0000-0000F1040000}"/>
    <cellStyle name="20% - Énfasis2 3 3 2 3" xfId="1375" xr:uid="{00000000-0005-0000-0000-0000F2040000}"/>
    <cellStyle name="20% - Énfasis2 3 3 2 3 2" xfId="3265" xr:uid="{00000000-0005-0000-0000-0000F3040000}"/>
    <cellStyle name="20% - Énfasis2 3 3 2 3 2 2" xfId="7044" xr:uid="{00000000-0005-0000-0000-0000F4040000}"/>
    <cellStyle name="20% - Énfasis2 3 3 2 3 2 3" xfId="10820" xr:uid="{00000000-0005-0000-0000-0000F5040000}"/>
    <cellStyle name="20% - Énfasis2 3 3 2 3 3" xfId="5156" xr:uid="{00000000-0005-0000-0000-0000F6040000}"/>
    <cellStyle name="20% - Énfasis2 3 3 2 3 4" xfId="8932" xr:uid="{00000000-0005-0000-0000-0000F7040000}"/>
    <cellStyle name="20% - Énfasis2 3 3 2 4" xfId="2321" xr:uid="{00000000-0005-0000-0000-0000F8040000}"/>
    <cellStyle name="20% - Énfasis2 3 3 2 4 2" xfId="6100" xr:uid="{00000000-0005-0000-0000-0000F9040000}"/>
    <cellStyle name="20% - Énfasis2 3 3 2 4 3" xfId="9876" xr:uid="{00000000-0005-0000-0000-0000FA040000}"/>
    <cellStyle name="20% - Énfasis2 3 3 2 5" xfId="4212" xr:uid="{00000000-0005-0000-0000-0000FB040000}"/>
    <cellStyle name="20% - Énfasis2 3 3 2 6" xfId="7988" xr:uid="{00000000-0005-0000-0000-0000FC040000}"/>
    <cellStyle name="20% - Énfasis2 3 3 3" xfId="665" xr:uid="{00000000-0005-0000-0000-0000FD040000}"/>
    <cellStyle name="20% - Énfasis2 3 3 3 2" xfId="1611" xr:uid="{00000000-0005-0000-0000-0000FE040000}"/>
    <cellStyle name="20% - Énfasis2 3 3 3 2 2" xfId="3501" xr:uid="{00000000-0005-0000-0000-0000FF040000}"/>
    <cellStyle name="20% - Énfasis2 3 3 3 2 2 2" xfId="7280" xr:uid="{00000000-0005-0000-0000-000000050000}"/>
    <cellStyle name="20% - Énfasis2 3 3 3 2 2 3" xfId="11056" xr:uid="{00000000-0005-0000-0000-000001050000}"/>
    <cellStyle name="20% - Énfasis2 3 3 3 2 3" xfId="5392" xr:uid="{00000000-0005-0000-0000-000002050000}"/>
    <cellStyle name="20% - Énfasis2 3 3 3 2 4" xfId="9168" xr:uid="{00000000-0005-0000-0000-000003050000}"/>
    <cellStyle name="20% - Énfasis2 3 3 3 3" xfId="2557" xr:uid="{00000000-0005-0000-0000-000004050000}"/>
    <cellStyle name="20% - Énfasis2 3 3 3 3 2" xfId="6336" xr:uid="{00000000-0005-0000-0000-000005050000}"/>
    <cellStyle name="20% - Énfasis2 3 3 3 3 3" xfId="10112" xr:uid="{00000000-0005-0000-0000-000006050000}"/>
    <cellStyle name="20% - Énfasis2 3 3 3 4" xfId="4448" xr:uid="{00000000-0005-0000-0000-000007050000}"/>
    <cellStyle name="20% - Énfasis2 3 3 3 5" xfId="8224" xr:uid="{00000000-0005-0000-0000-000008050000}"/>
    <cellStyle name="20% - Énfasis2 3 3 4" xfId="1139" xr:uid="{00000000-0005-0000-0000-000009050000}"/>
    <cellStyle name="20% - Énfasis2 3 3 4 2" xfId="3029" xr:uid="{00000000-0005-0000-0000-00000A050000}"/>
    <cellStyle name="20% - Énfasis2 3 3 4 2 2" xfId="6808" xr:uid="{00000000-0005-0000-0000-00000B050000}"/>
    <cellStyle name="20% - Énfasis2 3 3 4 2 3" xfId="10584" xr:uid="{00000000-0005-0000-0000-00000C050000}"/>
    <cellStyle name="20% - Énfasis2 3 3 4 3" xfId="4920" xr:uid="{00000000-0005-0000-0000-00000D050000}"/>
    <cellStyle name="20% - Énfasis2 3 3 4 4" xfId="8696" xr:uid="{00000000-0005-0000-0000-00000E050000}"/>
    <cellStyle name="20% - Énfasis2 3 3 5" xfId="2085" xr:uid="{00000000-0005-0000-0000-00000F050000}"/>
    <cellStyle name="20% - Énfasis2 3 3 5 2" xfId="5864" xr:uid="{00000000-0005-0000-0000-000010050000}"/>
    <cellStyle name="20% - Énfasis2 3 3 5 3" xfId="9640" xr:uid="{00000000-0005-0000-0000-000011050000}"/>
    <cellStyle name="20% - Énfasis2 3 3 6" xfId="3976" xr:uid="{00000000-0005-0000-0000-000012050000}"/>
    <cellStyle name="20% - Énfasis2 3 3 7" xfId="7752" xr:uid="{00000000-0005-0000-0000-000013050000}"/>
    <cellStyle name="20% - Énfasis2 3 4" xfId="309" xr:uid="{00000000-0005-0000-0000-000014050000}"/>
    <cellStyle name="20% - Énfasis2 3 4 2" xfId="783" xr:uid="{00000000-0005-0000-0000-000015050000}"/>
    <cellStyle name="20% - Énfasis2 3 4 2 2" xfId="1729" xr:uid="{00000000-0005-0000-0000-000016050000}"/>
    <cellStyle name="20% - Énfasis2 3 4 2 2 2" xfId="3619" xr:uid="{00000000-0005-0000-0000-000017050000}"/>
    <cellStyle name="20% - Énfasis2 3 4 2 2 2 2" xfId="7398" xr:uid="{00000000-0005-0000-0000-000018050000}"/>
    <cellStyle name="20% - Énfasis2 3 4 2 2 2 3" xfId="11174" xr:uid="{00000000-0005-0000-0000-000019050000}"/>
    <cellStyle name="20% - Énfasis2 3 4 2 2 3" xfId="5510" xr:uid="{00000000-0005-0000-0000-00001A050000}"/>
    <cellStyle name="20% - Énfasis2 3 4 2 2 4" xfId="9286" xr:uid="{00000000-0005-0000-0000-00001B050000}"/>
    <cellStyle name="20% - Énfasis2 3 4 2 3" xfId="2675" xr:uid="{00000000-0005-0000-0000-00001C050000}"/>
    <cellStyle name="20% - Énfasis2 3 4 2 3 2" xfId="6454" xr:uid="{00000000-0005-0000-0000-00001D050000}"/>
    <cellStyle name="20% - Énfasis2 3 4 2 3 3" xfId="10230" xr:uid="{00000000-0005-0000-0000-00001E050000}"/>
    <cellStyle name="20% - Énfasis2 3 4 2 4" xfId="4566" xr:uid="{00000000-0005-0000-0000-00001F050000}"/>
    <cellStyle name="20% - Énfasis2 3 4 2 5" xfId="8342" xr:uid="{00000000-0005-0000-0000-000020050000}"/>
    <cellStyle name="20% - Énfasis2 3 4 3" xfId="1257" xr:uid="{00000000-0005-0000-0000-000021050000}"/>
    <cellStyle name="20% - Énfasis2 3 4 3 2" xfId="3147" xr:uid="{00000000-0005-0000-0000-000022050000}"/>
    <cellStyle name="20% - Énfasis2 3 4 3 2 2" xfId="6926" xr:uid="{00000000-0005-0000-0000-000023050000}"/>
    <cellStyle name="20% - Énfasis2 3 4 3 2 3" xfId="10702" xr:uid="{00000000-0005-0000-0000-000024050000}"/>
    <cellStyle name="20% - Énfasis2 3 4 3 3" xfId="5038" xr:uid="{00000000-0005-0000-0000-000025050000}"/>
    <cellStyle name="20% - Énfasis2 3 4 3 4" xfId="8814" xr:uid="{00000000-0005-0000-0000-000026050000}"/>
    <cellStyle name="20% - Énfasis2 3 4 4" xfId="2203" xr:uid="{00000000-0005-0000-0000-000027050000}"/>
    <cellStyle name="20% - Énfasis2 3 4 4 2" xfId="5982" xr:uid="{00000000-0005-0000-0000-000028050000}"/>
    <cellStyle name="20% - Énfasis2 3 4 4 3" xfId="9758" xr:uid="{00000000-0005-0000-0000-000029050000}"/>
    <cellStyle name="20% - Énfasis2 3 4 5" xfId="4094" xr:uid="{00000000-0005-0000-0000-00002A050000}"/>
    <cellStyle name="20% - Énfasis2 3 4 6" xfId="7870" xr:uid="{00000000-0005-0000-0000-00002B050000}"/>
    <cellStyle name="20% - Énfasis2 3 5" xfId="547" xr:uid="{00000000-0005-0000-0000-00002C050000}"/>
    <cellStyle name="20% - Énfasis2 3 5 2" xfId="1493" xr:uid="{00000000-0005-0000-0000-00002D050000}"/>
    <cellStyle name="20% - Énfasis2 3 5 2 2" xfId="3383" xr:uid="{00000000-0005-0000-0000-00002E050000}"/>
    <cellStyle name="20% - Énfasis2 3 5 2 2 2" xfId="7162" xr:uid="{00000000-0005-0000-0000-00002F050000}"/>
    <cellStyle name="20% - Énfasis2 3 5 2 2 3" xfId="10938" xr:uid="{00000000-0005-0000-0000-000030050000}"/>
    <cellStyle name="20% - Énfasis2 3 5 2 3" xfId="5274" xr:uid="{00000000-0005-0000-0000-000031050000}"/>
    <cellStyle name="20% - Énfasis2 3 5 2 4" xfId="9050" xr:uid="{00000000-0005-0000-0000-000032050000}"/>
    <cellStyle name="20% - Énfasis2 3 5 3" xfId="2439" xr:uid="{00000000-0005-0000-0000-000033050000}"/>
    <cellStyle name="20% - Énfasis2 3 5 3 2" xfId="6218" xr:uid="{00000000-0005-0000-0000-000034050000}"/>
    <cellStyle name="20% - Énfasis2 3 5 3 3" xfId="9994" xr:uid="{00000000-0005-0000-0000-000035050000}"/>
    <cellStyle name="20% - Énfasis2 3 5 4" xfId="4330" xr:uid="{00000000-0005-0000-0000-000036050000}"/>
    <cellStyle name="20% - Énfasis2 3 5 5" xfId="8106" xr:uid="{00000000-0005-0000-0000-000037050000}"/>
    <cellStyle name="20% - Énfasis2 3 6" xfId="1021" xr:uid="{00000000-0005-0000-0000-000038050000}"/>
    <cellStyle name="20% - Énfasis2 3 6 2" xfId="2911" xr:uid="{00000000-0005-0000-0000-000039050000}"/>
    <cellStyle name="20% - Énfasis2 3 6 2 2" xfId="6690" xr:uid="{00000000-0005-0000-0000-00003A050000}"/>
    <cellStyle name="20% - Énfasis2 3 6 2 3" xfId="10466" xr:uid="{00000000-0005-0000-0000-00003B050000}"/>
    <cellStyle name="20% - Énfasis2 3 6 3" xfId="4802" xr:uid="{00000000-0005-0000-0000-00003C050000}"/>
    <cellStyle name="20% - Énfasis2 3 6 4" xfId="8578" xr:uid="{00000000-0005-0000-0000-00003D050000}"/>
    <cellStyle name="20% - Énfasis2 3 7" xfId="1967" xr:uid="{00000000-0005-0000-0000-00003E050000}"/>
    <cellStyle name="20% - Énfasis2 3 7 2" xfId="5746" xr:uid="{00000000-0005-0000-0000-00003F050000}"/>
    <cellStyle name="20% - Énfasis2 3 7 3" xfId="9522" xr:uid="{00000000-0005-0000-0000-000040050000}"/>
    <cellStyle name="20% - Énfasis2 3 8" xfId="3858" xr:uid="{00000000-0005-0000-0000-000041050000}"/>
    <cellStyle name="20% - Énfasis2 3 9" xfId="7634" xr:uid="{00000000-0005-0000-0000-000042050000}"/>
    <cellStyle name="20% - Énfasis2 4" xfId="94" xr:uid="{00000000-0005-0000-0000-000043050000}"/>
    <cellStyle name="20% - Énfasis2 4 2" xfId="219" xr:uid="{00000000-0005-0000-0000-000044050000}"/>
    <cellStyle name="20% - Énfasis2 4 2 2" xfId="457" xr:uid="{00000000-0005-0000-0000-000045050000}"/>
    <cellStyle name="20% - Énfasis2 4 2 2 2" xfId="931" xr:uid="{00000000-0005-0000-0000-000046050000}"/>
    <cellStyle name="20% - Énfasis2 4 2 2 2 2" xfId="1877" xr:uid="{00000000-0005-0000-0000-000047050000}"/>
    <cellStyle name="20% - Énfasis2 4 2 2 2 2 2" xfId="3767" xr:uid="{00000000-0005-0000-0000-000048050000}"/>
    <cellStyle name="20% - Énfasis2 4 2 2 2 2 2 2" xfId="7546" xr:uid="{00000000-0005-0000-0000-000049050000}"/>
    <cellStyle name="20% - Énfasis2 4 2 2 2 2 2 3" xfId="11322" xr:uid="{00000000-0005-0000-0000-00004A050000}"/>
    <cellStyle name="20% - Énfasis2 4 2 2 2 2 3" xfId="5658" xr:uid="{00000000-0005-0000-0000-00004B050000}"/>
    <cellStyle name="20% - Énfasis2 4 2 2 2 2 4" xfId="9434" xr:uid="{00000000-0005-0000-0000-00004C050000}"/>
    <cellStyle name="20% - Énfasis2 4 2 2 2 3" xfId="2823" xr:uid="{00000000-0005-0000-0000-00004D050000}"/>
    <cellStyle name="20% - Énfasis2 4 2 2 2 3 2" xfId="6602" xr:uid="{00000000-0005-0000-0000-00004E050000}"/>
    <cellStyle name="20% - Énfasis2 4 2 2 2 3 3" xfId="10378" xr:uid="{00000000-0005-0000-0000-00004F050000}"/>
    <cellStyle name="20% - Énfasis2 4 2 2 2 4" xfId="4714" xr:uid="{00000000-0005-0000-0000-000050050000}"/>
    <cellStyle name="20% - Énfasis2 4 2 2 2 5" xfId="8490" xr:uid="{00000000-0005-0000-0000-000051050000}"/>
    <cellStyle name="20% - Énfasis2 4 2 2 3" xfId="1405" xr:uid="{00000000-0005-0000-0000-000052050000}"/>
    <cellStyle name="20% - Énfasis2 4 2 2 3 2" xfId="3295" xr:uid="{00000000-0005-0000-0000-000053050000}"/>
    <cellStyle name="20% - Énfasis2 4 2 2 3 2 2" xfId="7074" xr:uid="{00000000-0005-0000-0000-000054050000}"/>
    <cellStyle name="20% - Énfasis2 4 2 2 3 2 3" xfId="10850" xr:uid="{00000000-0005-0000-0000-000055050000}"/>
    <cellStyle name="20% - Énfasis2 4 2 2 3 3" xfId="5186" xr:uid="{00000000-0005-0000-0000-000056050000}"/>
    <cellStyle name="20% - Énfasis2 4 2 2 3 4" xfId="8962" xr:uid="{00000000-0005-0000-0000-000057050000}"/>
    <cellStyle name="20% - Énfasis2 4 2 2 4" xfId="2351" xr:uid="{00000000-0005-0000-0000-000058050000}"/>
    <cellStyle name="20% - Énfasis2 4 2 2 4 2" xfId="6130" xr:uid="{00000000-0005-0000-0000-000059050000}"/>
    <cellStyle name="20% - Énfasis2 4 2 2 4 3" xfId="9906" xr:uid="{00000000-0005-0000-0000-00005A050000}"/>
    <cellStyle name="20% - Énfasis2 4 2 2 5" xfId="4242" xr:uid="{00000000-0005-0000-0000-00005B050000}"/>
    <cellStyle name="20% - Énfasis2 4 2 2 6" xfId="8018" xr:uid="{00000000-0005-0000-0000-00005C050000}"/>
    <cellStyle name="20% - Énfasis2 4 2 3" xfId="695" xr:uid="{00000000-0005-0000-0000-00005D050000}"/>
    <cellStyle name="20% - Énfasis2 4 2 3 2" xfId="1641" xr:uid="{00000000-0005-0000-0000-00005E050000}"/>
    <cellStyle name="20% - Énfasis2 4 2 3 2 2" xfId="3531" xr:uid="{00000000-0005-0000-0000-00005F050000}"/>
    <cellStyle name="20% - Énfasis2 4 2 3 2 2 2" xfId="7310" xr:uid="{00000000-0005-0000-0000-000060050000}"/>
    <cellStyle name="20% - Énfasis2 4 2 3 2 2 3" xfId="11086" xr:uid="{00000000-0005-0000-0000-000061050000}"/>
    <cellStyle name="20% - Énfasis2 4 2 3 2 3" xfId="5422" xr:uid="{00000000-0005-0000-0000-000062050000}"/>
    <cellStyle name="20% - Énfasis2 4 2 3 2 4" xfId="9198" xr:uid="{00000000-0005-0000-0000-000063050000}"/>
    <cellStyle name="20% - Énfasis2 4 2 3 3" xfId="2587" xr:uid="{00000000-0005-0000-0000-000064050000}"/>
    <cellStyle name="20% - Énfasis2 4 2 3 3 2" xfId="6366" xr:uid="{00000000-0005-0000-0000-000065050000}"/>
    <cellStyle name="20% - Énfasis2 4 2 3 3 3" xfId="10142" xr:uid="{00000000-0005-0000-0000-000066050000}"/>
    <cellStyle name="20% - Énfasis2 4 2 3 4" xfId="4478" xr:uid="{00000000-0005-0000-0000-000067050000}"/>
    <cellStyle name="20% - Énfasis2 4 2 3 5" xfId="8254" xr:uid="{00000000-0005-0000-0000-000068050000}"/>
    <cellStyle name="20% - Énfasis2 4 2 4" xfId="1169" xr:uid="{00000000-0005-0000-0000-000069050000}"/>
    <cellStyle name="20% - Énfasis2 4 2 4 2" xfId="3059" xr:uid="{00000000-0005-0000-0000-00006A050000}"/>
    <cellStyle name="20% - Énfasis2 4 2 4 2 2" xfId="6838" xr:uid="{00000000-0005-0000-0000-00006B050000}"/>
    <cellStyle name="20% - Énfasis2 4 2 4 2 3" xfId="10614" xr:uid="{00000000-0005-0000-0000-00006C050000}"/>
    <cellStyle name="20% - Énfasis2 4 2 4 3" xfId="4950" xr:uid="{00000000-0005-0000-0000-00006D050000}"/>
    <cellStyle name="20% - Énfasis2 4 2 4 4" xfId="8726" xr:uid="{00000000-0005-0000-0000-00006E050000}"/>
    <cellStyle name="20% - Énfasis2 4 2 5" xfId="2115" xr:uid="{00000000-0005-0000-0000-00006F050000}"/>
    <cellStyle name="20% - Énfasis2 4 2 5 2" xfId="5894" xr:uid="{00000000-0005-0000-0000-000070050000}"/>
    <cellStyle name="20% - Énfasis2 4 2 5 3" xfId="9670" xr:uid="{00000000-0005-0000-0000-000071050000}"/>
    <cellStyle name="20% - Énfasis2 4 2 6" xfId="4006" xr:uid="{00000000-0005-0000-0000-000072050000}"/>
    <cellStyle name="20% - Énfasis2 4 2 7" xfId="7782" xr:uid="{00000000-0005-0000-0000-000073050000}"/>
    <cellStyle name="20% - Énfasis2 4 3" xfId="339" xr:uid="{00000000-0005-0000-0000-000074050000}"/>
    <cellStyle name="20% - Énfasis2 4 3 2" xfId="813" xr:uid="{00000000-0005-0000-0000-000075050000}"/>
    <cellStyle name="20% - Énfasis2 4 3 2 2" xfId="1759" xr:uid="{00000000-0005-0000-0000-000076050000}"/>
    <cellStyle name="20% - Énfasis2 4 3 2 2 2" xfId="3649" xr:uid="{00000000-0005-0000-0000-000077050000}"/>
    <cellStyle name="20% - Énfasis2 4 3 2 2 2 2" xfId="7428" xr:uid="{00000000-0005-0000-0000-000078050000}"/>
    <cellStyle name="20% - Énfasis2 4 3 2 2 2 3" xfId="11204" xr:uid="{00000000-0005-0000-0000-000079050000}"/>
    <cellStyle name="20% - Énfasis2 4 3 2 2 3" xfId="5540" xr:uid="{00000000-0005-0000-0000-00007A050000}"/>
    <cellStyle name="20% - Énfasis2 4 3 2 2 4" xfId="9316" xr:uid="{00000000-0005-0000-0000-00007B050000}"/>
    <cellStyle name="20% - Énfasis2 4 3 2 3" xfId="2705" xr:uid="{00000000-0005-0000-0000-00007C050000}"/>
    <cellStyle name="20% - Énfasis2 4 3 2 3 2" xfId="6484" xr:uid="{00000000-0005-0000-0000-00007D050000}"/>
    <cellStyle name="20% - Énfasis2 4 3 2 3 3" xfId="10260" xr:uid="{00000000-0005-0000-0000-00007E050000}"/>
    <cellStyle name="20% - Énfasis2 4 3 2 4" xfId="4596" xr:uid="{00000000-0005-0000-0000-00007F050000}"/>
    <cellStyle name="20% - Énfasis2 4 3 2 5" xfId="8372" xr:uid="{00000000-0005-0000-0000-000080050000}"/>
    <cellStyle name="20% - Énfasis2 4 3 3" xfId="1287" xr:uid="{00000000-0005-0000-0000-000081050000}"/>
    <cellStyle name="20% - Énfasis2 4 3 3 2" xfId="3177" xr:uid="{00000000-0005-0000-0000-000082050000}"/>
    <cellStyle name="20% - Énfasis2 4 3 3 2 2" xfId="6956" xr:uid="{00000000-0005-0000-0000-000083050000}"/>
    <cellStyle name="20% - Énfasis2 4 3 3 2 3" xfId="10732" xr:uid="{00000000-0005-0000-0000-000084050000}"/>
    <cellStyle name="20% - Énfasis2 4 3 3 3" xfId="5068" xr:uid="{00000000-0005-0000-0000-000085050000}"/>
    <cellStyle name="20% - Énfasis2 4 3 3 4" xfId="8844" xr:uid="{00000000-0005-0000-0000-000086050000}"/>
    <cellStyle name="20% - Énfasis2 4 3 4" xfId="2233" xr:uid="{00000000-0005-0000-0000-000087050000}"/>
    <cellStyle name="20% - Énfasis2 4 3 4 2" xfId="6012" xr:uid="{00000000-0005-0000-0000-000088050000}"/>
    <cellStyle name="20% - Énfasis2 4 3 4 3" xfId="9788" xr:uid="{00000000-0005-0000-0000-000089050000}"/>
    <cellStyle name="20% - Énfasis2 4 3 5" xfId="4124" xr:uid="{00000000-0005-0000-0000-00008A050000}"/>
    <cellStyle name="20% - Énfasis2 4 3 6" xfId="7900" xr:uid="{00000000-0005-0000-0000-00008B050000}"/>
    <cellStyle name="20% - Énfasis2 4 4" xfId="577" xr:uid="{00000000-0005-0000-0000-00008C050000}"/>
    <cellStyle name="20% - Énfasis2 4 4 2" xfId="1523" xr:uid="{00000000-0005-0000-0000-00008D050000}"/>
    <cellStyle name="20% - Énfasis2 4 4 2 2" xfId="3413" xr:uid="{00000000-0005-0000-0000-00008E050000}"/>
    <cellStyle name="20% - Énfasis2 4 4 2 2 2" xfId="7192" xr:uid="{00000000-0005-0000-0000-00008F050000}"/>
    <cellStyle name="20% - Énfasis2 4 4 2 2 3" xfId="10968" xr:uid="{00000000-0005-0000-0000-000090050000}"/>
    <cellStyle name="20% - Énfasis2 4 4 2 3" xfId="5304" xr:uid="{00000000-0005-0000-0000-000091050000}"/>
    <cellStyle name="20% - Énfasis2 4 4 2 4" xfId="9080" xr:uid="{00000000-0005-0000-0000-000092050000}"/>
    <cellStyle name="20% - Énfasis2 4 4 3" xfId="2469" xr:uid="{00000000-0005-0000-0000-000093050000}"/>
    <cellStyle name="20% - Énfasis2 4 4 3 2" xfId="6248" xr:uid="{00000000-0005-0000-0000-000094050000}"/>
    <cellStyle name="20% - Énfasis2 4 4 3 3" xfId="10024" xr:uid="{00000000-0005-0000-0000-000095050000}"/>
    <cellStyle name="20% - Énfasis2 4 4 4" xfId="4360" xr:uid="{00000000-0005-0000-0000-000096050000}"/>
    <cellStyle name="20% - Énfasis2 4 4 5" xfId="8136" xr:uid="{00000000-0005-0000-0000-000097050000}"/>
    <cellStyle name="20% - Énfasis2 4 5" xfId="1051" xr:uid="{00000000-0005-0000-0000-000098050000}"/>
    <cellStyle name="20% - Énfasis2 4 5 2" xfId="2941" xr:uid="{00000000-0005-0000-0000-000099050000}"/>
    <cellStyle name="20% - Énfasis2 4 5 2 2" xfId="6720" xr:uid="{00000000-0005-0000-0000-00009A050000}"/>
    <cellStyle name="20% - Énfasis2 4 5 2 3" xfId="10496" xr:uid="{00000000-0005-0000-0000-00009B050000}"/>
    <cellStyle name="20% - Énfasis2 4 5 3" xfId="4832" xr:uid="{00000000-0005-0000-0000-00009C050000}"/>
    <cellStyle name="20% - Énfasis2 4 5 4" xfId="8608" xr:uid="{00000000-0005-0000-0000-00009D050000}"/>
    <cellStyle name="20% - Énfasis2 4 6" xfId="1997" xr:uid="{00000000-0005-0000-0000-00009E050000}"/>
    <cellStyle name="20% - Énfasis2 4 6 2" xfId="5776" xr:uid="{00000000-0005-0000-0000-00009F050000}"/>
    <cellStyle name="20% - Énfasis2 4 6 3" xfId="9552" xr:uid="{00000000-0005-0000-0000-0000A0050000}"/>
    <cellStyle name="20% - Énfasis2 4 7" xfId="3888" xr:uid="{00000000-0005-0000-0000-0000A1050000}"/>
    <cellStyle name="20% - Énfasis2 4 8" xfId="7664" xr:uid="{00000000-0005-0000-0000-0000A2050000}"/>
    <cellStyle name="20% - Énfasis2 5" xfId="158" xr:uid="{00000000-0005-0000-0000-0000A3050000}"/>
    <cellStyle name="20% - Énfasis2 5 2" xfId="398" xr:uid="{00000000-0005-0000-0000-0000A4050000}"/>
    <cellStyle name="20% - Énfasis2 5 2 2" xfId="872" xr:uid="{00000000-0005-0000-0000-0000A5050000}"/>
    <cellStyle name="20% - Énfasis2 5 2 2 2" xfId="1818" xr:uid="{00000000-0005-0000-0000-0000A6050000}"/>
    <cellStyle name="20% - Énfasis2 5 2 2 2 2" xfId="3708" xr:uid="{00000000-0005-0000-0000-0000A7050000}"/>
    <cellStyle name="20% - Énfasis2 5 2 2 2 2 2" xfId="7487" xr:uid="{00000000-0005-0000-0000-0000A8050000}"/>
    <cellStyle name="20% - Énfasis2 5 2 2 2 2 3" xfId="11263" xr:uid="{00000000-0005-0000-0000-0000A9050000}"/>
    <cellStyle name="20% - Énfasis2 5 2 2 2 3" xfId="5599" xr:uid="{00000000-0005-0000-0000-0000AA050000}"/>
    <cellStyle name="20% - Énfasis2 5 2 2 2 4" xfId="9375" xr:uid="{00000000-0005-0000-0000-0000AB050000}"/>
    <cellStyle name="20% - Énfasis2 5 2 2 3" xfId="2764" xr:uid="{00000000-0005-0000-0000-0000AC050000}"/>
    <cellStyle name="20% - Énfasis2 5 2 2 3 2" xfId="6543" xr:uid="{00000000-0005-0000-0000-0000AD050000}"/>
    <cellStyle name="20% - Énfasis2 5 2 2 3 3" xfId="10319" xr:uid="{00000000-0005-0000-0000-0000AE050000}"/>
    <cellStyle name="20% - Énfasis2 5 2 2 4" xfId="4655" xr:uid="{00000000-0005-0000-0000-0000AF050000}"/>
    <cellStyle name="20% - Énfasis2 5 2 2 5" xfId="8431" xr:uid="{00000000-0005-0000-0000-0000B0050000}"/>
    <cellStyle name="20% - Énfasis2 5 2 3" xfId="1346" xr:uid="{00000000-0005-0000-0000-0000B1050000}"/>
    <cellStyle name="20% - Énfasis2 5 2 3 2" xfId="3236" xr:uid="{00000000-0005-0000-0000-0000B2050000}"/>
    <cellStyle name="20% - Énfasis2 5 2 3 2 2" xfId="7015" xr:uid="{00000000-0005-0000-0000-0000B3050000}"/>
    <cellStyle name="20% - Énfasis2 5 2 3 2 3" xfId="10791" xr:uid="{00000000-0005-0000-0000-0000B4050000}"/>
    <cellStyle name="20% - Énfasis2 5 2 3 3" xfId="5127" xr:uid="{00000000-0005-0000-0000-0000B5050000}"/>
    <cellStyle name="20% - Énfasis2 5 2 3 4" xfId="8903" xr:uid="{00000000-0005-0000-0000-0000B6050000}"/>
    <cellStyle name="20% - Énfasis2 5 2 4" xfId="2292" xr:uid="{00000000-0005-0000-0000-0000B7050000}"/>
    <cellStyle name="20% - Énfasis2 5 2 4 2" xfId="6071" xr:uid="{00000000-0005-0000-0000-0000B8050000}"/>
    <cellStyle name="20% - Énfasis2 5 2 4 3" xfId="9847" xr:uid="{00000000-0005-0000-0000-0000B9050000}"/>
    <cellStyle name="20% - Énfasis2 5 2 5" xfId="4183" xr:uid="{00000000-0005-0000-0000-0000BA050000}"/>
    <cellStyle name="20% - Énfasis2 5 2 6" xfId="7959" xr:uid="{00000000-0005-0000-0000-0000BB050000}"/>
    <cellStyle name="20% - Énfasis2 5 3" xfId="636" xr:uid="{00000000-0005-0000-0000-0000BC050000}"/>
    <cellStyle name="20% - Énfasis2 5 3 2" xfId="1582" xr:uid="{00000000-0005-0000-0000-0000BD050000}"/>
    <cellStyle name="20% - Énfasis2 5 3 2 2" xfId="3472" xr:uid="{00000000-0005-0000-0000-0000BE050000}"/>
    <cellStyle name="20% - Énfasis2 5 3 2 2 2" xfId="7251" xr:uid="{00000000-0005-0000-0000-0000BF050000}"/>
    <cellStyle name="20% - Énfasis2 5 3 2 2 3" xfId="11027" xr:uid="{00000000-0005-0000-0000-0000C0050000}"/>
    <cellStyle name="20% - Énfasis2 5 3 2 3" xfId="5363" xr:uid="{00000000-0005-0000-0000-0000C1050000}"/>
    <cellStyle name="20% - Énfasis2 5 3 2 4" xfId="9139" xr:uid="{00000000-0005-0000-0000-0000C2050000}"/>
    <cellStyle name="20% - Énfasis2 5 3 3" xfId="2528" xr:uid="{00000000-0005-0000-0000-0000C3050000}"/>
    <cellStyle name="20% - Énfasis2 5 3 3 2" xfId="6307" xr:uid="{00000000-0005-0000-0000-0000C4050000}"/>
    <cellStyle name="20% - Énfasis2 5 3 3 3" xfId="10083" xr:uid="{00000000-0005-0000-0000-0000C5050000}"/>
    <cellStyle name="20% - Énfasis2 5 3 4" xfId="4419" xr:uid="{00000000-0005-0000-0000-0000C6050000}"/>
    <cellStyle name="20% - Énfasis2 5 3 5" xfId="8195" xr:uid="{00000000-0005-0000-0000-0000C7050000}"/>
    <cellStyle name="20% - Énfasis2 5 4" xfId="1110" xr:uid="{00000000-0005-0000-0000-0000C8050000}"/>
    <cellStyle name="20% - Énfasis2 5 4 2" xfId="3000" xr:uid="{00000000-0005-0000-0000-0000C9050000}"/>
    <cellStyle name="20% - Énfasis2 5 4 2 2" xfId="6779" xr:uid="{00000000-0005-0000-0000-0000CA050000}"/>
    <cellStyle name="20% - Énfasis2 5 4 2 3" xfId="10555" xr:uid="{00000000-0005-0000-0000-0000CB050000}"/>
    <cellStyle name="20% - Énfasis2 5 4 3" xfId="4891" xr:uid="{00000000-0005-0000-0000-0000CC050000}"/>
    <cellStyle name="20% - Énfasis2 5 4 4" xfId="8667" xr:uid="{00000000-0005-0000-0000-0000CD050000}"/>
    <cellStyle name="20% - Énfasis2 5 5" xfId="2056" xr:uid="{00000000-0005-0000-0000-0000CE050000}"/>
    <cellStyle name="20% - Énfasis2 5 5 2" xfId="5835" xr:uid="{00000000-0005-0000-0000-0000CF050000}"/>
    <cellStyle name="20% - Énfasis2 5 5 3" xfId="9611" xr:uid="{00000000-0005-0000-0000-0000D0050000}"/>
    <cellStyle name="20% - Énfasis2 5 6" xfId="3947" xr:uid="{00000000-0005-0000-0000-0000D1050000}"/>
    <cellStyle name="20% - Énfasis2 5 7" xfId="7723" xr:uid="{00000000-0005-0000-0000-0000D2050000}"/>
    <cellStyle name="20% - Énfasis2 6" xfId="278" xr:uid="{00000000-0005-0000-0000-0000D3050000}"/>
    <cellStyle name="20% - Énfasis2 6 2" xfId="754" xr:uid="{00000000-0005-0000-0000-0000D4050000}"/>
    <cellStyle name="20% - Énfasis2 6 2 2" xfId="1700" xr:uid="{00000000-0005-0000-0000-0000D5050000}"/>
    <cellStyle name="20% - Énfasis2 6 2 2 2" xfId="3590" xr:uid="{00000000-0005-0000-0000-0000D6050000}"/>
    <cellStyle name="20% - Énfasis2 6 2 2 2 2" xfId="7369" xr:uid="{00000000-0005-0000-0000-0000D7050000}"/>
    <cellStyle name="20% - Énfasis2 6 2 2 2 3" xfId="11145" xr:uid="{00000000-0005-0000-0000-0000D8050000}"/>
    <cellStyle name="20% - Énfasis2 6 2 2 3" xfId="5481" xr:uid="{00000000-0005-0000-0000-0000D9050000}"/>
    <cellStyle name="20% - Énfasis2 6 2 2 4" xfId="9257" xr:uid="{00000000-0005-0000-0000-0000DA050000}"/>
    <cellStyle name="20% - Énfasis2 6 2 3" xfId="2646" xr:uid="{00000000-0005-0000-0000-0000DB050000}"/>
    <cellStyle name="20% - Énfasis2 6 2 3 2" xfId="6425" xr:uid="{00000000-0005-0000-0000-0000DC050000}"/>
    <cellStyle name="20% - Énfasis2 6 2 3 3" xfId="10201" xr:uid="{00000000-0005-0000-0000-0000DD050000}"/>
    <cellStyle name="20% - Énfasis2 6 2 4" xfId="4537" xr:uid="{00000000-0005-0000-0000-0000DE050000}"/>
    <cellStyle name="20% - Énfasis2 6 2 5" xfId="8313" xr:uid="{00000000-0005-0000-0000-0000DF050000}"/>
    <cellStyle name="20% - Énfasis2 6 3" xfId="1228" xr:uid="{00000000-0005-0000-0000-0000E0050000}"/>
    <cellStyle name="20% - Énfasis2 6 3 2" xfId="3118" xr:uid="{00000000-0005-0000-0000-0000E1050000}"/>
    <cellStyle name="20% - Énfasis2 6 3 2 2" xfId="6897" xr:uid="{00000000-0005-0000-0000-0000E2050000}"/>
    <cellStyle name="20% - Énfasis2 6 3 2 3" xfId="10673" xr:uid="{00000000-0005-0000-0000-0000E3050000}"/>
    <cellStyle name="20% - Énfasis2 6 3 3" xfId="5009" xr:uid="{00000000-0005-0000-0000-0000E4050000}"/>
    <cellStyle name="20% - Énfasis2 6 3 4" xfId="8785" xr:uid="{00000000-0005-0000-0000-0000E5050000}"/>
    <cellStyle name="20% - Énfasis2 6 4" xfId="2174" xr:uid="{00000000-0005-0000-0000-0000E6050000}"/>
    <cellStyle name="20% - Énfasis2 6 4 2" xfId="5953" xr:uid="{00000000-0005-0000-0000-0000E7050000}"/>
    <cellStyle name="20% - Énfasis2 6 4 3" xfId="9729" xr:uid="{00000000-0005-0000-0000-0000E8050000}"/>
    <cellStyle name="20% - Énfasis2 6 5" xfId="4065" xr:uid="{00000000-0005-0000-0000-0000E9050000}"/>
    <cellStyle name="20% - Énfasis2 6 6" xfId="7841" xr:uid="{00000000-0005-0000-0000-0000EA050000}"/>
    <cellStyle name="20% - Énfasis2 7" xfId="516" xr:uid="{00000000-0005-0000-0000-0000EB050000}"/>
    <cellStyle name="20% - Énfasis2 7 2" xfId="1464" xr:uid="{00000000-0005-0000-0000-0000EC050000}"/>
    <cellStyle name="20% - Énfasis2 7 2 2" xfId="3354" xr:uid="{00000000-0005-0000-0000-0000ED050000}"/>
    <cellStyle name="20% - Énfasis2 7 2 2 2" xfId="7133" xr:uid="{00000000-0005-0000-0000-0000EE050000}"/>
    <cellStyle name="20% - Énfasis2 7 2 2 3" xfId="10909" xr:uid="{00000000-0005-0000-0000-0000EF050000}"/>
    <cellStyle name="20% - Énfasis2 7 2 3" xfId="5245" xr:uid="{00000000-0005-0000-0000-0000F0050000}"/>
    <cellStyle name="20% - Énfasis2 7 2 4" xfId="9021" xr:uid="{00000000-0005-0000-0000-0000F1050000}"/>
    <cellStyle name="20% - Énfasis2 7 3" xfId="2410" xr:uid="{00000000-0005-0000-0000-0000F2050000}"/>
    <cellStyle name="20% - Énfasis2 7 3 2" xfId="6189" xr:uid="{00000000-0005-0000-0000-0000F3050000}"/>
    <cellStyle name="20% - Énfasis2 7 3 3" xfId="9965" xr:uid="{00000000-0005-0000-0000-0000F4050000}"/>
    <cellStyle name="20% - Énfasis2 7 4" xfId="4301" xr:uid="{00000000-0005-0000-0000-0000F5050000}"/>
    <cellStyle name="20% - Énfasis2 7 5" xfId="8077" xr:uid="{00000000-0005-0000-0000-0000F6050000}"/>
    <cellStyle name="20% - Énfasis2 8" xfId="990" xr:uid="{00000000-0005-0000-0000-0000F7050000}"/>
    <cellStyle name="20% - Énfasis2 8 2" xfId="2882" xr:uid="{00000000-0005-0000-0000-0000F8050000}"/>
    <cellStyle name="20% - Énfasis2 8 2 2" xfId="6661" xr:uid="{00000000-0005-0000-0000-0000F9050000}"/>
    <cellStyle name="20% - Énfasis2 8 2 3" xfId="10437" xr:uid="{00000000-0005-0000-0000-0000FA050000}"/>
    <cellStyle name="20% - Énfasis2 8 3" xfId="4773" xr:uid="{00000000-0005-0000-0000-0000FB050000}"/>
    <cellStyle name="20% - Énfasis2 8 4" xfId="8549" xr:uid="{00000000-0005-0000-0000-0000FC050000}"/>
    <cellStyle name="20% - Énfasis2 9" xfId="1936" xr:uid="{00000000-0005-0000-0000-0000FD050000}"/>
    <cellStyle name="20% - Énfasis2 9 2" xfId="5717" xr:uid="{00000000-0005-0000-0000-0000FE050000}"/>
    <cellStyle name="20% - Énfasis2 9 3" xfId="9493" xr:uid="{00000000-0005-0000-0000-0000FF050000}"/>
    <cellStyle name="20% - Énfasis3" xfId="27" builtinId="38" customBuiltin="1"/>
    <cellStyle name="20% - Énfasis3 10" xfId="3829" xr:uid="{00000000-0005-0000-0000-000001060000}"/>
    <cellStyle name="20% - Énfasis3 11" xfId="7607" xr:uid="{00000000-0005-0000-0000-000002060000}"/>
    <cellStyle name="20% - Énfasis3 2" xfId="50" xr:uid="{00000000-0005-0000-0000-000003060000}"/>
    <cellStyle name="20% - Énfasis3 2 10" xfId="7623" xr:uid="{00000000-0005-0000-0000-000004060000}"/>
    <cellStyle name="20% - Énfasis3 2 2" xfId="81" xr:uid="{00000000-0005-0000-0000-000005060000}"/>
    <cellStyle name="20% - Énfasis3 2 2 2" xfId="144" xr:uid="{00000000-0005-0000-0000-000006060000}"/>
    <cellStyle name="20% - Énfasis3 2 2 2 2" xfId="266" xr:uid="{00000000-0005-0000-0000-000007060000}"/>
    <cellStyle name="20% - Énfasis3 2 2 2 2 2" xfId="504" xr:uid="{00000000-0005-0000-0000-000008060000}"/>
    <cellStyle name="20% - Énfasis3 2 2 2 2 2 2" xfId="978" xr:uid="{00000000-0005-0000-0000-000009060000}"/>
    <cellStyle name="20% - Énfasis3 2 2 2 2 2 2 2" xfId="1924" xr:uid="{00000000-0005-0000-0000-00000A060000}"/>
    <cellStyle name="20% - Énfasis3 2 2 2 2 2 2 2 2" xfId="3814" xr:uid="{00000000-0005-0000-0000-00000B060000}"/>
    <cellStyle name="20% - Énfasis3 2 2 2 2 2 2 2 2 2" xfId="7593" xr:uid="{00000000-0005-0000-0000-00000C060000}"/>
    <cellStyle name="20% - Énfasis3 2 2 2 2 2 2 2 2 3" xfId="11369" xr:uid="{00000000-0005-0000-0000-00000D060000}"/>
    <cellStyle name="20% - Énfasis3 2 2 2 2 2 2 2 3" xfId="5705" xr:uid="{00000000-0005-0000-0000-00000E060000}"/>
    <cellStyle name="20% - Énfasis3 2 2 2 2 2 2 2 4" xfId="9481" xr:uid="{00000000-0005-0000-0000-00000F060000}"/>
    <cellStyle name="20% - Énfasis3 2 2 2 2 2 2 3" xfId="2870" xr:uid="{00000000-0005-0000-0000-000010060000}"/>
    <cellStyle name="20% - Énfasis3 2 2 2 2 2 2 3 2" xfId="6649" xr:uid="{00000000-0005-0000-0000-000011060000}"/>
    <cellStyle name="20% - Énfasis3 2 2 2 2 2 2 3 3" xfId="10425" xr:uid="{00000000-0005-0000-0000-000012060000}"/>
    <cellStyle name="20% - Énfasis3 2 2 2 2 2 2 4" xfId="4761" xr:uid="{00000000-0005-0000-0000-000013060000}"/>
    <cellStyle name="20% - Énfasis3 2 2 2 2 2 2 5" xfId="8537" xr:uid="{00000000-0005-0000-0000-000014060000}"/>
    <cellStyle name="20% - Énfasis3 2 2 2 2 2 3" xfId="1452" xr:uid="{00000000-0005-0000-0000-000015060000}"/>
    <cellStyle name="20% - Énfasis3 2 2 2 2 2 3 2" xfId="3342" xr:uid="{00000000-0005-0000-0000-000016060000}"/>
    <cellStyle name="20% - Énfasis3 2 2 2 2 2 3 2 2" xfId="7121" xr:uid="{00000000-0005-0000-0000-000017060000}"/>
    <cellStyle name="20% - Énfasis3 2 2 2 2 2 3 2 3" xfId="10897" xr:uid="{00000000-0005-0000-0000-000018060000}"/>
    <cellStyle name="20% - Énfasis3 2 2 2 2 2 3 3" xfId="5233" xr:uid="{00000000-0005-0000-0000-000019060000}"/>
    <cellStyle name="20% - Énfasis3 2 2 2 2 2 3 4" xfId="9009" xr:uid="{00000000-0005-0000-0000-00001A060000}"/>
    <cellStyle name="20% - Énfasis3 2 2 2 2 2 4" xfId="2398" xr:uid="{00000000-0005-0000-0000-00001B060000}"/>
    <cellStyle name="20% - Énfasis3 2 2 2 2 2 4 2" xfId="6177" xr:uid="{00000000-0005-0000-0000-00001C060000}"/>
    <cellStyle name="20% - Énfasis3 2 2 2 2 2 4 3" xfId="9953" xr:uid="{00000000-0005-0000-0000-00001D060000}"/>
    <cellStyle name="20% - Énfasis3 2 2 2 2 2 5" xfId="4289" xr:uid="{00000000-0005-0000-0000-00001E060000}"/>
    <cellStyle name="20% - Énfasis3 2 2 2 2 2 6" xfId="8065" xr:uid="{00000000-0005-0000-0000-00001F060000}"/>
    <cellStyle name="20% - Énfasis3 2 2 2 2 3" xfId="742" xr:uid="{00000000-0005-0000-0000-000020060000}"/>
    <cellStyle name="20% - Énfasis3 2 2 2 2 3 2" xfId="1688" xr:uid="{00000000-0005-0000-0000-000021060000}"/>
    <cellStyle name="20% - Énfasis3 2 2 2 2 3 2 2" xfId="3578" xr:uid="{00000000-0005-0000-0000-000022060000}"/>
    <cellStyle name="20% - Énfasis3 2 2 2 2 3 2 2 2" xfId="7357" xr:uid="{00000000-0005-0000-0000-000023060000}"/>
    <cellStyle name="20% - Énfasis3 2 2 2 2 3 2 2 3" xfId="11133" xr:uid="{00000000-0005-0000-0000-000024060000}"/>
    <cellStyle name="20% - Énfasis3 2 2 2 2 3 2 3" xfId="5469" xr:uid="{00000000-0005-0000-0000-000025060000}"/>
    <cellStyle name="20% - Énfasis3 2 2 2 2 3 2 4" xfId="9245" xr:uid="{00000000-0005-0000-0000-000026060000}"/>
    <cellStyle name="20% - Énfasis3 2 2 2 2 3 3" xfId="2634" xr:uid="{00000000-0005-0000-0000-000027060000}"/>
    <cellStyle name="20% - Énfasis3 2 2 2 2 3 3 2" xfId="6413" xr:uid="{00000000-0005-0000-0000-000028060000}"/>
    <cellStyle name="20% - Énfasis3 2 2 2 2 3 3 3" xfId="10189" xr:uid="{00000000-0005-0000-0000-000029060000}"/>
    <cellStyle name="20% - Énfasis3 2 2 2 2 3 4" xfId="4525" xr:uid="{00000000-0005-0000-0000-00002A060000}"/>
    <cellStyle name="20% - Énfasis3 2 2 2 2 3 5" xfId="8301" xr:uid="{00000000-0005-0000-0000-00002B060000}"/>
    <cellStyle name="20% - Énfasis3 2 2 2 2 4" xfId="1216" xr:uid="{00000000-0005-0000-0000-00002C060000}"/>
    <cellStyle name="20% - Énfasis3 2 2 2 2 4 2" xfId="3106" xr:uid="{00000000-0005-0000-0000-00002D060000}"/>
    <cellStyle name="20% - Énfasis3 2 2 2 2 4 2 2" xfId="6885" xr:uid="{00000000-0005-0000-0000-00002E060000}"/>
    <cellStyle name="20% - Énfasis3 2 2 2 2 4 2 3" xfId="10661" xr:uid="{00000000-0005-0000-0000-00002F060000}"/>
    <cellStyle name="20% - Énfasis3 2 2 2 2 4 3" xfId="4997" xr:uid="{00000000-0005-0000-0000-000030060000}"/>
    <cellStyle name="20% - Énfasis3 2 2 2 2 4 4" xfId="8773" xr:uid="{00000000-0005-0000-0000-000031060000}"/>
    <cellStyle name="20% - Énfasis3 2 2 2 2 5" xfId="2162" xr:uid="{00000000-0005-0000-0000-000032060000}"/>
    <cellStyle name="20% - Énfasis3 2 2 2 2 5 2" xfId="5941" xr:uid="{00000000-0005-0000-0000-000033060000}"/>
    <cellStyle name="20% - Énfasis3 2 2 2 2 5 3" xfId="9717" xr:uid="{00000000-0005-0000-0000-000034060000}"/>
    <cellStyle name="20% - Énfasis3 2 2 2 2 6" xfId="4053" xr:uid="{00000000-0005-0000-0000-000035060000}"/>
    <cellStyle name="20% - Énfasis3 2 2 2 2 7" xfId="7829" xr:uid="{00000000-0005-0000-0000-000036060000}"/>
    <cellStyle name="20% - Énfasis3 2 2 2 3" xfId="386" xr:uid="{00000000-0005-0000-0000-000037060000}"/>
    <cellStyle name="20% - Énfasis3 2 2 2 3 2" xfId="860" xr:uid="{00000000-0005-0000-0000-000038060000}"/>
    <cellStyle name="20% - Énfasis3 2 2 2 3 2 2" xfId="1806" xr:uid="{00000000-0005-0000-0000-000039060000}"/>
    <cellStyle name="20% - Énfasis3 2 2 2 3 2 2 2" xfId="3696" xr:uid="{00000000-0005-0000-0000-00003A060000}"/>
    <cellStyle name="20% - Énfasis3 2 2 2 3 2 2 2 2" xfId="7475" xr:uid="{00000000-0005-0000-0000-00003B060000}"/>
    <cellStyle name="20% - Énfasis3 2 2 2 3 2 2 2 3" xfId="11251" xr:uid="{00000000-0005-0000-0000-00003C060000}"/>
    <cellStyle name="20% - Énfasis3 2 2 2 3 2 2 3" xfId="5587" xr:uid="{00000000-0005-0000-0000-00003D060000}"/>
    <cellStyle name="20% - Énfasis3 2 2 2 3 2 2 4" xfId="9363" xr:uid="{00000000-0005-0000-0000-00003E060000}"/>
    <cellStyle name="20% - Énfasis3 2 2 2 3 2 3" xfId="2752" xr:uid="{00000000-0005-0000-0000-00003F060000}"/>
    <cellStyle name="20% - Énfasis3 2 2 2 3 2 3 2" xfId="6531" xr:uid="{00000000-0005-0000-0000-000040060000}"/>
    <cellStyle name="20% - Énfasis3 2 2 2 3 2 3 3" xfId="10307" xr:uid="{00000000-0005-0000-0000-000041060000}"/>
    <cellStyle name="20% - Énfasis3 2 2 2 3 2 4" xfId="4643" xr:uid="{00000000-0005-0000-0000-000042060000}"/>
    <cellStyle name="20% - Énfasis3 2 2 2 3 2 5" xfId="8419" xr:uid="{00000000-0005-0000-0000-000043060000}"/>
    <cellStyle name="20% - Énfasis3 2 2 2 3 3" xfId="1334" xr:uid="{00000000-0005-0000-0000-000044060000}"/>
    <cellStyle name="20% - Énfasis3 2 2 2 3 3 2" xfId="3224" xr:uid="{00000000-0005-0000-0000-000045060000}"/>
    <cellStyle name="20% - Énfasis3 2 2 2 3 3 2 2" xfId="7003" xr:uid="{00000000-0005-0000-0000-000046060000}"/>
    <cellStyle name="20% - Énfasis3 2 2 2 3 3 2 3" xfId="10779" xr:uid="{00000000-0005-0000-0000-000047060000}"/>
    <cellStyle name="20% - Énfasis3 2 2 2 3 3 3" xfId="5115" xr:uid="{00000000-0005-0000-0000-000048060000}"/>
    <cellStyle name="20% - Énfasis3 2 2 2 3 3 4" xfId="8891" xr:uid="{00000000-0005-0000-0000-000049060000}"/>
    <cellStyle name="20% - Énfasis3 2 2 2 3 4" xfId="2280" xr:uid="{00000000-0005-0000-0000-00004A060000}"/>
    <cellStyle name="20% - Énfasis3 2 2 2 3 4 2" xfId="6059" xr:uid="{00000000-0005-0000-0000-00004B060000}"/>
    <cellStyle name="20% - Énfasis3 2 2 2 3 4 3" xfId="9835" xr:uid="{00000000-0005-0000-0000-00004C060000}"/>
    <cellStyle name="20% - Énfasis3 2 2 2 3 5" xfId="4171" xr:uid="{00000000-0005-0000-0000-00004D060000}"/>
    <cellStyle name="20% - Énfasis3 2 2 2 3 6" xfId="7947" xr:uid="{00000000-0005-0000-0000-00004E060000}"/>
    <cellStyle name="20% - Énfasis3 2 2 2 4" xfId="624" xr:uid="{00000000-0005-0000-0000-00004F060000}"/>
    <cellStyle name="20% - Énfasis3 2 2 2 4 2" xfId="1570" xr:uid="{00000000-0005-0000-0000-000050060000}"/>
    <cellStyle name="20% - Énfasis3 2 2 2 4 2 2" xfId="3460" xr:uid="{00000000-0005-0000-0000-000051060000}"/>
    <cellStyle name="20% - Énfasis3 2 2 2 4 2 2 2" xfId="7239" xr:uid="{00000000-0005-0000-0000-000052060000}"/>
    <cellStyle name="20% - Énfasis3 2 2 2 4 2 2 3" xfId="11015" xr:uid="{00000000-0005-0000-0000-000053060000}"/>
    <cellStyle name="20% - Énfasis3 2 2 2 4 2 3" xfId="5351" xr:uid="{00000000-0005-0000-0000-000054060000}"/>
    <cellStyle name="20% - Énfasis3 2 2 2 4 2 4" xfId="9127" xr:uid="{00000000-0005-0000-0000-000055060000}"/>
    <cellStyle name="20% - Énfasis3 2 2 2 4 3" xfId="2516" xr:uid="{00000000-0005-0000-0000-000056060000}"/>
    <cellStyle name="20% - Énfasis3 2 2 2 4 3 2" xfId="6295" xr:uid="{00000000-0005-0000-0000-000057060000}"/>
    <cellStyle name="20% - Énfasis3 2 2 2 4 3 3" xfId="10071" xr:uid="{00000000-0005-0000-0000-000058060000}"/>
    <cellStyle name="20% - Énfasis3 2 2 2 4 4" xfId="4407" xr:uid="{00000000-0005-0000-0000-000059060000}"/>
    <cellStyle name="20% - Énfasis3 2 2 2 4 5" xfId="8183" xr:uid="{00000000-0005-0000-0000-00005A060000}"/>
    <cellStyle name="20% - Énfasis3 2 2 2 5" xfId="1098" xr:uid="{00000000-0005-0000-0000-00005B060000}"/>
    <cellStyle name="20% - Énfasis3 2 2 2 5 2" xfId="2988" xr:uid="{00000000-0005-0000-0000-00005C060000}"/>
    <cellStyle name="20% - Énfasis3 2 2 2 5 2 2" xfId="6767" xr:uid="{00000000-0005-0000-0000-00005D060000}"/>
    <cellStyle name="20% - Énfasis3 2 2 2 5 2 3" xfId="10543" xr:uid="{00000000-0005-0000-0000-00005E060000}"/>
    <cellStyle name="20% - Énfasis3 2 2 2 5 3" xfId="4879" xr:uid="{00000000-0005-0000-0000-00005F060000}"/>
    <cellStyle name="20% - Énfasis3 2 2 2 5 4" xfId="8655" xr:uid="{00000000-0005-0000-0000-000060060000}"/>
    <cellStyle name="20% - Énfasis3 2 2 2 6" xfId="2044" xr:uid="{00000000-0005-0000-0000-000061060000}"/>
    <cellStyle name="20% - Énfasis3 2 2 2 6 2" xfId="5823" xr:uid="{00000000-0005-0000-0000-000062060000}"/>
    <cellStyle name="20% - Énfasis3 2 2 2 6 3" xfId="9599" xr:uid="{00000000-0005-0000-0000-000063060000}"/>
    <cellStyle name="20% - Énfasis3 2 2 2 7" xfId="3935" xr:uid="{00000000-0005-0000-0000-000064060000}"/>
    <cellStyle name="20% - Énfasis3 2 2 2 8" xfId="7711" xr:uid="{00000000-0005-0000-0000-000065060000}"/>
    <cellStyle name="20% - Énfasis3 2 2 3" xfId="207" xr:uid="{00000000-0005-0000-0000-000066060000}"/>
    <cellStyle name="20% - Énfasis3 2 2 3 2" xfId="445" xr:uid="{00000000-0005-0000-0000-000067060000}"/>
    <cellStyle name="20% - Énfasis3 2 2 3 2 2" xfId="919" xr:uid="{00000000-0005-0000-0000-000068060000}"/>
    <cellStyle name="20% - Énfasis3 2 2 3 2 2 2" xfId="1865" xr:uid="{00000000-0005-0000-0000-000069060000}"/>
    <cellStyle name="20% - Énfasis3 2 2 3 2 2 2 2" xfId="3755" xr:uid="{00000000-0005-0000-0000-00006A060000}"/>
    <cellStyle name="20% - Énfasis3 2 2 3 2 2 2 2 2" xfId="7534" xr:uid="{00000000-0005-0000-0000-00006B060000}"/>
    <cellStyle name="20% - Énfasis3 2 2 3 2 2 2 2 3" xfId="11310" xr:uid="{00000000-0005-0000-0000-00006C060000}"/>
    <cellStyle name="20% - Énfasis3 2 2 3 2 2 2 3" xfId="5646" xr:uid="{00000000-0005-0000-0000-00006D060000}"/>
    <cellStyle name="20% - Énfasis3 2 2 3 2 2 2 4" xfId="9422" xr:uid="{00000000-0005-0000-0000-00006E060000}"/>
    <cellStyle name="20% - Énfasis3 2 2 3 2 2 3" xfId="2811" xr:uid="{00000000-0005-0000-0000-00006F060000}"/>
    <cellStyle name="20% - Énfasis3 2 2 3 2 2 3 2" xfId="6590" xr:uid="{00000000-0005-0000-0000-000070060000}"/>
    <cellStyle name="20% - Énfasis3 2 2 3 2 2 3 3" xfId="10366" xr:uid="{00000000-0005-0000-0000-000071060000}"/>
    <cellStyle name="20% - Énfasis3 2 2 3 2 2 4" xfId="4702" xr:uid="{00000000-0005-0000-0000-000072060000}"/>
    <cellStyle name="20% - Énfasis3 2 2 3 2 2 5" xfId="8478" xr:uid="{00000000-0005-0000-0000-000073060000}"/>
    <cellStyle name="20% - Énfasis3 2 2 3 2 3" xfId="1393" xr:uid="{00000000-0005-0000-0000-000074060000}"/>
    <cellStyle name="20% - Énfasis3 2 2 3 2 3 2" xfId="3283" xr:uid="{00000000-0005-0000-0000-000075060000}"/>
    <cellStyle name="20% - Énfasis3 2 2 3 2 3 2 2" xfId="7062" xr:uid="{00000000-0005-0000-0000-000076060000}"/>
    <cellStyle name="20% - Énfasis3 2 2 3 2 3 2 3" xfId="10838" xr:uid="{00000000-0005-0000-0000-000077060000}"/>
    <cellStyle name="20% - Énfasis3 2 2 3 2 3 3" xfId="5174" xr:uid="{00000000-0005-0000-0000-000078060000}"/>
    <cellStyle name="20% - Énfasis3 2 2 3 2 3 4" xfId="8950" xr:uid="{00000000-0005-0000-0000-000079060000}"/>
    <cellStyle name="20% - Énfasis3 2 2 3 2 4" xfId="2339" xr:uid="{00000000-0005-0000-0000-00007A060000}"/>
    <cellStyle name="20% - Énfasis3 2 2 3 2 4 2" xfId="6118" xr:uid="{00000000-0005-0000-0000-00007B060000}"/>
    <cellStyle name="20% - Énfasis3 2 2 3 2 4 3" xfId="9894" xr:uid="{00000000-0005-0000-0000-00007C060000}"/>
    <cellStyle name="20% - Énfasis3 2 2 3 2 5" xfId="4230" xr:uid="{00000000-0005-0000-0000-00007D060000}"/>
    <cellStyle name="20% - Énfasis3 2 2 3 2 6" xfId="8006" xr:uid="{00000000-0005-0000-0000-00007E060000}"/>
    <cellStyle name="20% - Énfasis3 2 2 3 3" xfId="683" xr:uid="{00000000-0005-0000-0000-00007F060000}"/>
    <cellStyle name="20% - Énfasis3 2 2 3 3 2" xfId="1629" xr:uid="{00000000-0005-0000-0000-000080060000}"/>
    <cellStyle name="20% - Énfasis3 2 2 3 3 2 2" xfId="3519" xr:uid="{00000000-0005-0000-0000-000081060000}"/>
    <cellStyle name="20% - Énfasis3 2 2 3 3 2 2 2" xfId="7298" xr:uid="{00000000-0005-0000-0000-000082060000}"/>
    <cellStyle name="20% - Énfasis3 2 2 3 3 2 2 3" xfId="11074" xr:uid="{00000000-0005-0000-0000-000083060000}"/>
    <cellStyle name="20% - Énfasis3 2 2 3 3 2 3" xfId="5410" xr:uid="{00000000-0005-0000-0000-000084060000}"/>
    <cellStyle name="20% - Énfasis3 2 2 3 3 2 4" xfId="9186" xr:uid="{00000000-0005-0000-0000-000085060000}"/>
    <cellStyle name="20% - Énfasis3 2 2 3 3 3" xfId="2575" xr:uid="{00000000-0005-0000-0000-000086060000}"/>
    <cellStyle name="20% - Énfasis3 2 2 3 3 3 2" xfId="6354" xr:uid="{00000000-0005-0000-0000-000087060000}"/>
    <cellStyle name="20% - Énfasis3 2 2 3 3 3 3" xfId="10130" xr:uid="{00000000-0005-0000-0000-000088060000}"/>
    <cellStyle name="20% - Énfasis3 2 2 3 3 4" xfId="4466" xr:uid="{00000000-0005-0000-0000-000089060000}"/>
    <cellStyle name="20% - Énfasis3 2 2 3 3 5" xfId="8242" xr:uid="{00000000-0005-0000-0000-00008A060000}"/>
    <cellStyle name="20% - Énfasis3 2 2 3 4" xfId="1157" xr:uid="{00000000-0005-0000-0000-00008B060000}"/>
    <cellStyle name="20% - Énfasis3 2 2 3 4 2" xfId="3047" xr:uid="{00000000-0005-0000-0000-00008C060000}"/>
    <cellStyle name="20% - Énfasis3 2 2 3 4 2 2" xfId="6826" xr:uid="{00000000-0005-0000-0000-00008D060000}"/>
    <cellStyle name="20% - Énfasis3 2 2 3 4 2 3" xfId="10602" xr:uid="{00000000-0005-0000-0000-00008E060000}"/>
    <cellStyle name="20% - Énfasis3 2 2 3 4 3" xfId="4938" xr:uid="{00000000-0005-0000-0000-00008F060000}"/>
    <cellStyle name="20% - Énfasis3 2 2 3 4 4" xfId="8714" xr:uid="{00000000-0005-0000-0000-000090060000}"/>
    <cellStyle name="20% - Énfasis3 2 2 3 5" xfId="2103" xr:uid="{00000000-0005-0000-0000-000091060000}"/>
    <cellStyle name="20% - Énfasis3 2 2 3 5 2" xfId="5882" xr:uid="{00000000-0005-0000-0000-000092060000}"/>
    <cellStyle name="20% - Énfasis3 2 2 3 5 3" xfId="9658" xr:uid="{00000000-0005-0000-0000-000093060000}"/>
    <cellStyle name="20% - Énfasis3 2 2 3 6" xfId="3994" xr:uid="{00000000-0005-0000-0000-000094060000}"/>
    <cellStyle name="20% - Énfasis3 2 2 3 7" xfId="7770" xr:uid="{00000000-0005-0000-0000-000095060000}"/>
    <cellStyle name="20% - Énfasis3 2 2 4" xfId="327" xr:uid="{00000000-0005-0000-0000-000096060000}"/>
    <cellStyle name="20% - Énfasis3 2 2 4 2" xfId="801" xr:uid="{00000000-0005-0000-0000-000097060000}"/>
    <cellStyle name="20% - Énfasis3 2 2 4 2 2" xfId="1747" xr:uid="{00000000-0005-0000-0000-000098060000}"/>
    <cellStyle name="20% - Énfasis3 2 2 4 2 2 2" xfId="3637" xr:uid="{00000000-0005-0000-0000-000099060000}"/>
    <cellStyle name="20% - Énfasis3 2 2 4 2 2 2 2" xfId="7416" xr:uid="{00000000-0005-0000-0000-00009A060000}"/>
    <cellStyle name="20% - Énfasis3 2 2 4 2 2 2 3" xfId="11192" xr:uid="{00000000-0005-0000-0000-00009B060000}"/>
    <cellStyle name="20% - Énfasis3 2 2 4 2 2 3" xfId="5528" xr:uid="{00000000-0005-0000-0000-00009C060000}"/>
    <cellStyle name="20% - Énfasis3 2 2 4 2 2 4" xfId="9304" xr:uid="{00000000-0005-0000-0000-00009D060000}"/>
    <cellStyle name="20% - Énfasis3 2 2 4 2 3" xfId="2693" xr:uid="{00000000-0005-0000-0000-00009E060000}"/>
    <cellStyle name="20% - Énfasis3 2 2 4 2 3 2" xfId="6472" xr:uid="{00000000-0005-0000-0000-00009F060000}"/>
    <cellStyle name="20% - Énfasis3 2 2 4 2 3 3" xfId="10248" xr:uid="{00000000-0005-0000-0000-0000A0060000}"/>
    <cellStyle name="20% - Énfasis3 2 2 4 2 4" xfId="4584" xr:uid="{00000000-0005-0000-0000-0000A1060000}"/>
    <cellStyle name="20% - Énfasis3 2 2 4 2 5" xfId="8360" xr:uid="{00000000-0005-0000-0000-0000A2060000}"/>
    <cellStyle name="20% - Énfasis3 2 2 4 3" xfId="1275" xr:uid="{00000000-0005-0000-0000-0000A3060000}"/>
    <cellStyle name="20% - Énfasis3 2 2 4 3 2" xfId="3165" xr:uid="{00000000-0005-0000-0000-0000A4060000}"/>
    <cellStyle name="20% - Énfasis3 2 2 4 3 2 2" xfId="6944" xr:uid="{00000000-0005-0000-0000-0000A5060000}"/>
    <cellStyle name="20% - Énfasis3 2 2 4 3 2 3" xfId="10720" xr:uid="{00000000-0005-0000-0000-0000A6060000}"/>
    <cellStyle name="20% - Énfasis3 2 2 4 3 3" xfId="5056" xr:uid="{00000000-0005-0000-0000-0000A7060000}"/>
    <cellStyle name="20% - Énfasis3 2 2 4 3 4" xfId="8832" xr:uid="{00000000-0005-0000-0000-0000A8060000}"/>
    <cellStyle name="20% - Énfasis3 2 2 4 4" xfId="2221" xr:uid="{00000000-0005-0000-0000-0000A9060000}"/>
    <cellStyle name="20% - Énfasis3 2 2 4 4 2" xfId="6000" xr:uid="{00000000-0005-0000-0000-0000AA060000}"/>
    <cellStyle name="20% - Énfasis3 2 2 4 4 3" xfId="9776" xr:uid="{00000000-0005-0000-0000-0000AB060000}"/>
    <cellStyle name="20% - Énfasis3 2 2 4 5" xfId="4112" xr:uid="{00000000-0005-0000-0000-0000AC060000}"/>
    <cellStyle name="20% - Énfasis3 2 2 4 6" xfId="7888" xr:uid="{00000000-0005-0000-0000-0000AD060000}"/>
    <cellStyle name="20% - Énfasis3 2 2 5" xfId="565" xr:uid="{00000000-0005-0000-0000-0000AE060000}"/>
    <cellStyle name="20% - Énfasis3 2 2 5 2" xfId="1511" xr:uid="{00000000-0005-0000-0000-0000AF060000}"/>
    <cellStyle name="20% - Énfasis3 2 2 5 2 2" xfId="3401" xr:uid="{00000000-0005-0000-0000-0000B0060000}"/>
    <cellStyle name="20% - Énfasis3 2 2 5 2 2 2" xfId="7180" xr:uid="{00000000-0005-0000-0000-0000B1060000}"/>
    <cellStyle name="20% - Énfasis3 2 2 5 2 2 3" xfId="10956" xr:uid="{00000000-0005-0000-0000-0000B2060000}"/>
    <cellStyle name="20% - Énfasis3 2 2 5 2 3" xfId="5292" xr:uid="{00000000-0005-0000-0000-0000B3060000}"/>
    <cellStyle name="20% - Énfasis3 2 2 5 2 4" xfId="9068" xr:uid="{00000000-0005-0000-0000-0000B4060000}"/>
    <cellStyle name="20% - Énfasis3 2 2 5 3" xfId="2457" xr:uid="{00000000-0005-0000-0000-0000B5060000}"/>
    <cellStyle name="20% - Énfasis3 2 2 5 3 2" xfId="6236" xr:uid="{00000000-0005-0000-0000-0000B6060000}"/>
    <cellStyle name="20% - Énfasis3 2 2 5 3 3" xfId="10012" xr:uid="{00000000-0005-0000-0000-0000B7060000}"/>
    <cellStyle name="20% - Énfasis3 2 2 5 4" xfId="4348" xr:uid="{00000000-0005-0000-0000-0000B8060000}"/>
    <cellStyle name="20% - Énfasis3 2 2 5 5" xfId="8124" xr:uid="{00000000-0005-0000-0000-0000B9060000}"/>
    <cellStyle name="20% - Énfasis3 2 2 6" xfId="1039" xr:uid="{00000000-0005-0000-0000-0000BA060000}"/>
    <cellStyle name="20% - Énfasis3 2 2 6 2" xfId="2929" xr:uid="{00000000-0005-0000-0000-0000BB060000}"/>
    <cellStyle name="20% - Énfasis3 2 2 6 2 2" xfId="6708" xr:uid="{00000000-0005-0000-0000-0000BC060000}"/>
    <cellStyle name="20% - Énfasis3 2 2 6 2 3" xfId="10484" xr:uid="{00000000-0005-0000-0000-0000BD060000}"/>
    <cellStyle name="20% - Énfasis3 2 2 6 3" xfId="4820" xr:uid="{00000000-0005-0000-0000-0000BE060000}"/>
    <cellStyle name="20% - Énfasis3 2 2 6 4" xfId="8596" xr:uid="{00000000-0005-0000-0000-0000BF060000}"/>
    <cellStyle name="20% - Énfasis3 2 2 7" xfId="1985" xr:uid="{00000000-0005-0000-0000-0000C0060000}"/>
    <cellStyle name="20% - Énfasis3 2 2 7 2" xfId="5764" xr:uid="{00000000-0005-0000-0000-0000C1060000}"/>
    <cellStyle name="20% - Énfasis3 2 2 7 3" xfId="9540" xr:uid="{00000000-0005-0000-0000-0000C2060000}"/>
    <cellStyle name="20% - Énfasis3 2 2 8" xfId="3876" xr:uid="{00000000-0005-0000-0000-0000C3060000}"/>
    <cellStyle name="20% - Énfasis3 2 2 9" xfId="7652" xr:uid="{00000000-0005-0000-0000-0000C4060000}"/>
    <cellStyle name="20% - Énfasis3 2 3" xfId="114" xr:uid="{00000000-0005-0000-0000-0000C5060000}"/>
    <cellStyle name="20% - Énfasis3 2 3 2" xfId="237" xr:uid="{00000000-0005-0000-0000-0000C6060000}"/>
    <cellStyle name="20% - Énfasis3 2 3 2 2" xfId="475" xr:uid="{00000000-0005-0000-0000-0000C7060000}"/>
    <cellStyle name="20% - Énfasis3 2 3 2 2 2" xfId="949" xr:uid="{00000000-0005-0000-0000-0000C8060000}"/>
    <cellStyle name="20% - Énfasis3 2 3 2 2 2 2" xfId="1895" xr:uid="{00000000-0005-0000-0000-0000C9060000}"/>
    <cellStyle name="20% - Énfasis3 2 3 2 2 2 2 2" xfId="3785" xr:uid="{00000000-0005-0000-0000-0000CA060000}"/>
    <cellStyle name="20% - Énfasis3 2 3 2 2 2 2 2 2" xfId="7564" xr:uid="{00000000-0005-0000-0000-0000CB060000}"/>
    <cellStyle name="20% - Énfasis3 2 3 2 2 2 2 2 3" xfId="11340" xr:uid="{00000000-0005-0000-0000-0000CC060000}"/>
    <cellStyle name="20% - Énfasis3 2 3 2 2 2 2 3" xfId="5676" xr:uid="{00000000-0005-0000-0000-0000CD060000}"/>
    <cellStyle name="20% - Énfasis3 2 3 2 2 2 2 4" xfId="9452" xr:uid="{00000000-0005-0000-0000-0000CE060000}"/>
    <cellStyle name="20% - Énfasis3 2 3 2 2 2 3" xfId="2841" xr:uid="{00000000-0005-0000-0000-0000CF060000}"/>
    <cellStyle name="20% - Énfasis3 2 3 2 2 2 3 2" xfId="6620" xr:uid="{00000000-0005-0000-0000-0000D0060000}"/>
    <cellStyle name="20% - Énfasis3 2 3 2 2 2 3 3" xfId="10396" xr:uid="{00000000-0005-0000-0000-0000D1060000}"/>
    <cellStyle name="20% - Énfasis3 2 3 2 2 2 4" xfId="4732" xr:uid="{00000000-0005-0000-0000-0000D2060000}"/>
    <cellStyle name="20% - Énfasis3 2 3 2 2 2 5" xfId="8508" xr:uid="{00000000-0005-0000-0000-0000D3060000}"/>
    <cellStyle name="20% - Énfasis3 2 3 2 2 3" xfId="1423" xr:uid="{00000000-0005-0000-0000-0000D4060000}"/>
    <cellStyle name="20% - Énfasis3 2 3 2 2 3 2" xfId="3313" xr:uid="{00000000-0005-0000-0000-0000D5060000}"/>
    <cellStyle name="20% - Énfasis3 2 3 2 2 3 2 2" xfId="7092" xr:uid="{00000000-0005-0000-0000-0000D6060000}"/>
    <cellStyle name="20% - Énfasis3 2 3 2 2 3 2 3" xfId="10868" xr:uid="{00000000-0005-0000-0000-0000D7060000}"/>
    <cellStyle name="20% - Énfasis3 2 3 2 2 3 3" xfId="5204" xr:uid="{00000000-0005-0000-0000-0000D8060000}"/>
    <cellStyle name="20% - Énfasis3 2 3 2 2 3 4" xfId="8980" xr:uid="{00000000-0005-0000-0000-0000D9060000}"/>
    <cellStyle name="20% - Énfasis3 2 3 2 2 4" xfId="2369" xr:uid="{00000000-0005-0000-0000-0000DA060000}"/>
    <cellStyle name="20% - Énfasis3 2 3 2 2 4 2" xfId="6148" xr:uid="{00000000-0005-0000-0000-0000DB060000}"/>
    <cellStyle name="20% - Énfasis3 2 3 2 2 4 3" xfId="9924" xr:uid="{00000000-0005-0000-0000-0000DC060000}"/>
    <cellStyle name="20% - Énfasis3 2 3 2 2 5" xfId="4260" xr:uid="{00000000-0005-0000-0000-0000DD060000}"/>
    <cellStyle name="20% - Énfasis3 2 3 2 2 6" xfId="8036" xr:uid="{00000000-0005-0000-0000-0000DE060000}"/>
    <cellStyle name="20% - Énfasis3 2 3 2 3" xfId="713" xr:uid="{00000000-0005-0000-0000-0000DF060000}"/>
    <cellStyle name="20% - Énfasis3 2 3 2 3 2" xfId="1659" xr:uid="{00000000-0005-0000-0000-0000E0060000}"/>
    <cellStyle name="20% - Énfasis3 2 3 2 3 2 2" xfId="3549" xr:uid="{00000000-0005-0000-0000-0000E1060000}"/>
    <cellStyle name="20% - Énfasis3 2 3 2 3 2 2 2" xfId="7328" xr:uid="{00000000-0005-0000-0000-0000E2060000}"/>
    <cellStyle name="20% - Énfasis3 2 3 2 3 2 2 3" xfId="11104" xr:uid="{00000000-0005-0000-0000-0000E3060000}"/>
    <cellStyle name="20% - Énfasis3 2 3 2 3 2 3" xfId="5440" xr:uid="{00000000-0005-0000-0000-0000E4060000}"/>
    <cellStyle name="20% - Énfasis3 2 3 2 3 2 4" xfId="9216" xr:uid="{00000000-0005-0000-0000-0000E5060000}"/>
    <cellStyle name="20% - Énfasis3 2 3 2 3 3" xfId="2605" xr:uid="{00000000-0005-0000-0000-0000E6060000}"/>
    <cellStyle name="20% - Énfasis3 2 3 2 3 3 2" xfId="6384" xr:uid="{00000000-0005-0000-0000-0000E7060000}"/>
    <cellStyle name="20% - Énfasis3 2 3 2 3 3 3" xfId="10160" xr:uid="{00000000-0005-0000-0000-0000E8060000}"/>
    <cellStyle name="20% - Énfasis3 2 3 2 3 4" xfId="4496" xr:uid="{00000000-0005-0000-0000-0000E9060000}"/>
    <cellStyle name="20% - Énfasis3 2 3 2 3 5" xfId="8272" xr:uid="{00000000-0005-0000-0000-0000EA060000}"/>
    <cellStyle name="20% - Énfasis3 2 3 2 4" xfId="1187" xr:uid="{00000000-0005-0000-0000-0000EB060000}"/>
    <cellStyle name="20% - Énfasis3 2 3 2 4 2" xfId="3077" xr:uid="{00000000-0005-0000-0000-0000EC060000}"/>
    <cellStyle name="20% - Énfasis3 2 3 2 4 2 2" xfId="6856" xr:uid="{00000000-0005-0000-0000-0000ED060000}"/>
    <cellStyle name="20% - Énfasis3 2 3 2 4 2 3" xfId="10632" xr:uid="{00000000-0005-0000-0000-0000EE060000}"/>
    <cellStyle name="20% - Énfasis3 2 3 2 4 3" xfId="4968" xr:uid="{00000000-0005-0000-0000-0000EF060000}"/>
    <cellStyle name="20% - Énfasis3 2 3 2 4 4" xfId="8744" xr:uid="{00000000-0005-0000-0000-0000F0060000}"/>
    <cellStyle name="20% - Énfasis3 2 3 2 5" xfId="2133" xr:uid="{00000000-0005-0000-0000-0000F1060000}"/>
    <cellStyle name="20% - Énfasis3 2 3 2 5 2" xfId="5912" xr:uid="{00000000-0005-0000-0000-0000F2060000}"/>
    <cellStyle name="20% - Énfasis3 2 3 2 5 3" xfId="9688" xr:uid="{00000000-0005-0000-0000-0000F3060000}"/>
    <cellStyle name="20% - Énfasis3 2 3 2 6" xfId="4024" xr:uid="{00000000-0005-0000-0000-0000F4060000}"/>
    <cellStyle name="20% - Énfasis3 2 3 2 7" xfId="7800" xr:uid="{00000000-0005-0000-0000-0000F5060000}"/>
    <cellStyle name="20% - Énfasis3 2 3 3" xfId="357" xr:uid="{00000000-0005-0000-0000-0000F6060000}"/>
    <cellStyle name="20% - Énfasis3 2 3 3 2" xfId="831" xr:uid="{00000000-0005-0000-0000-0000F7060000}"/>
    <cellStyle name="20% - Énfasis3 2 3 3 2 2" xfId="1777" xr:uid="{00000000-0005-0000-0000-0000F8060000}"/>
    <cellStyle name="20% - Énfasis3 2 3 3 2 2 2" xfId="3667" xr:uid="{00000000-0005-0000-0000-0000F9060000}"/>
    <cellStyle name="20% - Énfasis3 2 3 3 2 2 2 2" xfId="7446" xr:uid="{00000000-0005-0000-0000-0000FA060000}"/>
    <cellStyle name="20% - Énfasis3 2 3 3 2 2 2 3" xfId="11222" xr:uid="{00000000-0005-0000-0000-0000FB060000}"/>
    <cellStyle name="20% - Énfasis3 2 3 3 2 2 3" xfId="5558" xr:uid="{00000000-0005-0000-0000-0000FC060000}"/>
    <cellStyle name="20% - Énfasis3 2 3 3 2 2 4" xfId="9334" xr:uid="{00000000-0005-0000-0000-0000FD060000}"/>
    <cellStyle name="20% - Énfasis3 2 3 3 2 3" xfId="2723" xr:uid="{00000000-0005-0000-0000-0000FE060000}"/>
    <cellStyle name="20% - Énfasis3 2 3 3 2 3 2" xfId="6502" xr:uid="{00000000-0005-0000-0000-0000FF060000}"/>
    <cellStyle name="20% - Énfasis3 2 3 3 2 3 3" xfId="10278" xr:uid="{00000000-0005-0000-0000-000000070000}"/>
    <cellStyle name="20% - Énfasis3 2 3 3 2 4" xfId="4614" xr:uid="{00000000-0005-0000-0000-000001070000}"/>
    <cellStyle name="20% - Énfasis3 2 3 3 2 5" xfId="8390" xr:uid="{00000000-0005-0000-0000-000002070000}"/>
    <cellStyle name="20% - Énfasis3 2 3 3 3" xfId="1305" xr:uid="{00000000-0005-0000-0000-000003070000}"/>
    <cellStyle name="20% - Énfasis3 2 3 3 3 2" xfId="3195" xr:uid="{00000000-0005-0000-0000-000004070000}"/>
    <cellStyle name="20% - Énfasis3 2 3 3 3 2 2" xfId="6974" xr:uid="{00000000-0005-0000-0000-000005070000}"/>
    <cellStyle name="20% - Énfasis3 2 3 3 3 2 3" xfId="10750" xr:uid="{00000000-0005-0000-0000-000006070000}"/>
    <cellStyle name="20% - Énfasis3 2 3 3 3 3" xfId="5086" xr:uid="{00000000-0005-0000-0000-000007070000}"/>
    <cellStyle name="20% - Énfasis3 2 3 3 3 4" xfId="8862" xr:uid="{00000000-0005-0000-0000-000008070000}"/>
    <cellStyle name="20% - Énfasis3 2 3 3 4" xfId="2251" xr:uid="{00000000-0005-0000-0000-000009070000}"/>
    <cellStyle name="20% - Énfasis3 2 3 3 4 2" xfId="6030" xr:uid="{00000000-0005-0000-0000-00000A070000}"/>
    <cellStyle name="20% - Énfasis3 2 3 3 4 3" xfId="9806" xr:uid="{00000000-0005-0000-0000-00000B070000}"/>
    <cellStyle name="20% - Énfasis3 2 3 3 5" xfId="4142" xr:uid="{00000000-0005-0000-0000-00000C070000}"/>
    <cellStyle name="20% - Énfasis3 2 3 3 6" xfId="7918" xr:uid="{00000000-0005-0000-0000-00000D070000}"/>
    <cellStyle name="20% - Énfasis3 2 3 4" xfId="595" xr:uid="{00000000-0005-0000-0000-00000E070000}"/>
    <cellStyle name="20% - Énfasis3 2 3 4 2" xfId="1541" xr:uid="{00000000-0005-0000-0000-00000F070000}"/>
    <cellStyle name="20% - Énfasis3 2 3 4 2 2" xfId="3431" xr:uid="{00000000-0005-0000-0000-000010070000}"/>
    <cellStyle name="20% - Énfasis3 2 3 4 2 2 2" xfId="7210" xr:uid="{00000000-0005-0000-0000-000011070000}"/>
    <cellStyle name="20% - Énfasis3 2 3 4 2 2 3" xfId="10986" xr:uid="{00000000-0005-0000-0000-000012070000}"/>
    <cellStyle name="20% - Énfasis3 2 3 4 2 3" xfId="5322" xr:uid="{00000000-0005-0000-0000-000013070000}"/>
    <cellStyle name="20% - Énfasis3 2 3 4 2 4" xfId="9098" xr:uid="{00000000-0005-0000-0000-000014070000}"/>
    <cellStyle name="20% - Énfasis3 2 3 4 3" xfId="2487" xr:uid="{00000000-0005-0000-0000-000015070000}"/>
    <cellStyle name="20% - Énfasis3 2 3 4 3 2" xfId="6266" xr:uid="{00000000-0005-0000-0000-000016070000}"/>
    <cellStyle name="20% - Énfasis3 2 3 4 3 3" xfId="10042" xr:uid="{00000000-0005-0000-0000-000017070000}"/>
    <cellStyle name="20% - Énfasis3 2 3 4 4" xfId="4378" xr:uid="{00000000-0005-0000-0000-000018070000}"/>
    <cellStyle name="20% - Énfasis3 2 3 4 5" xfId="8154" xr:uid="{00000000-0005-0000-0000-000019070000}"/>
    <cellStyle name="20% - Énfasis3 2 3 5" xfId="1069" xr:uid="{00000000-0005-0000-0000-00001A070000}"/>
    <cellStyle name="20% - Énfasis3 2 3 5 2" xfId="2959" xr:uid="{00000000-0005-0000-0000-00001B070000}"/>
    <cellStyle name="20% - Énfasis3 2 3 5 2 2" xfId="6738" xr:uid="{00000000-0005-0000-0000-00001C070000}"/>
    <cellStyle name="20% - Énfasis3 2 3 5 2 3" xfId="10514" xr:uid="{00000000-0005-0000-0000-00001D070000}"/>
    <cellStyle name="20% - Énfasis3 2 3 5 3" xfId="4850" xr:uid="{00000000-0005-0000-0000-00001E070000}"/>
    <cellStyle name="20% - Énfasis3 2 3 5 4" xfId="8626" xr:uid="{00000000-0005-0000-0000-00001F070000}"/>
    <cellStyle name="20% - Énfasis3 2 3 6" xfId="2015" xr:uid="{00000000-0005-0000-0000-000020070000}"/>
    <cellStyle name="20% - Énfasis3 2 3 6 2" xfId="5794" xr:uid="{00000000-0005-0000-0000-000021070000}"/>
    <cellStyle name="20% - Énfasis3 2 3 6 3" xfId="9570" xr:uid="{00000000-0005-0000-0000-000022070000}"/>
    <cellStyle name="20% - Énfasis3 2 3 7" xfId="3906" xr:uid="{00000000-0005-0000-0000-000023070000}"/>
    <cellStyle name="20% - Énfasis3 2 3 8" xfId="7682" xr:uid="{00000000-0005-0000-0000-000024070000}"/>
    <cellStyle name="20% - Énfasis3 2 4" xfId="178" xr:uid="{00000000-0005-0000-0000-000025070000}"/>
    <cellStyle name="20% - Énfasis3 2 4 2" xfId="416" xr:uid="{00000000-0005-0000-0000-000026070000}"/>
    <cellStyle name="20% - Énfasis3 2 4 2 2" xfId="890" xr:uid="{00000000-0005-0000-0000-000027070000}"/>
    <cellStyle name="20% - Énfasis3 2 4 2 2 2" xfId="1836" xr:uid="{00000000-0005-0000-0000-000028070000}"/>
    <cellStyle name="20% - Énfasis3 2 4 2 2 2 2" xfId="3726" xr:uid="{00000000-0005-0000-0000-000029070000}"/>
    <cellStyle name="20% - Énfasis3 2 4 2 2 2 2 2" xfId="7505" xr:uid="{00000000-0005-0000-0000-00002A070000}"/>
    <cellStyle name="20% - Énfasis3 2 4 2 2 2 2 3" xfId="11281" xr:uid="{00000000-0005-0000-0000-00002B070000}"/>
    <cellStyle name="20% - Énfasis3 2 4 2 2 2 3" xfId="5617" xr:uid="{00000000-0005-0000-0000-00002C070000}"/>
    <cellStyle name="20% - Énfasis3 2 4 2 2 2 4" xfId="9393" xr:uid="{00000000-0005-0000-0000-00002D070000}"/>
    <cellStyle name="20% - Énfasis3 2 4 2 2 3" xfId="2782" xr:uid="{00000000-0005-0000-0000-00002E070000}"/>
    <cellStyle name="20% - Énfasis3 2 4 2 2 3 2" xfId="6561" xr:uid="{00000000-0005-0000-0000-00002F070000}"/>
    <cellStyle name="20% - Énfasis3 2 4 2 2 3 3" xfId="10337" xr:uid="{00000000-0005-0000-0000-000030070000}"/>
    <cellStyle name="20% - Énfasis3 2 4 2 2 4" xfId="4673" xr:uid="{00000000-0005-0000-0000-000031070000}"/>
    <cellStyle name="20% - Énfasis3 2 4 2 2 5" xfId="8449" xr:uid="{00000000-0005-0000-0000-000032070000}"/>
    <cellStyle name="20% - Énfasis3 2 4 2 3" xfId="1364" xr:uid="{00000000-0005-0000-0000-000033070000}"/>
    <cellStyle name="20% - Énfasis3 2 4 2 3 2" xfId="3254" xr:uid="{00000000-0005-0000-0000-000034070000}"/>
    <cellStyle name="20% - Énfasis3 2 4 2 3 2 2" xfId="7033" xr:uid="{00000000-0005-0000-0000-000035070000}"/>
    <cellStyle name="20% - Énfasis3 2 4 2 3 2 3" xfId="10809" xr:uid="{00000000-0005-0000-0000-000036070000}"/>
    <cellStyle name="20% - Énfasis3 2 4 2 3 3" xfId="5145" xr:uid="{00000000-0005-0000-0000-000037070000}"/>
    <cellStyle name="20% - Énfasis3 2 4 2 3 4" xfId="8921" xr:uid="{00000000-0005-0000-0000-000038070000}"/>
    <cellStyle name="20% - Énfasis3 2 4 2 4" xfId="2310" xr:uid="{00000000-0005-0000-0000-000039070000}"/>
    <cellStyle name="20% - Énfasis3 2 4 2 4 2" xfId="6089" xr:uid="{00000000-0005-0000-0000-00003A070000}"/>
    <cellStyle name="20% - Énfasis3 2 4 2 4 3" xfId="9865" xr:uid="{00000000-0005-0000-0000-00003B070000}"/>
    <cellStyle name="20% - Énfasis3 2 4 2 5" xfId="4201" xr:uid="{00000000-0005-0000-0000-00003C070000}"/>
    <cellStyle name="20% - Énfasis3 2 4 2 6" xfId="7977" xr:uid="{00000000-0005-0000-0000-00003D070000}"/>
    <cellStyle name="20% - Énfasis3 2 4 3" xfId="654" xr:uid="{00000000-0005-0000-0000-00003E070000}"/>
    <cellStyle name="20% - Énfasis3 2 4 3 2" xfId="1600" xr:uid="{00000000-0005-0000-0000-00003F070000}"/>
    <cellStyle name="20% - Énfasis3 2 4 3 2 2" xfId="3490" xr:uid="{00000000-0005-0000-0000-000040070000}"/>
    <cellStyle name="20% - Énfasis3 2 4 3 2 2 2" xfId="7269" xr:uid="{00000000-0005-0000-0000-000041070000}"/>
    <cellStyle name="20% - Énfasis3 2 4 3 2 2 3" xfId="11045" xr:uid="{00000000-0005-0000-0000-000042070000}"/>
    <cellStyle name="20% - Énfasis3 2 4 3 2 3" xfId="5381" xr:uid="{00000000-0005-0000-0000-000043070000}"/>
    <cellStyle name="20% - Énfasis3 2 4 3 2 4" xfId="9157" xr:uid="{00000000-0005-0000-0000-000044070000}"/>
    <cellStyle name="20% - Énfasis3 2 4 3 3" xfId="2546" xr:uid="{00000000-0005-0000-0000-000045070000}"/>
    <cellStyle name="20% - Énfasis3 2 4 3 3 2" xfId="6325" xr:uid="{00000000-0005-0000-0000-000046070000}"/>
    <cellStyle name="20% - Énfasis3 2 4 3 3 3" xfId="10101" xr:uid="{00000000-0005-0000-0000-000047070000}"/>
    <cellStyle name="20% - Énfasis3 2 4 3 4" xfId="4437" xr:uid="{00000000-0005-0000-0000-000048070000}"/>
    <cellStyle name="20% - Énfasis3 2 4 3 5" xfId="8213" xr:uid="{00000000-0005-0000-0000-000049070000}"/>
    <cellStyle name="20% - Énfasis3 2 4 4" xfId="1128" xr:uid="{00000000-0005-0000-0000-00004A070000}"/>
    <cellStyle name="20% - Énfasis3 2 4 4 2" xfId="3018" xr:uid="{00000000-0005-0000-0000-00004B070000}"/>
    <cellStyle name="20% - Énfasis3 2 4 4 2 2" xfId="6797" xr:uid="{00000000-0005-0000-0000-00004C070000}"/>
    <cellStyle name="20% - Énfasis3 2 4 4 2 3" xfId="10573" xr:uid="{00000000-0005-0000-0000-00004D070000}"/>
    <cellStyle name="20% - Énfasis3 2 4 4 3" xfId="4909" xr:uid="{00000000-0005-0000-0000-00004E070000}"/>
    <cellStyle name="20% - Énfasis3 2 4 4 4" xfId="8685" xr:uid="{00000000-0005-0000-0000-00004F070000}"/>
    <cellStyle name="20% - Énfasis3 2 4 5" xfId="2074" xr:uid="{00000000-0005-0000-0000-000050070000}"/>
    <cellStyle name="20% - Énfasis3 2 4 5 2" xfId="5853" xr:uid="{00000000-0005-0000-0000-000051070000}"/>
    <cellStyle name="20% - Énfasis3 2 4 5 3" xfId="9629" xr:uid="{00000000-0005-0000-0000-000052070000}"/>
    <cellStyle name="20% - Énfasis3 2 4 6" xfId="3965" xr:uid="{00000000-0005-0000-0000-000053070000}"/>
    <cellStyle name="20% - Énfasis3 2 4 7" xfId="7741" xr:uid="{00000000-0005-0000-0000-000054070000}"/>
    <cellStyle name="20% - Énfasis3 2 5" xfId="298" xr:uid="{00000000-0005-0000-0000-000055070000}"/>
    <cellStyle name="20% - Énfasis3 2 5 2" xfId="772" xr:uid="{00000000-0005-0000-0000-000056070000}"/>
    <cellStyle name="20% - Énfasis3 2 5 2 2" xfId="1718" xr:uid="{00000000-0005-0000-0000-000057070000}"/>
    <cellStyle name="20% - Énfasis3 2 5 2 2 2" xfId="3608" xr:uid="{00000000-0005-0000-0000-000058070000}"/>
    <cellStyle name="20% - Énfasis3 2 5 2 2 2 2" xfId="7387" xr:uid="{00000000-0005-0000-0000-000059070000}"/>
    <cellStyle name="20% - Énfasis3 2 5 2 2 2 3" xfId="11163" xr:uid="{00000000-0005-0000-0000-00005A070000}"/>
    <cellStyle name="20% - Énfasis3 2 5 2 2 3" xfId="5499" xr:uid="{00000000-0005-0000-0000-00005B070000}"/>
    <cellStyle name="20% - Énfasis3 2 5 2 2 4" xfId="9275" xr:uid="{00000000-0005-0000-0000-00005C070000}"/>
    <cellStyle name="20% - Énfasis3 2 5 2 3" xfId="2664" xr:uid="{00000000-0005-0000-0000-00005D070000}"/>
    <cellStyle name="20% - Énfasis3 2 5 2 3 2" xfId="6443" xr:uid="{00000000-0005-0000-0000-00005E070000}"/>
    <cellStyle name="20% - Énfasis3 2 5 2 3 3" xfId="10219" xr:uid="{00000000-0005-0000-0000-00005F070000}"/>
    <cellStyle name="20% - Énfasis3 2 5 2 4" xfId="4555" xr:uid="{00000000-0005-0000-0000-000060070000}"/>
    <cellStyle name="20% - Énfasis3 2 5 2 5" xfId="8331" xr:uid="{00000000-0005-0000-0000-000061070000}"/>
    <cellStyle name="20% - Énfasis3 2 5 3" xfId="1246" xr:uid="{00000000-0005-0000-0000-000062070000}"/>
    <cellStyle name="20% - Énfasis3 2 5 3 2" xfId="3136" xr:uid="{00000000-0005-0000-0000-000063070000}"/>
    <cellStyle name="20% - Énfasis3 2 5 3 2 2" xfId="6915" xr:uid="{00000000-0005-0000-0000-000064070000}"/>
    <cellStyle name="20% - Énfasis3 2 5 3 2 3" xfId="10691" xr:uid="{00000000-0005-0000-0000-000065070000}"/>
    <cellStyle name="20% - Énfasis3 2 5 3 3" xfId="5027" xr:uid="{00000000-0005-0000-0000-000066070000}"/>
    <cellStyle name="20% - Énfasis3 2 5 3 4" xfId="8803" xr:uid="{00000000-0005-0000-0000-000067070000}"/>
    <cellStyle name="20% - Énfasis3 2 5 4" xfId="2192" xr:uid="{00000000-0005-0000-0000-000068070000}"/>
    <cellStyle name="20% - Énfasis3 2 5 4 2" xfId="5971" xr:uid="{00000000-0005-0000-0000-000069070000}"/>
    <cellStyle name="20% - Énfasis3 2 5 4 3" xfId="9747" xr:uid="{00000000-0005-0000-0000-00006A070000}"/>
    <cellStyle name="20% - Énfasis3 2 5 5" xfId="4083" xr:uid="{00000000-0005-0000-0000-00006B070000}"/>
    <cellStyle name="20% - Énfasis3 2 5 6" xfId="7859" xr:uid="{00000000-0005-0000-0000-00006C070000}"/>
    <cellStyle name="20% - Énfasis3 2 6" xfId="536" xr:uid="{00000000-0005-0000-0000-00006D070000}"/>
    <cellStyle name="20% - Énfasis3 2 6 2" xfId="1482" xr:uid="{00000000-0005-0000-0000-00006E070000}"/>
    <cellStyle name="20% - Énfasis3 2 6 2 2" xfId="3372" xr:uid="{00000000-0005-0000-0000-00006F070000}"/>
    <cellStyle name="20% - Énfasis3 2 6 2 2 2" xfId="7151" xr:uid="{00000000-0005-0000-0000-000070070000}"/>
    <cellStyle name="20% - Énfasis3 2 6 2 2 3" xfId="10927" xr:uid="{00000000-0005-0000-0000-000071070000}"/>
    <cellStyle name="20% - Énfasis3 2 6 2 3" xfId="5263" xr:uid="{00000000-0005-0000-0000-000072070000}"/>
    <cellStyle name="20% - Énfasis3 2 6 2 4" xfId="9039" xr:uid="{00000000-0005-0000-0000-000073070000}"/>
    <cellStyle name="20% - Énfasis3 2 6 3" xfId="2428" xr:uid="{00000000-0005-0000-0000-000074070000}"/>
    <cellStyle name="20% - Énfasis3 2 6 3 2" xfId="6207" xr:uid="{00000000-0005-0000-0000-000075070000}"/>
    <cellStyle name="20% - Énfasis3 2 6 3 3" xfId="9983" xr:uid="{00000000-0005-0000-0000-000076070000}"/>
    <cellStyle name="20% - Énfasis3 2 6 4" xfId="4319" xr:uid="{00000000-0005-0000-0000-000077070000}"/>
    <cellStyle name="20% - Énfasis3 2 6 5" xfId="8095" xr:uid="{00000000-0005-0000-0000-000078070000}"/>
    <cellStyle name="20% - Énfasis3 2 7" xfId="1010" xr:uid="{00000000-0005-0000-0000-000079070000}"/>
    <cellStyle name="20% - Énfasis3 2 7 2" xfId="2900" xr:uid="{00000000-0005-0000-0000-00007A070000}"/>
    <cellStyle name="20% - Énfasis3 2 7 2 2" xfId="6679" xr:uid="{00000000-0005-0000-0000-00007B070000}"/>
    <cellStyle name="20% - Énfasis3 2 7 2 3" xfId="10455" xr:uid="{00000000-0005-0000-0000-00007C070000}"/>
    <cellStyle name="20% - Énfasis3 2 7 3" xfId="4791" xr:uid="{00000000-0005-0000-0000-00007D070000}"/>
    <cellStyle name="20% - Énfasis3 2 7 4" xfId="8567" xr:uid="{00000000-0005-0000-0000-00007E070000}"/>
    <cellStyle name="20% - Énfasis3 2 8" xfId="1956" xr:uid="{00000000-0005-0000-0000-00007F070000}"/>
    <cellStyle name="20% - Énfasis3 2 8 2" xfId="5735" xr:uid="{00000000-0005-0000-0000-000080070000}"/>
    <cellStyle name="20% - Énfasis3 2 8 3" xfId="9511" xr:uid="{00000000-0005-0000-0000-000081070000}"/>
    <cellStyle name="20% - Énfasis3 2 9" xfId="3847" xr:uid="{00000000-0005-0000-0000-000082070000}"/>
    <cellStyle name="20% - Énfasis3 3" xfId="63" xr:uid="{00000000-0005-0000-0000-000083070000}"/>
    <cellStyle name="20% - Énfasis3 3 2" xfId="127" xr:uid="{00000000-0005-0000-0000-000084070000}"/>
    <cellStyle name="20% - Énfasis3 3 2 2" xfId="250" xr:uid="{00000000-0005-0000-0000-000085070000}"/>
    <cellStyle name="20% - Énfasis3 3 2 2 2" xfId="488" xr:uid="{00000000-0005-0000-0000-000086070000}"/>
    <cellStyle name="20% - Énfasis3 3 2 2 2 2" xfId="962" xr:uid="{00000000-0005-0000-0000-000087070000}"/>
    <cellStyle name="20% - Énfasis3 3 2 2 2 2 2" xfId="1908" xr:uid="{00000000-0005-0000-0000-000088070000}"/>
    <cellStyle name="20% - Énfasis3 3 2 2 2 2 2 2" xfId="3798" xr:uid="{00000000-0005-0000-0000-000089070000}"/>
    <cellStyle name="20% - Énfasis3 3 2 2 2 2 2 2 2" xfId="7577" xr:uid="{00000000-0005-0000-0000-00008A070000}"/>
    <cellStyle name="20% - Énfasis3 3 2 2 2 2 2 2 3" xfId="11353" xr:uid="{00000000-0005-0000-0000-00008B070000}"/>
    <cellStyle name="20% - Énfasis3 3 2 2 2 2 2 3" xfId="5689" xr:uid="{00000000-0005-0000-0000-00008C070000}"/>
    <cellStyle name="20% - Énfasis3 3 2 2 2 2 2 4" xfId="9465" xr:uid="{00000000-0005-0000-0000-00008D070000}"/>
    <cellStyle name="20% - Énfasis3 3 2 2 2 2 3" xfId="2854" xr:uid="{00000000-0005-0000-0000-00008E070000}"/>
    <cellStyle name="20% - Énfasis3 3 2 2 2 2 3 2" xfId="6633" xr:uid="{00000000-0005-0000-0000-00008F070000}"/>
    <cellStyle name="20% - Énfasis3 3 2 2 2 2 3 3" xfId="10409" xr:uid="{00000000-0005-0000-0000-000090070000}"/>
    <cellStyle name="20% - Énfasis3 3 2 2 2 2 4" xfId="4745" xr:uid="{00000000-0005-0000-0000-000091070000}"/>
    <cellStyle name="20% - Énfasis3 3 2 2 2 2 5" xfId="8521" xr:uid="{00000000-0005-0000-0000-000092070000}"/>
    <cellStyle name="20% - Énfasis3 3 2 2 2 3" xfId="1436" xr:uid="{00000000-0005-0000-0000-000093070000}"/>
    <cellStyle name="20% - Énfasis3 3 2 2 2 3 2" xfId="3326" xr:uid="{00000000-0005-0000-0000-000094070000}"/>
    <cellStyle name="20% - Énfasis3 3 2 2 2 3 2 2" xfId="7105" xr:uid="{00000000-0005-0000-0000-000095070000}"/>
    <cellStyle name="20% - Énfasis3 3 2 2 2 3 2 3" xfId="10881" xr:uid="{00000000-0005-0000-0000-000096070000}"/>
    <cellStyle name="20% - Énfasis3 3 2 2 2 3 3" xfId="5217" xr:uid="{00000000-0005-0000-0000-000097070000}"/>
    <cellStyle name="20% - Énfasis3 3 2 2 2 3 4" xfId="8993" xr:uid="{00000000-0005-0000-0000-000098070000}"/>
    <cellStyle name="20% - Énfasis3 3 2 2 2 4" xfId="2382" xr:uid="{00000000-0005-0000-0000-000099070000}"/>
    <cellStyle name="20% - Énfasis3 3 2 2 2 4 2" xfId="6161" xr:uid="{00000000-0005-0000-0000-00009A070000}"/>
    <cellStyle name="20% - Énfasis3 3 2 2 2 4 3" xfId="9937" xr:uid="{00000000-0005-0000-0000-00009B070000}"/>
    <cellStyle name="20% - Énfasis3 3 2 2 2 5" xfId="4273" xr:uid="{00000000-0005-0000-0000-00009C070000}"/>
    <cellStyle name="20% - Énfasis3 3 2 2 2 6" xfId="8049" xr:uid="{00000000-0005-0000-0000-00009D070000}"/>
    <cellStyle name="20% - Énfasis3 3 2 2 3" xfId="726" xr:uid="{00000000-0005-0000-0000-00009E070000}"/>
    <cellStyle name="20% - Énfasis3 3 2 2 3 2" xfId="1672" xr:uid="{00000000-0005-0000-0000-00009F070000}"/>
    <cellStyle name="20% - Énfasis3 3 2 2 3 2 2" xfId="3562" xr:uid="{00000000-0005-0000-0000-0000A0070000}"/>
    <cellStyle name="20% - Énfasis3 3 2 2 3 2 2 2" xfId="7341" xr:uid="{00000000-0005-0000-0000-0000A1070000}"/>
    <cellStyle name="20% - Énfasis3 3 2 2 3 2 2 3" xfId="11117" xr:uid="{00000000-0005-0000-0000-0000A2070000}"/>
    <cellStyle name="20% - Énfasis3 3 2 2 3 2 3" xfId="5453" xr:uid="{00000000-0005-0000-0000-0000A3070000}"/>
    <cellStyle name="20% - Énfasis3 3 2 2 3 2 4" xfId="9229" xr:uid="{00000000-0005-0000-0000-0000A4070000}"/>
    <cellStyle name="20% - Énfasis3 3 2 2 3 3" xfId="2618" xr:uid="{00000000-0005-0000-0000-0000A5070000}"/>
    <cellStyle name="20% - Énfasis3 3 2 2 3 3 2" xfId="6397" xr:uid="{00000000-0005-0000-0000-0000A6070000}"/>
    <cellStyle name="20% - Énfasis3 3 2 2 3 3 3" xfId="10173" xr:uid="{00000000-0005-0000-0000-0000A7070000}"/>
    <cellStyle name="20% - Énfasis3 3 2 2 3 4" xfId="4509" xr:uid="{00000000-0005-0000-0000-0000A8070000}"/>
    <cellStyle name="20% - Énfasis3 3 2 2 3 5" xfId="8285" xr:uid="{00000000-0005-0000-0000-0000A9070000}"/>
    <cellStyle name="20% - Énfasis3 3 2 2 4" xfId="1200" xr:uid="{00000000-0005-0000-0000-0000AA070000}"/>
    <cellStyle name="20% - Énfasis3 3 2 2 4 2" xfId="3090" xr:uid="{00000000-0005-0000-0000-0000AB070000}"/>
    <cellStyle name="20% - Énfasis3 3 2 2 4 2 2" xfId="6869" xr:uid="{00000000-0005-0000-0000-0000AC070000}"/>
    <cellStyle name="20% - Énfasis3 3 2 2 4 2 3" xfId="10645" xr:uid="{00000000-0005-0000-0000-0000AD070000}"/>
    <cellStyle name="20% - Énfasis3 3 2 2 4 3" xfId="4981" xr:uid="{00000000-0005-0000-0000-0000AE070000}"/>
    <cellStyle name="20% - Énfasis3 3 2 2 4 4" xfId="8757" xr:uid="{00000000-0005-0000-0000-0000AF070000}"/>
    <cellStyle name="20% - Énfasis3 3 2 2 5" xfId="2146" xr:uid="{00000000-0005-0000-0000-0000B0070000}"/>
    <cellStyle name="20% - Énfasis3 3 2 2 5 2" xfId="5925" xr:uid="{00000000-0005-0000-0000-0000B1070000}"/>
    <cellStyle name="20% - Énfasis3 3 2 2 5 3" xfId="9701" xr:uid="{00000000-0005-0000-0000-0000B2070000}"/>
    <cellStyle name="20% - Énfasis3 3 2 2 6" xfId="4037" xr:uid="{00000000-0005-0000-0000-0000B3070000}"/>
    <cellStyle name="20% - Énfasis3 3 2 2 7" xfId="7813" xr:uid="{00000000-0005-0000-0000-0000B4070000}"/>
    <cellStyle name="20% - Énfasis3 3 2 3" xfId="370" xr:uid="{00000000-0005-0000-0000-0000B5070000}"/>
    <cellStyle name="20% - Énfasis3 3 2 3 2" xfId="844" xr:uid="{00000000-0005-0000-0000-0000B6070000}"/>
    <cellStyle name="20% - Énfasis3 3 2 3 2 2" xfId="1790" xr:uid="{00000000-0005-0000-0000-0000B7070000}"/>
    <cellStyle name="20% - Énfasis3 3 2 3 2 2 2" xfId="3680" xr:uid="{00000000-0005-0000-0000-0000B8070000}"/>
    <cellStyle name="20% - Énfasis3 3 2 3 2 2 2 2" xfId="7459" xr:uid="{00000000-0005-0000-0000-0000B9070000}"/>
    <cellStyle name="20% - Énfasis3 3 2 3 2 2 2 3" xfId="11235" xr:uid="{00000000-0005-0000-0000-0000BA070000}"/>
    <cellStyle name="20% - Énfasis3 3 2 3 2 2 3" xfId="5571" xr:uid="{00000000-0005-0000-0000-0000BB070000}"/>
    <cellStyle name="20% - Énfasis3 3 2 3 2 2 4" xfId="9347" xr:uid="{00000000-0005-0000-0000-0000BC070000}"/>
    <cellStyle name="20% - Énfasis3 3 2 3 2 3" xfId="2736" xr:uid="{00000000-0005-0000-0000-0000BD070000}"/>
    <cellStyle name="20% - Énfasis3 3 2 3 2 3 2" xfId="6515" xr:uid="{00000000-0005-0000-0000-0000BE070000}"/>
    <cellStyle name="20% - Énfasis3 3 2 3 2 3 3" xfId="10291" xr:uid="{00000000-0005-0000-0000-0000BF070000}"/>
    <cellStyle name="20% - Énfasis3 3 2 3 2 4" xfId="4627" xr:uid="{00000000-0005-0000-0000-0000C0070000}"/>
    <cellStyle name="20% - Énfasis3 3 2 3 2 5" xfId="8403" xr:uid="{00000000-0005-0000-0000-0000C1070000}"/>
    <cellStyle name="20% - Énfasis3 3 2 3 3" xfId="1318" xr:uid="{00000000-0005-0000-0000-0000C2070000}"/>
    <cellStyle name="20% - Énfasis3 3 2 3 3 2" xfId="3208" xr:uid="{00000000-0005-0000-0000-0000C3070000}"/>
    <cellStyle name="20% - Énfasis3 3 2 3 3 2 2" xfId="6987" xr:uid="{00000000-0005-0000-0000-0000C4070000}"/>
    <cellStyle name="20% - Énfasis3 3 2 3 3 2 3" xfId="10763" xr:uid="{00000000-0005-0000-0000-0000C5070000}"/>
    <cellStyle name="20% - Énfasis3 3 2 3 3 3" xfId="5099" xr:uid="{00000000-0005-0000-0000-0000C6070000}"/>
    <cellStyle name="20% - Énfasis3 3 2 3 3 4" xfId="8875" xr:uid="{00000000-0005-0000-0000-0000C7070000}"/>
    <cellStyle name="20% - Énfasis3 3 2 3 4" xfId="2264" xr:uid="{00000000-0005-0000-0000-0000C8070000}"/>
    <cellStyle name="20% - Énfasis3 3 2 3 4 2" xfId="6043" xr:uid="{00000000-0005-0000-0000-0000C9070000}"/>
    <cellStyle name="20% - Énfasis3 3 2 3 4 3" xfId="9819" xr:uid="{00000000-0005-0000-0000-0000CA070000}"/>
    <cellStyle name="20% - Énfasis3 3 2 3 5" xfId="4155" xr:uid="{00000000-0005-0000-0000-0000CB070000}"/>
    <cellStyle name="20% - Énfasis3 3 2 3 6" xfId="7931" xr:uid="{00000000-0005-0000-0000-0000CC070000}"/>
    <cellStyle name="20% - Énfasis3 3 2 4" xfId="608" xr:uid="{00000000-0005-0000-0000-0000CD070000}"/>
    <cellStyle name="20% - Énfasis3 3 2 4 2" xfId="1554" xr:uid="{00000000-0005-0000-0000-0000CE070000}"/>
    <cellStyle name="20% - Énfasis3 3 2 4 2 2" xfId="3444" xr:uid="{00000000-0005-0000-0000-0000CF070000}"/>
    <cellStyle name="20% - Énfasis3 3 2 4 2 2 2" xfId="7223" xr:uid="{00000000-0005-0000-0000-0000D0070000}"/>
    <cellStyle name="20% - Énfasis3 3 2 4 2 2 3" xfId="10999" xr:uid="{00000000-0005-0000-0000-0000D1070000}"/>
    <cellStyle name="20% - Énfasis3 3 2 4 2 3" xfId="5335" xr:uid="{00000000-0005-0000-0000-0000D2070000}"/>
    <cellStyle name="20% - Énfasis3 3 2 4 2 4" xfId="9111" xr:uid="{00000000-0005-0000-0000-0000D3070000}"/>
    <cellStyle name="20% - Énfasis3 3 2 4 3" xfId="2500" xr:uid="{00000000-0005-0000-0000-0000D4070000}"/>
    <cellStyle name="20% - Énfasis3 3 2 4 3 2" xfId="6279" xr:uid="{00000000-0005-0000-0000-0000D5070000}"/>
    <cellStyle name="20% - Énfasis3 3 2 4 3 3" xfId="10055" xr:uid="{00000000-0005-0000-0000-0000D6070000}"/>
    <cellStyle name="20% - Énfasis3 3 2 4 4" xfId="4391" xr:uid="{00000000-0005-0000-0000-0000D7070000}"/>
    <cellStyle name="20% - Énfasis3 3 2 4 5" xfId="8167" xr:uid="{00000000-0005-0000-0000-0000D8070000}"/>
    <cellStyle name="20% - Énfasis3 3 2 5" xfId="1082" xr:uid="{00000000-0005-0000-0000-0000D9070000}"/>
    <cellStyle name="20% - Énfasis3 3 2 5 2" xfId="2972" xr:uid="{00000000-0005-0000-0000-0000DA070000}"/>
    <cellStyle name="20% - Énfasis3 3 2 5 2 2" xfId="6751" xr:uid="{00000000-0005-0000-0000-0000DB070000}"/>
    <cellStyle name="20% - Énfasis3 3 2 5 2 3" xfId="10527" xr:uid="{00000000-0005-0000-0000-0000DC070000}"/>
    <cellStyle name="20% - Énfasis3 3 2 5 3" xfId="4863" xr:uid="{00000000-0005-0000-0000-0000DD070000}"/>
    <cellStyle name="20% - Énfasis3 3 2 5 4" xfId="8639" xr:uid="{00000000-0005-0000-0000-0000DE070000}"/>
    <cellStyle name="20% - Énfasis3 3 2 6" xfId="2028" xr:uid="{00000000-0005-0000-0000-0000DF070000}"/>
    <cellStyle name="20% - Énfasis3 3 2 6 2" xfId="5807" xr:uid="{00000000-0005-0000-0000-0000E0070000}"/>
    <cellStyle name="20% - Énfasis3 3 2 6 3" xfId="9583" xr:uid="{00000000-0005-0000-0000-0000E1070000}"/>
    <cellStyle name="20% - Énfasis3 3 2 7" xfId="3919" xr:uid="{00000000-0005-0000-0000-0000E2070000}"/>
    <cellStyle name="20% - Énfasis3 3 2 8" xfId="7695" xr:uid="{00000000-0005-0000-0000-0000E3070000}"/>
    <cellStyle name="20% - Énfasis3 3 3" xfId="191" xr:uid="{00000000-0005-0000-0000-0000E4070000}"/>
    <cellStyle name="20% - Énfasis3 3 3 2" xfId="429" xr:uid="{00000000-0005-0000-0000-0000E5070000}"/>
    <cellStyle name="20% - Énfasis3 3 3 2 2" xfId="903" xr:uid="{00000000-0005-0000-0000-0000E6070000}"/>
    <cellStyle name="20% - Énfasis3 3 3 2 2 2" xfId="1849" xr:uid="{00000000-0005-0000-0000-0000E7070000}"/>
    <cellStyle name="20% - Énfasis3 3 3 2 2 2 2" xfId="3739" xr:uid="{00000000-0005-0000-0000-0000E8070000}"/>
    <cellStyle name="20% - Énfasis3 3 3 2 2 2 2 2" xfId="7518" xr:uid="{00000000-0005-0000-0000-0000E9070000}"/>
    <cellStyle name="20% - Énfasis3 3 3 2 2 2 2 3" xfId="11294" xr:uid="{00000000-0005-0000-0000-0000EA070000}"/>
    <cellStyle name="20% - Énfasis3 3 3 2 2 2 3" xfId="5630" xr:uid="{00000000-0005-0000-0000-0000EB070000}"/>
    <cellStyle name="20% - Énfasis3 3 3 2 2 2 4" xfId="9406" xr:uid="{00000000-0005-0000-0000-0000EC070000}"/>
    <cellStyle name="20% - Énfasis3 3 3 2 2 3" xfId="2795" xr:uid="{00000000-0005-0000-0000-0000ED070000}"/>
    <cellStyle name="20% - Énfasis3 3 3 2 2 3 2" xfId="6574" xr:uid="{00000000-0005-0000-0000-0000EE070000}"/>
    <cellStyle name="20% - Énfasis3 3 3 2 2 3 3" xfId="10350" xr:uid="{00000000-0005-0000-0000-0000EF070000}"/>
    <cellStyle name="20% - Énfasis3 3 3 2 2 4" xfId="4686" xr:uid="{00000000-0005-0000-0000-0000F0070000}"/>
    <cellStyle name="20% - Énfasis3 3 3 2 2 5" xfId="8462" xr:uid="{00000000-0005-0000-0000-0000F1070000}"/>
    <cellStyle name="20% - Énfasis3 3 3 2 3" xfId="1377" xr:uid="{00000000-0005-0000-0000-0000F2070000}"/>
    <cellStyle name="20% - Énfasis3 3 3 2 3 2" xfId="3267" xr:uid="{00000000-0005-0000-0000-0000F3070000}"/>
    <cellStyle name="20% - Énfasis3 3 3 2 3 2 2" xfId="7046" xr:uid="{00000000-0005-0000-0000-0000F4070000}"/>
    <cellStyle name="20% - Énfasis3 3 3 2 3 2 3" xfId="10822" xr:uid="{00000000-0005-0000-0000-0000F5070000}"/>
    <cellStyle name="20% - Énfasis3 3 3 2 3 3" xfId="5158" xr:uid="{00000000-0005-0000-0000-0000F6070000}"/>
    <cellStyle name="20% - Énfasis3 3 3 2 3 4" xfId="8934" xr:uid="{00000000-0005-0000-0000-0000F7070000}"/>
    <cellStyle name="20% - Énfasis3 3 3 2 4" xfId="2323" xr:uid="{00000000-0005-0000-0000-0000F8070000}"/>
    <cellStyle name="20% - Énfasis3 3 3 2 4 2" xfId="6102" xr:uid="{00000000-0005-0000-0000-0000F9070000}"/>
    <cellStyle name="20% - Énfasis3 3 3 2 4 3" xfId="9878" xr:uid="{00000000-0005-0000-0000-0000FA070000}"/>
    <cellStyle name="20% - Énfasis3 3 3 2 5" xfId="4214" xr:uid="{00000000-0005-0000-0000-0000FB070000}"/>
    <cellStyle name="20% - Énfasis3 3 3 2 6" xfId="7990" xr:uid="{00000000-0005-0000-0000-0000FC070000}"/>
    <cellStyle name="20% - Énfasis3 3 3 3" xfId="667" xr:uid="{00000000-0005-0000-0000-0000FD070000}"/>
    <cellStyle name="20% - Énfasis3 3 3 3 2" xfId="1613" xr:uid="{00000000-0005-0000-0000-0000FE070000}"/>
    <cellStyle name="20% - Énfasis3 3 3 3 2 2" xfId="3503" xr:uid="{00000000-0005-0000-0000-0000FF070000}"/>
    <cellStyle name="20% - Énfasis3 3 3 3 2 2 2" xfId="7282" xr:uid="{00000000-0005-0000-0000-000000080000}"/>
    <cellStyle name="20% - Énfasis3 3 3 3 2 2 3" xfId="11058" xr:uid="{00000000-0005-0000-0000-000001080000}"/>
    <cellStyle name="20% - Énfasis3 3 3 3 2 3" xfId="5394" xr:uid="{00000000-0005-0000-0000-000002080000}"/>
    <cellStyle name="20% - Énfasis3 3 3 3 2 4" xfId="9170" xr:uid="{00000000-0005-0000-0000-000003080000}"/>
    <cellStyle name="20% - Énfasis3 3 3 3 3" xfId="2559" xr:uid="{00000000-0005-0000-0000-000004080000}"/>
    <cellStyle name="20% - Énfasis3 3 3 3 3 2" xfId="6338" xr:uid="{00000000-0005-0000-0000-000005080000}"/>
    <cellStyle name="20% - Énfasis3 3 3 3 3 3" xfId="10114" xr:uid="{00000000-0005-0000-0000-000006080000}"/>
    <cellStyle name="20% - Énfasis3 3 3 3 4" xfId="4450" xr:uid="{00000000-0005-0000-0000-000007080000}"/>
    <cellStyle name="20% - Énfasis3 3 3 3 5" xfId="8226" xr:uid="{00000000-0005-0000-0000-000008080000}"/>
    <cellStyle name="20% - Énfasis3 3 3 4" xfId="1141" xr:uid="{00000000-0005-0000-0000-000009080000}"/>
    <cellStyle name="20% - Énfasis3 3 3 4 2" xfId="3031" xr:uid="{00000000-0005-0000-0000-00000A080000}"/>
    <cellStyle name="20% - Énfasis3 3 3 4 2 2" xfId="6810" xr:uid="{00000000-0005-0000-0000-00000B080000}"/>
    <cellStyle name="20% - Énfasis3 3 3 4 2 3" xfId="10586" xr:uid="{00000000-0005-0000-0000-00000C080000}"/>
    <cellStyle name="20% - Énfasis3 3 3 4 3" xfId="4922" xr:uid="{00000000-0005-0000-0000-00000D080000}"/>
    <cellStyle name="20% - Énfasis3 3 3 4 4" xfId="8698" xr:uid="{00000000-0005-0000-0000-00000E080000}"/>
    <cellStyle name="20% - Énfasis3 3 3 5" xfId="2087" xr:uid="{00000000-0005-0000-0000-00000F080000}"/>
    <cellStyle name="20% - Énfasis3 3 3 5 2" xfId="5866" xr:uid="{00000000-0005-0000-0000-000010080000}"/>
    <cellStyle name="20% - Énfasis3 3 3 5 3" xfId="9642" xr:uid="{00000000-0005-0000-0000-000011080000}"/>
    <cellStyle name="20% - Énfasis3 3 3 6" xfId="3978" xr:uid="{00000000-0005-0000-0000-000012080000}"/>
    <cellStyle name="20% - Énfasis3 3 3 7" xfId="7754" xr:uid="{00000000-0005-0000-0000-000013080000}"/>
    <cellStyle name="20% - Énfasis3 3 4" xfId="311" xr:uid="{00000000-0005-0000-0000-000014080000}"/>
    <cellStyle name="20% - Énfasis3 3 4 2" xfId="785" xr:uid="{00000000-0005-0000-0000-000015080000}"/>
    <cellStyle name="20% - Énfasis3 3 4 2 2" xfId="1731" xr:uid="{00000000-0005-0000-0000-000016080000}"/>
    <cellStyle name="20% - Énfasis3 3 4 2 2 2" xfId="3621" xr:uid="{00000000-0005-0000-0000-000017080000}"/>
    <cellStyle name="20% - Énfasis3 3 4 2 2 2 2" xfId="7400" xr:uid="{00000000-0005-0000-0000-000018080000}"/>
    <cellStyle name="20% - Énfasis3 3 4 2 2 2 3" xfId="11176" xr:uid="{00000000-0005-0000-0000-000019080000}"/>
    <cellStyle name="20% - Énfasis3 3 4 2 2 3" xfId="5512" xr:uid="{00000000-0005-0000-0000-00001A080000}"/>
    <cellStyle name="20% - Énfasis3 3 4 2 2 4" xfId="9288" xr:uid="{00000000-0005-0000-0000-00001B080000}"/>
    <cellStyle name="20% - Énfasis3 3 4 2 3" xfId="2677" xr:uid="{00000000-0005-0000-0000-00001C080000}"/>
    <cellStyle name="20% - Énfasis3 3 4 2 3 2" xfId="6456" xr:uid="{00000000-0005-0000-0000-00001D080000}"/>
    <cellStyle name="20% - Énfasis3 3 4 2 3 3" xfId="10232" xr:uid="{00000000-0005-0000-0000-00001E080000}"/>
    <cellStyle name="20% - Énfasis3 3 4 2 4" xfId="4568" xr:uid="{00000000-0005-0000-0000-00001F080000}"/>
    <cellStyle name="20% - Énfasis3 3 4 2 5" xfId="8344" xr:uid="{00000000-0005-0000-0000-000020080000}"/>
    <cellStyle name="20% - Énfasis3 3 4 3" xfId="1259" xr:uid="{00000000-0005-0000-0000-000021080000}"/>
    <cellStyle name="20% - Énfasis3 3 4 3 2" xfId="3149" xr:uid="{00000000-0005-0000-0000-000022080000}"/>
    <cellStyle name="20% - Énfasis3 3 4 3 2 2" xfId="6928" xr:uid="{00000000-0005-0000-0000-000023080000}"/>
    <cellStyle name="20% - Énfasis3 3 4 3 2 3" xfId="10704" xr:uid="{00000000-0005-0000-0000-000024080000}"/>
    <cellStyle name="20% - Énfasis3 3 4 3 3" xfId="5040" xr:uid="{00000000-0005-0000-0000-000025080000}"/>
    <cellStyle name="20% - Énfasis3 3 4 3 4" xfId="8816" xr:uid="{00000000-0005-0000-0000-000026080000}"/>
    <cellStyle name="20% - Énfasis3 3 4 4" xfId="2205" xr:uid="{00000000-0005-0000-0000-000027080000}"/>
    <cellStyle name="20% - Énfasis3 3 4 4 2" xfId="5984" xr:uid="{00000000-0005-0000-0000-000028080000}"/>
    <cellStyle name="20% - Énfasis3 3 4 4 3" xfId="9760" xr:uid="{00000000-0005-0000-0000-000029080000}"/>
    <cellStyle name="20% - Énfasis3 3 4 5" xfId="4096" xr:uid="{00000000-0005-0000-0000-00002A080000}"/>
    <cellStyle name="20% - Énfasis3 3 4 6" xfId="7872" xr:uid="{00000000-0005-0000-0000-00002B080000}"/>
    <cellStyle name="20% - Énfasis3 3 5" xfId="549" xr:uid="{00000000-0005-0000-0000-00002C080000}"/>
    <cellStyle name="20% - Énfasis3 3 5 2" xfId="1495" xr:uid="{00000000-0005-0000-0000-00002D080000}"/>
    <cellStyle name="20% - Énfasis3 3 5 2 2" xfId="3385" xr:uid="{00000000-0005-0000-0000-00002E080000}"/>
    <cellStyle name="20% - Énfasis3 3 5 2 2 2" xfId="7164" xr:uid="{00000000-0005-0000-0000-00002F080000}"/>
    <cellStyle name="20% - Énfasis3 3 5 2 2 3" xfId="10940" xr:uid="{00000000-0005-0000-0000-000030080000}"/>
    <cellStyle name="20% - Énfasis3 3 5 2 3" xfId="5276" xr:uid="{00000000-0005-0000-0000-000031080000}"/>
    <cellStyle name="20% - Énfasis3 3 5 2 4" xfId="9052" xr:uid="{00000000-0005-0000-0000-000032080000}"/>
    <cellStyle name="20% - Énfasis3 3 5 3" xfId="2441" xr:uid="{00000000-0005-0000-0000-000033080000}"/>
    <cellStyle name="20% - Énfasis3 3 5 3 2" xfId="6220" xr:uid="{00000000-0005-0000-0000-000034080000}"/>
    <cellStyle name="20% - Énfasis3 3 5 3 3" xfId="9996" xr:uid="{00000000-0005-0000-0000-000035080000}"/>
    <cellStyle name="20% - Énfasis3 3 5 4" xfId="4332" xr:uid="{00000000-0005-0000-0000-000036080000}"/>
    <cellStyle name="20% - Énfasis3 3 5 5" xfId="8108" xr:uid="{00000000-0005-0000-0000-000037080000}"/>
    <cellStyle name="20% - Énfasis3 3 6" xfId="1023" xr:uid="{00000000-0005-0000-0000-000038080000}"/>
    <cellStyle name="20% - Énfasis3 3 6 2" xfId="2913" xr:uid="{00000000-0005-0000-0000-000039080000}"/>
    <cellStyle name="20% - Énfasis3 3 6 2 2" xfId="6692" xr:uid="{00000000-0005-0000-0000-00003A080000}"/>
    <cellStyle name="20% - Énfasis3 3 6 2 3" xfId="10468" xr:uid="{00000000-0005-0000-0000-00003B080000}"/>
    <cellStyle name="20% - Énfasis3 3 6 3" xfId="4804" xr:uid="{00000000-0005-0000-0000-00003C080000}"/>
    <cellStyle name="20% - Énfasis3 3 6 4" xfId="8580" xr:uid="{00000000-0005-0000-0000-00003D080000}"/>
    <cellStyle name="20% - Énfasis3 3 7" xfId="1969" xr:uid="{00000000-0005-0000-0000-00003E080000}"/>
    <cellStyle name="20% - Énfasis3 3 7 2" xfId="5748" xr:uid="{00000000-0005-0000-0000-00003F080000}"/>
    <cellStyle name="20% - Énfasis3 3 7 3" xfId="9524" xr:uid="{00000000-0005-0000-0000-000040080000}"/>
    <cellStyle name="20% - Énfasis3 3 8" xfId="3860" xr:uid="{00000000-0005-0000-0000-000041080000}"/>
    <cellStyle name="20% - Énfasis3 3 9" xfId="7636" xr:uid="{00000000-0005-0000-0000-000042080000}"/>
    <cellStyle name="20% - Énfasis3 4" xfId="96" xr:uid="{00000000-0005-0000-0000-000043080000}"/>
    <cellStyle name="20% - Énfasis3 4 2" xfId="221" xr:uid="{00000000-0005-0000-0000-000044080000}"/>
    <cellStyle name="20% - Énfasis3 4 2 2" xfId="459" xr:uid="{00000000-0005-0000-0000-000045080000}"/>
    <cellStyle name="20% - Énfasis3 4 2 2 2" xfId="933" xr:uid="{00000000-0005-0000-0000-000046080000}"/>
    <cellStyle name="20% - Énfasis3 4 2 2 2 2" xfId="1879" xr:uid="{00000000-0005-0000-0000-000047080000}"/>
    <cellStyle name="20% - Énfasis3 4 2 2 2 2 2" xfId="3769" xr:uid="{00000000-0005-0000-0000-000048080000}"/>
    <cellStyle name="20% - Énfasis3 4 2 2 2 2 2 2" xfId="7548" xr:uid="{00000000-0005-0000-0000-000049080000}"/>
    <cellStyle name="20% - Énfasis3 4 2 2 2 2 2 3" xfId="11324" xr:uid="{00000000-0005-0000-0000-00004A080000}"/>
    <cellStyle name="20% - Énfasis3 4 2 2 2 2 3" xfId="5660" xr:uid="{00000000-0005-0000-0000-00004B080000}"/>
    <cellStyle name="20% - Énfasis3 4 2 2 2 2 4" xfId="9436" xr:uid="{00000000-0005-0000-0000-00004C080000}"/>
    <cellStyle name="20% - Énfasis3 4 2 2 2 3" xfId="2825" xr:uid="{00000000-0005-0000-0000-00004D080000}"/>
    <cellStyle name="20% - Énfasis3 4 2 2 2 3 2" xfId="6604" xr:uid="{00000000-0005-0000-0000-00004E080000}"/>
    <cellStyle name="20% - Énfasis3 4 2 2 2 3 3" xfId="10380" xr:uid="{00000000-0005-0000-0000-00004F080000}"/>
    <cellStyle name="20% - Énfasis3 4 2 2 2 4" xfId="4716" xr:uid="{00000000-0005-0000-0000-000050080000}"/>
    <cellStyle name="20% - Énfasis3 4 2 2 2 5" xfId="8492" xr:uid="{00000000-0005-0000-0000-000051080000}"/>
    <cellStyle name="20% - Énfasis3 4 2 2 3" xfId="1407" xr:uid="{00000000-0005-0000-0000-000052080000}"/>
    <cellStyle name="20% - Énfasis3 4 2 2 3 2" xfId="3297" xr:uid="{00000000-0005-0000-0000-000053080000}"/>
    <cellStyle name="20% - Énfasis3 4 2 2 3 2 2" xfId="7076" xr:uid="{00000000-0005-0000-0000-000054080000}"/>
    <cellStyle name="20% - Énfasis3 4 2 2 3 2 3" xfId="10852" xr:uid="{00000000-0005-0000-0000-000055080000}"/>
    <cellStyle name="20% - Énfasis3 4 2 2 3 3" xfId="5188" xr:uid="{00000000-0005-0000-0000-000056080000}"/>
    <cellStyle name="20% - Énfasis3 4 2 2 3 4" xfId="8964" xr:uid="{00000000-0005-0000-0000-000057080000}"/>
    <cellStyle name="20% - Énfasis3 4 2 2 4" xfId="2353" xr:uid="{00000000-0005-0000-0000-000058080000}"/>
    <cellStyle name="20% - Énfasis3 4 2 2 4 2" xfId="6132" xr:uid="{00000000-0005-0000-0000-000059080000}"/>
    <cellStyle name="20% - Énfasis3 4 2 2 4 3" xfId="9908" xr:uid="{00000000-0005-0000-0000-00005A080000}"/>
    <cellStyle name="20% - Énfasis3 4 2 2 5" xfId="4244" xr:uid="{00000000-0005-0000-0000-00005B080000}"/>
    <cellStyle name="20% - Énfasis3 4 2 2 6" xfId="8020" xr:uid="{00000000-0005-0000-0000-00005C080000}"/>
    <cellStyle name="20% - Énfasis3 4 2 3" xfId="697" xr:uid="{00000000-0005-0000-0000-00005D080000}"/>
    <cellStyle name="20% - Énfasis3 4 2 3 2" xfId="1643" xr:uid="{00000000-0005-0000-0000-00005E080000}"/>
    <cellStyle name="20% - Énfasis3 4 2 3 2 2" xfId="3533" xr:uid="{00000000-0005-0000-0000-00005F080000}"/>
    <cellStyle name="20% - Énfasis3 4 2 3 2 2 2" xfId="7312" xr:uid="{00000000-0005-0000-0000-000060080000}"/>
    <cellStyle name="20% - Énfasis3 4 2 3 2 2 3" xfId="11088" xr:uid="{00000000-0005-0000-0000-000061080000}"/>
    <cellStyle name="20% - Énfasis3 4 2 3 2 3" xfId="5424" xr:uid="{00000000-0005-0000-0000-000062080000}"/>
    <cellStyle name="20% - Énfasis3 4 2 3 2 4" xfId="9200" xr:uid="{00000000-0005-0000-0000-000063080000}"/>
    <cellStyle name="20% - Énfasis3 4 2 3 3" xfId="2589" xr:uid="{00000000-0005-0000-0000-000064080000}"/>
    <cellStyle name="20% - Énfasis3 4 2 3 3 2" xfId="6368" xr:uid="{00000000-0005-0000-0000-000065080000}"/>
    <cellStyle name="20% - Énfasis3 4 2 3 3 3" xfId="10144" xr:uid="{00000000-0005-0000-0000-000066080000}"/>
    <cellStyle name="20% - Énfasis3 4 2 3 4" xfId="4480" xr:uid="{00000000-0005-0000-0000-000067080000}"/>
    <cellStyle name="20% - Énfasis3 4 2 3 5" xfId="8256" xr:uid="{00000000-0005-0000-0000-000068080000}"/>
    <cellStyle name="20% - Énfasis3 4 2 4" xfId="1171" xr:uid="{00000000-0005-0000-0000-000069080000}"/>
    <cellStyle name="20% - Énfasis3 4 2 4 2" xfId="3061" xr:uid="{00000000-0005-0000-0000-00006A080000}"/>
    <cellStyle name="20% - Énfasis3 4 2 4 2 2" xfId="6840" xr:uid="{00000000-0005-0000-0000-00006B080000}"/>
    <cellStyle name="20% - Énfasis3 4 2 4 2 3" xfId="10616" xr:uid="{00000000-0005-0000-0000-00006C080000}"/>
    <cellStyle name="20% - Énfasis3 4 2 4 3" xfId="4952" xr:uid="{00000000-0005-0000-0000-00006D080000}"/>
    <cellStyle name="20% - Énfasis3 4 2 4 4" xfId="8728" xr:uid="{00000000-0005-0000-0000-00006E080000}"/>
    <cellStyle name="20% - Énfasis3 4 2 5" xfId="2117" xr:uid="{00000000-0005-0000-0000-00006F080000}"/>
    <cellStyle name="20% - Énfasis3 4 2 5 2" xfId="5896" xr:uid="{00000000-0005-0000-0000-000070080000}"/>
    <cellStyle name="20% - Énfasis3 4 2 5 3" xfId="9672" xr:uid="{00000000-0005-0000-0000-000071080000}"/>
    <cellStyle name="20% - Énfasis3 4 2 6" xfId="4008" xr:uid="{00000000-0005-0000-0000-000072080000}"/>
    <cellStyle name="20% - Énfasis3 4 2 7" xfId="7784" xr:uid="{00000000-0005-0000-0000-000073080000}"/>
    <cellStyle name="20% - Énfasis3 4 3" xfId="341" xr:uid="{00000000-0005-0000-0000-000074080000}"/>
    <cellStyle name="20% - Énfasis3 4 3 2" xfId="815" xr:uid="{00000000-0005-0000-0000-000075080000}"/>
    <cellStyle name="20% - Énfasis3 4 3 2 2" xfId="1761" xr:uid="{00000000-0005-0000-0000-000076080000}"/>
    <cellStyle name="20% - Énfasis3 4 3 2 2 2" xfId="3651" xr:uid="{00000000-0005-0000-0000-000077080000}"/>
    <cellStyle name="20% - Énfasis3 4 3 2 2 2 2" xfId="7430" xr:uid="{00000000-0005-0000-0000-000078080000}"/>
    <cellStyle name="20% - Énfasis3 4 3 2 2 2 3" xfId="11206" xr:uid="{00000000-0005-0000-0000-000079080000}"/>
    <cellStyle name="20% - Énfasis3 4 3 2 2 3" xfId="5542" xr:uid="{00000000-0005-0000-0000-00007A080000}"/>
    <cellStyle name="20% - Énfasis3 4 3 2 2 4" xfId="9318" xr:uid="{00000000-0005-0000-0000-00007B080000}"/>
    <cellStyle name="20% - Énfasis3 4 3 2 3" xfId="2707" xr:uid="{00000000-0005-0000-0000-00007C080000}"/>
    <cellStyle name="20% - Énfasis3 4 3 2 3 2" xfId="6486" xr:uid="{00000000-0005-0000-0000-00007D080000}"/>
    <cellStyle name="20% - Énfasis3 4 3 2 3 3" xfId="10262" xr:uid="{00000000-0005-0000-0000-00007E080000}"/>
    <cellStyle name="20% - Énfasis3 4 3 2 4" xfId="4598" xr:uid="{00000000-0005-0000-0000-00007F080000}"/>
    <cellStyle name="20% - Énfasis3 4 3 2 5" xfId="8374" xr:uid="{00000000-0005-0000-0000-000080080000}"/>
    <cellStyle name="20% - Énfasis3 4 3 3" xfId="1289" xr:uid="{00000000-0005-0000-0000-000081080000}"/>
    <cellStyle name="20% - Énfasis3 4 3 3 2" xfId="3179" xr:uid="{00000000-0005-0000-0000-000082080000}"/>
    <cellStyle name="20% - Énfasis3 4 3 3 2 2" xfId="6958" xr:uid="{00000000-0005-0000-0000-000083080000}"/>
    <cellStyle name="20% - Énfasis3 4 3 3 2 3" xfId="10734" xr:uid="{00000000-0005-0000-0000-000084080000}"/>
    <cellStyle name="20% - Énfasis3 4 3 3 3" xfId="5070" xr:uid="{00000000-0005-0000-0000-000085080000}"/>
    <cellStyle name="20% - Énfasis3 4 3 3 4" xfId="8846" xr:uid="{00000000-0005-0000-0000-000086080000}"/>
    <cellStyle name="20% - Énfasis3 4 3 4" xfId="2235" xr:uid="{00000000-0005-0000-0000-000087080000}"/>
    <cellStyle name="20% - Énfasis3 4 3 4 2" xfId="6014" xr:uid="{00000000-0005-0000-0000-000088080000}"/>
    <cellStyle name="20% - Énfasis3 4 3 4 3" xfId="9790" xr:uid="{00000000-0005-0000-0000-000089080000}"/>
    <cellStyle name="20% - Énfasis3 4 3 5" xfId="4126" xr:uid="{00000000-0005-0000-0000-00008A080000}"/>
    <cellStyle name="20% - Énfasis3 4 3 6" xfId="7902" xr:uid="{00000000-0005-0000-0000-00008B080000}"/>
    <cellStyle name="20% - Énfasis3 4 4" xfId="579" xr:uid="{00000000-0005-0000-0000-00008C080000}"/>
    <cellStyle name="20% - Énfasis3 4 4 2" xfId="1525" xr:uid="{00000000-0005-0000-0000-00008D080000}"/>
    <cellStyle name="20% - Énfasis3 4 4 2 2" xfId="3415" xr:uid="{00000000-0005-0000-0000-00008E080000}"/>
    <cellStyle name="20% - Énfasis3 4 4 2 2 2" xfId="7194" xr:uid="{00000000-0005-0000-0000-00008F080000}"/>
    <cellStyle name="20% - Énfasis3 4 4 2 2 3" xfId="10970" xr:uid="{00000000-0005-0000-0000-000090080000}"/>
    <cellStyle name="20% - Énfasis3 4 4 2 3" xfId="5306" xr:uid="{00000000-0005-0000-0000-000091080000}"/>
    <cellStyle name="20% - Énfasis3 4 4 2 4" xfId="9082" xr:uid="{00000000-0005-0000-0000-000092080000}"/>
    <cellStyle name="20% - Énfasis3 4 4 3" xfId="2471" xr:uid="{00000000-0005-0000-0000-000093080000}"/>
    <cellStyle name="20% - Énfasis3 4 4 3 2" xfId="6250" xr:uid="{00000000-0005-0000-0000-000094080000}"/>
    <cellStyle name="20% - Énfasis3 4 4 3 3" xfId="10026" xr:uid="{00000000-0005-0000-0000-000095080000}"/>
    <cellStyle name="20% - Énfasis3 4 4 4" xfId="4362" xr:uid="{00000000-0005-0000-0000-000096080000}"/>
    <cellStyle name="20% - Énfasis3 4 4 5" xfId="8138" xr:uid="{00000000-0005-0000-0000-000097080000}"/>
    <cellStyle name="20% - Énfasis3 4 5" xfId="1053" xr:uid="{00000000-0005-0000-0000-000098080000}"/>
    <cellStyle name="20% - Énfasis3 4 5 2" xfId="2943" xr:uid="{00000000-0005-0000-0000-000099080000}"/>
    <cellStyle name="20% - Énfasis3 4 5 2 2" xfId="6722" xr:uid="{00000000-0005-0000-0000-00009A080000}"/>
    <cellStyle name="20% - Énfasis3 4 5 2 3" xfId="10498" xr:uid="{00000000-0005-0000-0000-00009B080000}"/>
    <cellStyle name="20% - Énfasis3 4 5 3" xfId="4834" xr:uid="{00000000-0005-0000-0000-00009C080000}"/>
    <cellStyle name="20% - Énfasis3 4 5 4" xfId="8610" xr:uid="{00000000-0005-0000-0000-00009D080000}"/>
    <cellStyle name="20% - Énfasis3 4 6" xfId="1999" xr:uid="{00000000-0005-0000-0000-00009E080000}"/>
    <cellStyle name="20% - Énfasis3 4 6 2" xfId="5778" xr:uid="{00000000-0005-0000-0000-00009F080000}"/>
    <cellStyle name="20% - Énfasis3 4 6 3" xfId="9554" xr:uid="{00000000-0005-0000-0000-0000A0080000}"/>
    <cellStyle name="20% - Énfasis3 4 7" xfId="3890" xr:uid="{00000000-0005-0000-0000-0000A1080000}"/>
    <cellStyle name="20% - Énfasis3 4 8" xfId="7666" xr:uid="{00000000-0005-0000-0000-0000A2080000}"/>
    <cellStyle name="20% - Énfasis3 5" xfId="160" xr:uid="{00000000-0005-0000-0000-0000A3080000}"/>
    <cellStyle name="20% - Énfasis3 5 2" xfId="400" xr:uid="{00000000-0005-0000-0000-0000A4080000}"/>
    <cellStyle name="20% - Énfasis3 5 2 2" xfId="874" xr:uid="{00000000-0005-0000-0000-0000A5080000}"/>
    <cellStyle name="20% - Énfasis3 5 2 2 2" xfId="1820" xr:uid="{00000000-0005-0000-0000-0000A6080000}"/>
    <cellStyle name="20% - Énfasis3 5 2 2 2 2" xfId="3710" xr:uid="{00000000-0005-0000-0000-0000A7080000}"/>
    <cellStyle name="20% - Énfasis3 5 2 2 2 2 2" xfId="7489" xr:uid="{00000000-0005-0000-0000-0000A8080000}"/>
    <cellStyle name="20% - Énfasis3 5 2 2 2 2 3" xfId="11265" xr:uid="{00000000-0005-0000-0000-0000A9080000}"/>
    <cellStyle name="20% - Énfasis3 5 2 2 2 3" xfId="5601" xr:uid="{00000000-0005-0000-0000-0000AA080000}"/>
    <cellStyle name="20% - Énfasis3 5 2 2 2 4" xfId="9377" xr:uid="{00000000-0005-0000-0000-0000AB080000}"/>
    <cellStyle name="20% - Énfasis3 5 2 2 3" xfId="2766" xr:uid="{00000000-0005-0000-0000-0000AC080000}"/>
    <cellStyle name="20% - Énfasis3 5 2 2 3 2" xfId="6545" xr:uid="{00000000-0005-0000-0000-0000AD080000}"/>
    <cellStyle name="20% - Énfasis3 5 2 2 3 3" xfId="10321" xr:uid="{00000000-0005-0000-0000-0000AE080000}"/>
    <cellStyle name="20% - Énfasis3 5 2 2 4" xfId="4657" xr:uid="{00000000-0005-0000-0000-0000AF080000}"/>
    <cellStyle name="20% - Énfasis3 5 2 2 5" xfId="8433" xr:uid="{00000000-0005-0000-0000-0000B0080000}"/>
    <cellStyle name="20% - Énfasis3 5 2 3" xfId="1348" xr:uid="{00000000-0005-0000-0000-0000B1080000}"/>
    <cellStyle name="20% - Énfasis3 5 2 3 2" xfId="3238" xr:uid="{00000000-0005-0000-0000-0000B2080000}"/>
    <cellStyle name="20% - Énfasis3 5 2 3 2 2" xfId="7017" xr:uid="{00000000-0005-0000-0000-0000B3080000}"/>
    <cellStyle name="20% - Énfasis3 5 2 3 2 3" xfId="10793" xr:uid="{00000000-0005-0000-0000-0000B4080000}"/>
    <cellStyle name="20% - Énfasis3 5 2 3 3" xfId="5129" xr:uid="{00000000-0005-0000-0000-0000B5080000}"/>
    <cellStyle name="20% - Énfasis3 5 2 3 4" xfId="8905" xr:uid="{00000000-0005-0000-0000-0000B6080000}"/>
    <cellStyle name="20% - Énfasis3 5 2 4" xfId="2294" xr:uid="{00000000-0005-0000-0000-0000B7080000}"/>
    <cellStyle name="20% - Énfasis3 5 2 4 2" xfId="6073" xr:uid="{00000000-0005-0000-0000-0000B8080000}"/>
    <cellStyle name="20% - Énfasis3 5 2 4 3" xfId="9849" xr:uid="{00000000-0005-0000-0000-0000B9080000}"/>
    <cellStyle name="20% - Énfasis3 5 2 5" xfId="4185" xr:uid="{00000000-0005-0000-0000-0000BA080000}"/>
    <cellStyle name="20% - Énfasis3 5 2 6" xfId="7961" xr:uid="{00000000-0005-0000-0000-0000BB080000}"/>
    <cellStyle name="20% - Énfasis3 5 3" xfId="638" xr:uid="{00000000-0005-0000-0000-0000BC080000}"/>
    <cellStyle name="20% - Énfasis3 5 3 2" xfId="1584" xr:uid="{00000000-0005-0000-0000-0000BD080000}"/>
    <cellStyle name="20% - Énfasis3 5 3 2 2" xfId="3474" xr:uid="{00000000-0005-0000-0000-0000BE080000}"/>
    <cellStyle name="20% - Énfasis3 5 3 2 2 2" xfId="7253" xr:uid="{00000000-0005-0000-0000-0000BF080000}"/>
    <cellStyle name="20% - Énfasis3 5 3 2 2 3" xfId="11029" xr:uid="{00000000-0005-0000-0000-0000C0080000}"/>
    <cellStyle name="20% - Énfasis3 5 3 2 3" xfId="5365" xr:uid="{00000000-0005-0000-0000-0000C1080000}"/>
    <cellStyle name="20% - Énfasis3 5 3 2 4" xfId="9141" xr:uid="{00000000-0005-0000-0000-0000C2080000}"/>
    <cellStyle name="20% - Énfasis3 5 3 3" xfId="2530" xr:uid="{00000000-0005-0000-0000-0000C3080000}"/>
    <cellStyle name="20% - Énfasis3 5 3 3 2" xfId="6309" xr:uid="{00000000-0005-0000-0000-0000C4080000}"/>
    <cellStyle name="20% - Énfasis3 5 3 3 3" xfId="10085" xr:uid="{00000000-0005-0000-0000-0000C5080000}"/>
    <cellStyle name="20% - Énfasis3 5 3 4" xfId="4421" xr:uid="{00000000-0005-0000-0000-0000C6080000}"/>
    <cellStyle name="20% - Énfasis3 5 3 5" xfId="8197" xr:uid="{00000000-0005-0000-0000-0000C7080000}"/>
    <cellStyle name="20% - Énfasis3 5 4" xfId="1112" xr:uid="{00000000-0005-0000-0000-0000C8080000}"/>
    <cellStyle name="20% - Énfasis3 5 4 2" xfId="3002" xr:uid="{00000000-0005-0000-0000-0000C9080000}"/>
    <cellStyle name="20% - Énfasis3 5 4 2 2" xfId="6781" xr:uid="{00000000-0005-0000-0000-0000CA080000}"/>
    <cellStyle name="20% - Énfasis3 5 4 2 3" xfId="10557" xr:uid="{00000000-0005-0000-0000-0000CB080000}"/>
    <cellStyle name="20% - Énfasis3 5 4 3" xfId="4893" xr:uid="{00000000-0005-0000-0000-0000CC080000}"/>
    <cellStyle name="20% - Énfasis3 5 4 4" xfId="8669" xr:uid="{00000000-0005-0000-0000-0000CD080000}"/>
    <cellStyle name="20% - Énfasis3 5 5" xfId="2058" xr:uid="{00000000-0005-0000-0000-0000CE080000}"/>
    <cellStyle name="20% - Énfasis3 5 5 2" xfId="5837" xr:uid="{00000000-0005-0000-0000-0000CF080000}"/>
    <cellStyle name="20% - Énfasis3 5 5 3" xfId="9613" xr:uid="{00000000-0005-0000-0000-0000D0080000}"/>
    <cellStyle name="20% - Énfasis3 5 6" xfId="3949" xr:uid="{00000000-0005-0000-0000-0000D1080000}"/>
    <cellStyle name="20% - Énfasis3 5 7" xfId="7725" xr:uid="{00000000-0005-0000-0000-0000D2080000}"/>
    <cellStyle name="20% - Énfasis3 6" xfId="280" xr:uid="{00000000-0005-0000-0000-0000D3080000}"/>
    <cellStyle name="20% - Énfasis3 6 2" xfId="756" xr:uid="{00000000-0005-0000-0000-0000D4080000}"/>
    <cellStyle name="20% - Énfasis3 6 2 2" xfId="1702" xr:uid="{00000000-0005-0000-0000-0000D5080000}"/>
    <cellStyle name="20% - Énfasis3 6 2 2 2" xfId="3592" xr:uid="{00000000-0005-0000-0000-0000D6080000}"/>
    <cellStyle name="20% - Énfasis3 6 2 2 2 2" xfId="7371" xr:uid="{00000000-0005-0000-0000-0000D7080000}"/>
    <cellStyle name="20% - Énfasis3 6 2 2 2 3" xfId="11147" xr:uid="{00000000-0005-0000-0000-0000D8080000}"/>
    <cellStyle name="20% - Énfasis3 6 2 2 3" xfId="5483" xr:uid="{00000000-0005-0000-0000-0000D9080000}"/>
    <cellStyle name="20% - Énfasis3 6 2 2 4" xfId="9259" xr:uid="{00000000-0005-0000-0000-0000DA080000}"/>
    <cellStyle name="20% - Énfasis3 6 2 3" xfId="2648" xr:uid="{00000000-0005-0000-0000-0000DB080000}"/>
    <cellStyle name="20% - Énfasis3 6 2 3 2" xfId="6427" xr:uid="{00000000-0005-0000-0000-0000DC080000}"/>
    <cellStyle name="20% - Énfasis3 6 2 3 3" xfId="10203" xr:uid="{00000000-0005-0000-0000-0000DD080000}"/>
    <cellStyle name="20% - Énfasis3 6 2 4" xfId="4539" xr:uid="{00000000-0005-0000-0000-0000DE080000}"/>
    <cellStyle name="20% - Énfasis3 6 2 5" xfId="8315" xr:uid="{00000000-0005-0000-0000-0000DF080000}"/>
    <cellStyle name="20% - Énfasis3 6 3" xfId="1230" xr:uid="{00000000-0005-0000-0000-0000E0080000}"/>
    <cellStyle name="20% - Énfasis3 6 3 2" xfId="3120" xr:uid="{00000000-0005-0000-0000-0000E1080000}"/>
    <cellStyle name="20% - Énfasis3 6 3 2 2" xfId="6899" xr:uid="{00000000-0005-0000-0000-0000E2080000}"/>
    <cellStyle name="20% - Énfasis3 6 3 2 3" xfId="10675" xr:uid="{00000000-0005-0000-0000-0000E3080000}"/>
    <cellStyle name="20% - Énfasis3 6 3 3" xfId="5011" xr:uid="{00000000-0005-0000-0000-0000E4080000}"/>
    <cellStyle name="20% - Énfasis3 6 3 4" xfId="8787" xr:uid="{00000000-0005-0000-0000-0000E5080000}"/>
    <cellStyle name="20% - Énfasis3 6 4" xfId="2176" xr:uid="{00000000-0005-0000-0000-0000E6080000}"/>
    <cellStyle name="20% - Énfasis3 6 4 2" xfId="5955" xr:uid="{00000000-0005-0000-0000-0000E7080000}"/>
    <cellStyle name="20% - Énfasis3 6 4 3" xfId="9731" xr:uid="{00000000-0005-0000-0000-0000E8080000}"/>
    <cellStyle name="20% - Énfasis3 6 5" xfId="4067" xr:uid="{00000000-0005-0000-0000-0000E9080000}"/>
    <cellStyle name="20% - Énfasis3 6 6" xfId="7843" xr:uid="{00000000-0005-0000-0000-0000EA080000}"/>
    <cellStyle name="20% - Énfasis3 7" xfId="518" xr:uid="{00000000-0005-0000-0000-0000EB080000}"/>
    <cellStyle name="20% - Énfasis3 7 2" xfId="1466" xr:uid="{00000000-0005-0000-0000-0000EC080000}"/>
    <cellStyle name="20% - Énfasis3 7 2 2" xfId="3356" xr:uid="{00000000-0005-0000-0000-0000ED080000}"/>
    <cellStyle name="20% - Énfasis3 7 2 2 2" xfId="7135" xr:uid="{00000000-0005-0000-0000-0000EE080000}"/>
    <cellStyle name="20% - Énfasis3 7 2 2 3" xfId="10911" xr:uid="{00000000-0005-0000-0000-0000EF080000}"/>
    <cellStyle name="20% - Énfasis3 7 2 3" xfId="5247" xr:uid="{00000000-0005-0000-0000-0000F0080000}"/>
    <cellStyle name="20% - Énfasis3 7 2 4" xfId="9023" xr:uid="{00000000-0005-0000-0000-0000F1080000}"/>
    <cellStyle name="20% - Énfasis3 7 3" xfId="2412" xr:uid="{00000000-0005-0000-0000-0000F2080000}"/>
    <cellStyle name="20% - Énfasis3 7 3 2" xfId="6191" xr:uid="{00000000-0005-0000-0000-0000F3080000}"/>
    <cellStyle name="20% - Énfasis3 7 3 3" xfId="9967" xr:uid="{00000000-0005-0000-0000-0000F4080000}"/>
    <cellStyle name="20% - Énfasis3 7 4" xfId="4303" xr:uid="{00000000-0005-0000-0000-0000F5080000}"/>
    <cellStyle name="20% - Énfasis3 7 5" xfId="8079" xr:uid="{00000000-0005-0000-0000-0000F6080000}"/>
    <cellStyle name="20% - Énfasis3 8" xfId="992" xr:uid="{00000000-0005-0000-0000-0000F7080000}"/>
    <cellStyle name="20% - Énfasis3 8 2" xfId="2884" xr:uid="{00000000-0005-0000-0000-0000F8080000}"/>
    <cellStyle name="20% - Énfasis3 8 2 2" xfId="6663" xr:uid="{00000000-0005-0000-0000-0000F9080000}"/>
    <cellStyle name="20% - Énfasis3 8 2 3" xfId="10439" xr:uid="{00000000-0005-0000-0000-0000FA080000}"/>
    <cellStyle name="20% - Énfasis3 8 3" xfId="4775" xr:uid="{00000000-0005-0000-0000-0000FB080000}"/>
    <cellStyle name="20% - Énfasis3 8 4" xfId="8551" xr:uid="{00000000-0005-0000-0000-0000FC080000}"/>
    <cellStyle name="20% - Énfasis3 9" xfId="1938" xr:uid="{00000000-0005-0000-0000-0000FD080000}"/>
    <cellStyle name="20% - Énfasis3 9 2" xfId="5719" xr:uid="{00000000-0005-0000-0000-0000FE080000}"/>
    <cellStyle name="20% - Énfasis3 9 3" xfId="9495" xr:uid="{00000000-0005-0000-0000-0000FF080000}"/>
    <cellStyle name="20% - Énfasis4" xfId="31" builtinId="42" customBuiltin="1"/>
    <cellStyle name="20% - Énfasis4 10" xfId="3831" xr:uid="{00000000-0005-0000-0000-000001090000}"/>
    <cellStyle name="20% - Énfasis4 11" xfId="7609" xr:uid="{00000000-0005-0000-0000-000002090000}"/>
    <cellStyle name="20% - Énfasis4 2" xfId="52" xr:uid="{00000000-0005-0000-0000-000003090000}"/>
    <cellStyle name="20% - Énfasis4 2 10" xfId="7625" xr:uid="{00000000-0005-0000-0000-000004090000}"/>
    <cellStyle name="20% - Énfasis4 2 2" xfId="83" xr:uid="{00000000-0005-0000-0000-000005090000}"/>
    <cellStyle name="20% - Énfasis4 2 2 2" xfId="146" xr:uid="{00000000-0005-0000-0000-000006090000}"/>
    <cellStyle name="20% - Énfasis4 2 2 2 2" xfId="268" xr:uid="{00000000-0005-0000-0000-000007090000}"/>
    <cellStyle name="20% - Énfasis4 2 2 2 2 2" xfId="506" xr:uid="{00000000-0005-0000-0000-000008090000}"/>
    <cellStyle name="20% - Énfasis4 2 2 2 2 2 2" xfId="980" xr:uid="{00000000-0005-0000-0000-000009090000}"/>
    <cellStyle name="20% - Énfasis4 2 2 2 2 2 2 2" xfId="1926" xr:uid="{00000000-0005-0000-0000-00000A090000}"/>
    <cellStyle name="20% - Énfasis4 2 2 2 2 2 2 2 2" xfId="3816" xr:uid="{00000000-0005-0000-0000-00000B090000}"/>
    <cellStyle name="20% - Énfasis4 2 2 2 2 2 2 2 2 2" xfId="7595" xr:uid="{00000000-0005-0000-0000-00000C090000}"/>
    <cellStyle name="20% - Énfasis4 2 2 2 2 2 2 2 2 3" xfId="11371" xr:uid="{00000000-0005-0000-0000-00000D090000}"/>
    <cellStyle name="20% - Énfasis4 2 2 2 2 2 2 2 3" xfId="5707" xr:uid="{00000000-0005-0000-0000-00000E090000}"/>
    <cellStyle name="20% - Énfasis4 2 2 2 2 2 2 2 4" xfId="9483" xr:uid="{00000000-0005-0000-0000-00000F090000}"/>
    <cellStyle name="20% - Énfasis4 2 2 2 2 2 2 3" xfId="2872" xr:uid="{00000000-0005-0000-0000-000010090000}"/>
    <cellStyle name="20% - Énfasis4 2 2 2 2 2 2 3 2" xfId="6651" xr:uid="{00000000-0005-0000-0000-000011090000}"/>
    <cellStyle name="20% - Énfasis4 2 2 2 2 2 2 3 3" xfId="10427" xr:uid="{00000000-0005-0000-0000-000012090000}"/>
    <cellStyle name="20% - Énfasis4 2 2 2 2 2 2 4" xfId="4763" xr:uid="{00000000-0005-0000-0000-000013090000}"/>
    <cellStyle name="20% - Énfasis4 2 2 2 2 2 2 5" xfId="8539" xr:uid="{00000000-0005-0000-0000-000014090000}"/>
    <cellStyle name="20% - Énfasis4 2 2 2 2 2 3" xfId="1454" xr:uid="{00000000-0005-0000-0000-000015090000}"/>
    <cellStyle name="20% - Énfasis4 2 2 2 2 2 3 2" xfId="3344" xr:uid="{00000000-0005-0000-0000-000016090000}"/>
    <cellStyle name="20% - Énfasis4 2 2 2 2 2 3 2 2" xfId="7123" xr:uid="{00000000-0005-0000-0000-000017090000}"/>
    <cellStyle name="20% - Énfasis4 2 2 2 2 2 3 2 3" xfId="10899" xr:uid="{00000000-0005-0000-0000-000018090000}"/>
    <cellStyle name="20% - Énfasis4 2 2 2 2 2 3 3" xfId="5235" xr:uid="{00000000-0005-0000-0000-000019090000}"/>
    <cellStyle name="20% - Énfasis4 2 2 2 2 2 3 4" xfId="9011" xr:uid="{00000000-0005-0000-0000-00001A090000}"/>
    <cellStyle name="20% - Énfasis4 2 2 2 2 2 4" xfId="2400" xr:uid="{00000000-0005-0000-0000-00001B090000}"/>
    <cellStyle name="20% - Énfasis4 2 2 2 2 2 4 2" xfId="6179" xr:uid="{00000000-0005-0000-0000-00001C090000}"/>
    <cellStyle name="20% - Énfasis4 2 2 2 2 2 4 3" xfId="9955" xr:uid="{00000000-0005-0000-0000-00001D090000}"/>
    <cellStyle name="20% - Énfasis4 2 2 2 2 2 5" xfId="4291" xr:uid="{00000000-0005-0000-0000-00001E090000}"/>
    <cellStyle name="20% - Énfasis4 2 2 2 2 2 6" xfId="8067" xr:uid="{00000000-0005-0000-0000-00001F090000}"/>
    <cellStyle name="20% - Énfasis4 2 2 2 2 3" xfId="744" xr:uid="{00000000-0005-0000-0000-000020090000}"/>
    <cellStyle name="20% - Énfasis4 2 2 2 2 3 2" xfId="1690" xr:uid="{00000000-0005-0000-0000-000021090000}"/>
    <cellStyle name="20% - Énfasis4 2 2 2 2 3 2 2" xfId="3580" xr:uid="{00000000-0005-0000-0000-000022090000}"/>
    <cellStyle name="20% - Énfasis4 2 2 2 2 3 2 2 2" xfId="7359" xr:uid="{00000000-0005-0000-0000-000023090000}"/>
    <cellStyle name="20% - Énfasis4 2 2 2 2 3 2 2 3" xfId="11135" xr:uid="{00000000-0005-0000-0000-000024090000}"/>
    <cellStyle name="20% - Énfasis4 2 2 2 2 3 2 3" xfId="5471" xr:uid="{00000000-0005-0000-0000-000025090000}"/>
    <cellStyle name="20% - Énfasis4 2 2 2 2 3 2 4" xfId="9247" xr:uid="{00000000-0005-0000-0000-000026090000}"/>
    <cellStyle name="20% - Énfasis4 2 2 2 2 3 3" xfId="2636" xr:uid="{00000000-0005-0000-0000-000027090000}"/>
    <cellStyle name="20% - Énfasis4 2 2 2 2 3 3 2" xfId="6415" xr:uid="{00000000-0005-0000-0000-000028090000}"/>
    <cellStyle name="20% - Énfasis4 2 2 2 2 3 3 3" xfId="10191" xr:uid="{00000000-0005-0000-0000-000029090000}"/>
    <cellStyle name="20% - Énfasis4 2 2 2 2 3 4" xfId="4527" xr:uid="{00000000-0005-0000-0000-00002A090000}"/>
    <cellStyle name="20% - Énfasis4 2 2 2 2 3 5" xfId="8303" xr:uid="{00000000-0005-0000-0000-00002B090000}"/>
    <cellStyle name="20% - Énfasis4 2 2 2 2 4" xfId="1218" xr:uid="{00000000-0005-0000-0000-00002C090000}"/>
    <cellStyle name="20% - Énfasis4 2 2 2 2 4 2" xfId="3108" xr:uid="{00000000-0005-0000-0000-00002D090000}"/>
    <cellStyle name="20% - Énfasis4 2 2 2 2 4 2 2" xfId="6887" xr:uid="{00000000-0005-0000-0000-00002E090000}"/>
    <cellStyle name="20% - Énfasis4 2 2 2 2 4 2 3" xfId="10663" xr:uid="{00000000-0005-0000-0000-00002F090000}"/>
    <cellStyle name="20% - Énfasis4 2 2 2 2 4 3" xfId="4999" xr:uid="{00000000-0005-0000-0000-000030090000}"/>
    <cellStyle name="20% - Énfasis4 2 2 2 2 4 4" xfId="8775" xr:uid="{00000000-0005-0000-0000-000031090000}"/>
    <cellStyle name="20% - Énfasis4 2 2 2 2 5" xfId="2164" xr:uid="{00000000-0005-0000-0000-000032090000}"/>
    <cellStyle name="20% - Énfasis4 2 2 2 2 5 2" xfId="5943" xr:uid="{00000000-0005-0000-0000-000033090000}"/>
    <cellStyle name="20% - Énfasis4 2 2 2 2 5 3" xfId="9719" xr:uid="{00000000-0005-0000-0000-000034090000}"/>
    <cellStyle name="20% - Énfasis4 2 2 2 2 6" xfId="4055" xr:uid="{00000000-0005-0000-0000-000035090000}"/>
    <cellStyle name="20% - Énfasis4 2 2 2 2 7" xfId="7831" xr:uid="{00000000-0005-0000-0000-000036090000}"/>
    <cellStyle name="20% - Énfasis4 2 2 2 3" xfId="388" xr:uid="{00000000-0005-0000-0000-000037090000}"/>
    <cellStyle name="20% - Énfasis4 2 2 2 3 2" xfId="862" xr:uid="{00000000-0005-0000-0000-000038090000}"/>
    <cellStyle name="20% - Énfasis4 2 2 2 3 2 2" xfId="1808" xr:uid="{00000000-0005-0000-0000-000039090000}"/>
    <cellStyle name="20% - Énfasis4 2 2 2 3 2 2 2" xfId="3698" xr:uid="{00000000-0005-0000-0000-00003A090000}"/>
    <cellStyle name="20% - Énfasis4 2 2 2 3 2 2 2 2" xfId="7477" xr:uid="{00000000-0005-0000-0000-00003B090000}"/>
    <cellStyle name="20% - Énfasis4 2 2 2 3 2 2 2 3" xfId="11253" xr:uid="{00000000-0005-0000-0000-00003C090000}"/>
    <cellStyle name="20% - Énfasis4 2 2 2 3 2 2 3" xfId="5589" xr:uid="{00000000-0005-0000-0000-00003D090000}"/>
    <cellStyle name="20% - Énfasis4 2 2 2 3 2 2 4" xfId="9365" xr:uid="{00000000-0005-0000-0000-00003E090000}"/>
    <cellStyle name="20% - Énfasis4 2 2 2 3 2 3" xfId="2754" xr:uid="{00000000-0005-0000-0000-00003F090000}"/>
    <cellStyle name="20% - Énfasis4 2 2 2 3 2 3 2" xfId="6533" xr:uid="{00000000-0005-0000-0000-000040090000}"/>
    <cellStyle name="20% - Énfasis4 2 2 2 3 2 3 3" xfId="10309" xr:uid="{00000000-0005-0000-0000-000041090000}"/>
    <cellStyle name="20% - Énfasis4 2 2 2 3 2 4" xfId="4645" xr:uid="{00000000-0005-0000-0000-000042090000}"/>
    <cellStyle name="20% - Énfasis4 2 2 2 3 2 5" xfId="8421" xr:uid="{00000000-0005-0000-0000-000043090000}"/>
    <cellStyle name="20% - Énfasis4 2 2 2 3 3" xfId="1336" xr:uid="{00000000-0005-0000-0000-000044090000}"/>
    <cellStyle name="20% - Énfasis4 2 2 2 3 3 2" xfId="3226" xr:uid="{00000000-0005-0000-0000-000045090000}"/>
    <cellStyle name="20% - Énfasis4 2 2 2 3 3 2 2" xfId="7005" xr:uid="{00000000-0005-0000-0000-000046090000}"/>
    <cellStyle name="20% - Énfasis4 2 2 2 3 3 2 3" xfId="10781" xr:uid="{00000000-0005-0000-0000-000047090000}"/>
    <cellStyle name="20% - Énfasis4 2 2 2 3 3 3" xfId="5117" xr:uid="{00000000-0005-0000-0000-000048090000}"/>
    <cellStyle name="20% - Énfasis4 2 2 2 3 3 4" xfId="8893" xr:uid="{00000000-0005-0000-0000-000049090000}"/>
    <cellStyle name="20% - Énfasis4 2 2 2 3 4" xfId="2282" xr:uid="{00000000-0005-0000-0000-00004A090000}"/>
    <cellStyle name="20% - Énfasis4 2 2 2 3 4 2" xfId="6061" xr:uid="{00000000-0005-0000-0000-00004B090000}"/>
    <cellStyle name="20% - Énfasis4 2 2 2 3 4 3" xfId="9837" xr:uid="{00000000-0005-0000-0000-00004C090000}"/>
    <cellStyle name="20% - Énfasis4 2 2 2 3 5" xfId="4173" xr:uid="{00000000-0005-0000-0000-00004D090000}"/>
    <cellStyle name="20% - Énfasis4 2 2 2 3 6" xfId="7949" xr:uid="{00000000-0005-0000-0000-00004E090000}"/>
    <cellStyle name="20% - Énfasis4 2 2 2 4" xfId="626" xr:uid="{00000000-0005-0000-0000-00004F090000}"/>
    <cellStyle name="20% - Énfasis4 2 2 2 4 2" xfId="1572" xr:uid="{00000000-0005-0000-0000-000050090000}"/>
    <cellStyle name="20% - Énfasis4 2 2 2 4 2 2" xfId="3462" xr:uid="{00000000-0005-0000-0000-000051090000}"/>
    <cellStyle name="20% - Énfasis4 2 2 2 4 2 2 2" xfId="7241" xr:uid="{00000000-0005-0000-0000-000052090000}"/>
    <cellStyle name="20% - Énfasis4 2 2 2 4 2 2 3" xfId="11017" xr:uid="{00000000-0005-0000-0000-000053090000}"/>
    <cellStyle name="20% - Énfasis4 2 2 2 4 2 3" xfId="5353" xr:uid="{00000000-0005-0000-0000-000054090000}"/>
    <cellStyle name="20% - Énfasis4 2 2 2 4 2 4" xfId="9129" xr:uid="{00000000-0005-0000-0000-000055090000}"/>
    <cellStyle name="20% - Énfasis4 2 2 2 4 3" xfId="2518" xr:uid="{00000000-0005-0000-0000-000056090000}"/>
    <cellStyle name="20% - Énfasis4 2 2 2 4 3 2" xfId="6297" xr:uid="{00000000-0005-0000-0000-000057090000}"/>
    <cellStyle name="20% - Énfasis4 2 2 2 4 3 3" xfId="10073" xr:uid="{00000000-0005-0000-0000-000058090000}"/>
    <cellStyle name="20% - Énfasis4 2 2 2 4 4" xfId="4409" xr:uid="{00000000-0005-0000-0000-000059090000}"/>
    <cellStyle name="20% - Énfasis4 2 2 2 4 5" xfId="8185" xr:uid="{00000000-0005-0000-0000-00005A090000}"/>
    <cellStyle name="20% - Énfasis4 2 2 2 5" xfId="1100" xr:uid="{00000000-0005-0000-0000-00005B090000}"/>
    <cellStyle name="20% - Énfasis4 2 2 2 5 2" xfId="2990" xr:uid="{00000000-0005-0000-0000-00005C090000}"/>
    <cellStyle name="20% - Énfasis4 2 2 2 5 2 2" xfId="6769" xr:uid="{00000000-0005-0000-0000-00005D090000}"/>
    <cellStyle name="20% - Énfasis4 2 2 2 5 2 3" xfId="10545" xr:uid="{00000000-0005-0000-0000-00005E090000}"/>
    <cellStyle name="20% - Énfasis4 2 2 2 5 3" xfId="4881" xr:uid="{00000000-0005-0000-0000-00005F090000}"/>
    <cellStyle name="20% - Énfasis4 2 2 2 5 4" xfId="8657" xr:uid="{00000000-0005-0000-0000-000060090000}"/>
    <cellStyle name="20% - Énfasis4 2 2 2 6" xfId="2046" xr:uid="{00000000-0005-0000-0000-000061090000}"/>
    <cellStyle name="20% - Énfasis4 2 2 2 6 2" xfId="5825" xr:uid="{00000000-0005-0000-0000-000062090000}"/>
    <cellStyle name="20% - Énfasis4 2 2 2 6 3" xfId="9601" xr:uid="{00000000-0005-0000-0000-000063090000}"/>
    <cellStyle name="20% - Énfasis4 2 2 2 7" xfId="3937" xr:uid="{00000000-0005-0000-0000-000064090000}"/>
    <cellStyle name="20% - Énfasis4 2 2 2 8" xfId="7713" xr:uid="{00000000-0005-0000-0000-000065090000}"/>
    <cellStyle name="20% - Énfasis4 2 2 3" xfId="209" xr:uid="{00000000-0005-0000-0000-000066090000}"/>
    <cellStyle name="20% - Énfasis4 2 2 3 2" xfId="447" xr:uid="{00000000-0005-0000-0000-000067090000}"/>
    <cellStyle name="20% - Énfasis4 2 2 3 2 2" xfId="921" xr:uid="{00000000-0005-0000-0000-000068090000}"/>
    <cellStyle name="20% - Énfasis4 2 2 3 2 2 2" xfId="1867" xr:uid="{00000000-0005-0000-0000-000069090000}"/>
    <cellStyle name="20% - Énfasis4 2 2 3 2 2 2 2" xfId="3757" xr:uid="{00000000-0005-0000-0000-00006A090000}"/>
    <cellStyle name="20% - Énfasis4 2 2 3 2 2 2 2 2" xfId="7536" xr:uid="{00000000-0005-0000-0000-00006B090000}"/>
    <cellStyle name="20% - Énfasis4 2 2 3 2 2 2 2 3" xfId="11312" xr:uid="{00000000-0005-0000-0000-00006C090000}"/>
    <cellStyle name="20% - Énfasis4 2 2 3 2 2 2 3" xfId="5648" xr:uid="{00000000-0005-0000-0000-00006D090000}"/>
    <cellStyle name="20% - Énfasis4 2 2 3 2 2 2 4" xfId="9424" xr:uid="{00000000-0005-0000-0000-00006E090000}"/>
    <cellStyle name="20% - Énfasis4 2 2 3 2 2 3" xfId="2813" xr:uid="{00000000-0005-0000-0000-00006F090000}"/>
    <cellStyle name="20% - Énfasis4 2 2 3 2 2 3 2" xfId="6592" xr:uid="{00000000-0005-0000-0000-000070090000}"/>
    <cellStyle name="20% - Énfasis4 2 2 3 2 2 3 3" xfId="10368" xr:uid="{00000000-0005-0000-0000-000071090000}"/>
    <cellStyle name="20% - Énfasis4 2 2 3 2 2 4" xfId="4704" xr:uid="{00000000-0005-0000-0000-000072090000}"/>
    <cellStyle name="20% - Énfasis4 2 2 3 2 2 5" xfId="8480" xr:uid="{00000000-0005-0000-0000-000073090000}"/>
    <cellStyle name="20% - Énfasis4 2 2 3 2 3" xfId="1395" xr:uid="{00000000-0005-0000-0000-000074090000}"/>
    <cellStyle name="20% - Énfasis4 2 2 3 2 3 2" xfId="3285" xr:uid="{00000000-0005-0000-0000-000075090000}"/>
    <cellStyle name="20% - Énfasis4 2 2 3 2 3 2 2" xfId="7064" xr:uid="{00000000-0005-0000-0000-000076090000}"/>
    <cellStyle name="20% - Énfasis4 2 2 3 2 3 2 3" xfId="10840" xr:uid="{00000000-0005-0000-0000-000077090000}"/>
    <cellStyle name="20% - Énfasis4 2 2 3 2 3 3" xfId="5176" xr:uid="{00000000-0005-0000-0000-000078090000}"/>
    <cellStyle name="20% - Énfasis4 2 2 3 2 3 4" xfId="8952" xr:uid="{00000000-0005-0000-0000-000079090000}"/>
    <cellStyle name="20% - Énfasis4 2 2 3 2 4" xfId="2341" xr:uid="{00000000-0005-0000-0000-00007A090000}"/>
    <cellStyle name="20% - Énfasis4 2 2 3 2 4 2" xfId="6120" xr:uid="{00000000-0005-0000-0000-00007B090000}"/>
    <cellStyle name="20% - Énfasis4 2 2 3 2 4 3" xfId="9896" xr:uid="{00000000-0005-0000-0000-00007C090000}"/>
    <cellStyle name="20% - Énfasis4 2 2 3 2 5" xfId="4232" xr:uid="{00000000-0005-0000-0000-00007D090000}"/>
    <cellStyle name="20% - Énfasis4 2 2 3 2 6" xfId="8008" xr:uid="{00000000-0005-0000-0000-00007E090000}"/>
    <cellStyle name="20% - Énfasis4 2 2 3 3" xfId="685" xr:uid="{00000000-0005-0000-0000-00007F090000}"/>
    <cellStyle name="20% - Énfasis4 2 2 3 3 2" xfId="1631" xr:uid="{00000000-0005-0000-0000-000080090000}"/>
    <cellStyle name="20% - Énfasis4 2 2 3 3 2 2" xfId="3521" xr:uid="{00000000-0005-0000-0000-000081090000}"/>
    <cellStyle name="20% - Énfasis4 2 2 3 3 2 2 2" xfId="7300" xr:uid="{00000000-0005-0000-0000-000082090000}"/>
    <cellStyle name="20% - Énfasis4 2 2 3 3 2 2 3" xfId="11076" xr:uid="{00000000-0005-0000-0000-000083090000}"/>
    <cellStyle name="20% - Énfasis4 2 2 3 3 2 3" xfId="5412" xr:uid="{00000000-0005-0000-0000-000084090000}"/>
    <cellStyle name="20% - Énfasis4 2 2 3 3 2 4" xfId="9188" xr:uid="{00000000-0005-0000-0000-000085090000}"/>
    <cellStyle name="20% - Énfasis4 2 2 3 3 3" xfId="2577" xr:uid="{00000000-0005-0000-0000-000086090000}"/>
    <cellStyle name="20% - Énfasis4 2 2 3 3 3 2" xfId="6356" xr:uid="{00000000-0005-0000-0000-000087090000}"/>
    <cellStyle name="20% - Énfasis4 2 2 3 3 3 3" xfId="10132" xr:uid="{00000000-0005-0000-0000-000088090000}"/>
    <cellStyle name="20% - Énfasis4 2 2 3 3 4" xfId="4468" xr:uid="{00000000-0005-0000-0000-000089090000}"/>
    <cellStyle name="20% - Énfasis4 2 2 3 3 5" xfId="8244" xr:uid="{00000000-0005-0000-0000-00008A090000}"/>
    <cellStyle name="20% - Énfasis4 2 2 3 4" xfId="1159" xr:uid="{00000000-0005-0000-0000-00008B090000}"/>
    <cellStyle name="20% - Énfasis4 2 2 3 4 2" xfId="3049" xr:uid="{00000000-0005-0000-0000-00008C090000}"/>
    <cellStyle name="20% - Énfasis4 2 2 3 4 2 2" xfId="6828" xr:uid="{00000000-0005-0000-0000-00008D090000}"/>
    <cellStyle name="20% - Énfasis4 2 2 3 4 2 3" xfId="10604" xr:uid="{00000000-0005-0000-0000-00008E090000}"/>
    <cellStyle name="20% - Énfasis4 2 2 3 4 3" xfId="4940" xr:uid="{00000000-0005-0000-0000-00008F090000}"/>
    <cellStyle name="20% - Énfasis4 2 2 3 4 4" xfId="8716" xr:uid="{00000000-0005-0000-0000-000090090000}"/>
    <cellStyle name="20% - Énfasis4 2 2 3 5" xfId="2105" xr:uid="{00000000-0005-0000-0000-000091090000}"/>
    <cellStyle name="20% - Énfasis4 2 2 3 5 2" xfId="5884" xr:uid="{00000000-0005-0000-0000-000092090000}"/>
    <cellStyle name="20% - Énfasis4 2 2 3 5 3" xfId="9660" xr:uid="{00000000-0005-0000-0000-000093090000}"/>
    <cellStyle name="20% - Énfasis4 2 2 3 6" xfId="3996" xr:uid="{00000000-0005-0000-0000-000094090000}"/>
    <cellStyle name="20% - Énfasis4 2 2 3 7" xfId="7772" xr:uid="{00000000-0005-0000-0000-000095090000}"/>
    <cellStyle name="20% - Énfasis4 2 2 4" xfId="329" xr:uid="{00000000-0005-0000-0000-000096090000}"/>
    <cellStyle name="20% - Énfasis4 2 2 4 2" xfId="803" xr:uid="{00000000-0005-0000-0000-000097090000}"/>
    <cellStyle name="20% - Énfasis4 2 2 4 2 2" xfId="1749" xr:uid="{00000000-0005-0000-0000-000098090000}"/>
    <cellStyle name="20% - Énfasis4 2 2 4 2 2 2" xfId="3639" xr:uid="{00000000-0005-0000-0000-000099090000}"/>
    <cellStyle name="20% - Énfasis4 2 2 4 2 2 2 2" xfId="7418" xr:uid="{00000000-0005-0000-0000-00009A090000}"/>
    <cellStyle name="20% - Énfasis4 2 2 4 2 2 2 3" xfId="11194" xr:uid="{00000000-0005-0000-0000-00009B090000}"/>
    <cellStyle name="20% - Énfasis4 2 2 4 2 2 3" xfId="5530" xr:uid="{00000000-0005-0000-0000-00009C090000}"/>
    <cellStyle name="20% - Énfasis4 2 2 4 2 2 4" xfId="9306" xr:uid="{00000000-0005-0000-0000-00009D090000}"/>
    <cellStyle name="20% - Énfasis4 2 2 4 2 3" xfId="2695" xr:uid="{00000000-0005-0000-0000-00009E090000}"/>
    <cellStyle name="20% - Énfasis4 2 2 4 2 3 2" xfId="6474" xr:uid="{00000000-0005-0000-0000-00009F090000}"/>
    <cellStyle name="20% - Énfasis4 2 2 4 2 3 3" xfId="10250" xr:uid="{00000000-0005-0000-0000-0000A0090000}"/>
    <cellStyle name="20% - Énfasis4 2 2 4 2 4" xfId="4586" xr:uid="{00000000-0005-0000-0000-0000A1090000}"/>
    <cellStyle name="20% - Énfasis4 2 2 4 2 5" xfId="8362" xr:uid="{00000000-0005-0000-0000-0000A2090000}"/>
    <cellStyle name="20% - Énfasis4 2 2 4 3" xfId="1277" xr:uid="{00000000-0005-0000-0000-0000A3090000}"/>
    <cellStyle name="20% - Énfasis4 2 2 4 3 2" xfId="3167" xr:uid="{00000000-0005-0000-0000-0000A4090000}"/>
    <cellStyle name="20% - Énfasis4 2 2 4 3 2 2" xfId="6946" xr:uid="{00000000-0005-0000-0000-0000A5090000}"/>
    <cellStyle name="20% - Énfasis4 2 2 4 3 2 3" xfId="10722" xr:uid="{00000000-0005-0000-0000-0000A6090000}"/>
    <cellStyle name="20% - Énfasis4 2 2 4 3 3" xfId="5058" xr:uid="{00000000-0005-0000-0000-0000A7090000}"/>
    <cellStyle name="20% - Énfasis4 2 2 4 3 4" xfId="8834" xr:uid="{00000000-0005-0000-0000-0000A8090000}"/>
    <cellStyle name="20% - Énfasis4 2 2 4 4" xfId="2223" xr:uid="{00000000-0005-0000-0000-0000A9090000}"/>
    <cellStyle name="20% - Énfasis4 2 2 4 4 2" xfId="6002" xr:uid="{00000000-0005-0000-0000-0000AA090000}"/>
    <cellStyle name="20% - Énfasis4 2 2 4 4 3" xfId="9778" xr:uid="{00000000-0005-0000-0000-0000AB090000}"/>
    <cellStyle name="20% - Énfasis4 2 2 4 5" xfId="4114" xr:uid="{00000000-0005-0000-0000-0000AC090000}"/>
    <cellStyle name="20% - Énfasis4 2 2 4 6" xfId="7890" xr:uid="{00000000-0005-0000-0000-0000AD090000}"/>
    <cellStyle name="20% - Énfasis4 2 2 5" xfId="567" xr:uid="{00000000-0005-0000-0000-0000AE090000}"/>
    <cellStyle name="20% - Énfasis4 2 2 5 2" xfId="1513" xr:uid="{00000000-0005-0000-0000-0000AF090000}"/>
    <cellStyle name="20% - Énfasis4 2 2 5 2 2" xfId="3403" xr:uid="{00000000-0005-0000-0000-0000B0090000}"/>
    <cellStyle name="20% - Énfasis4 2 2 5 2 2 2" xfId="7182" xr:uid="{00000000-0005-0000-0000-0000B1090000}"/>
    <cellStyle name="20% - Énfasis4 2 2 5 2 2 3" xfId="10958" xr:uid="{00000000-0005-0000-0000-0000B2090000}"/>
    <cellStyle name="20% - Énfasis4 2 2 5 2 3" xfId="5294" xr:uid="{00000000-0005-0000-0000-0000B3090000}"/>
    <cellStyle name="20% - Énfasis4 2 2 5 2 4" xfId="9070" xr:uid="{00000000-0005-0000-0000-0000B4090000}"/>
    <cellStyle name="20% - Énfasis4 2 2 5 3" xfId="2459" xr:uid="{00000000-0005-0000-0000-0000B5090000}"/>
    <cellStyle name="20% - Énfasis4 2 2 5 3 2" xfId="6238" xr:uid="{00000000-0005-0000-0000-0000B6090000}"/>
    <cellStyle name="20% - Énfasis4 2 2 5 3 3" xfId="10014" xr:uid="{00000000-0005-0000-0000-0000B7090000}"/>
    <cellStyle name="20% - Énfasis4 2 2 5 4" xfId="4350" xr:uid="{00000000-0005-0000-0000-0000B8090000}"/>
    <cellStyle name="20% - Énfasis4 2 2 5 5" xfId="8126" xr:uid="{00000000-0005-0000-0000-0000B9090000}"/>
    <cellStyle name="20% - Énfasis4 2 2 6" xfId="1041" xr:uid="{00000000-0005-0000-0000-0000BA090000}"/>
    <cellStyle name="20% - Énfasis4 2 2 6 2" xfId="2931" xr:uid="{00000000-0005-0000-0000-0000BB090000}"/>
    <cellStyle name="20% - Énfasis4 2 2 6 2 2" xfId="6710" xr:uid="{00000000-0005-0000-0000-0000BC090000}"/>
    <cellStyle name="20% - Énfasis4 2 2 6 2 3" xfId="10486" xr:uid="{00000000-0005-0000-0000-0000BD090000}"/>
    <cellStyle name="20% - Énfasis4 2 2 6 3" xfId="4822" xr:uid="{00000000-0005-0000-0000-0000BE090000}"/>
    <cellStyle name="20% - Énfasis4 2 2 6 4" xfId="8598" xr:uid="{00000000-0005-0000-0000-0000BF090000}"/>
    <cellStyle name="20% - Énfasis4 2 2 7" xfId="1987" xr:uid="{00000000-0005-0000-0000-0000C0090000}"/>
    <cellStyle name="20% - Énfasis4 2 2 7 2" xfId="5766" xr:uid="{00000000-0005-0000-0000-0000C1090000}"/>
    <cellStyle name="20% - Énfasis4 2 2 7 3" xfId="9542" xr:uid="{00000000-0005-0000-0000-0000C2090000}"/>
    <cellStyle name="20% - Énfasis4 2 2 8" xfId="3878" xr:uid="{00000000-0005-0000-0000-0000C3090000}"/>
    <cellStyle name="20% - Énfasis4 2 2 9" xfId="7654" xr:uid="{00000000-0005-0000-0000-0000C4090000}"/>
    <cellStyle name="20% - Énfasis4 2 3" xfId="116" xr:uid="{00000000-0005-0000-0000-0000C5090000}"/>
    <cellStyle name="20% - Énfasis4 2 3 2" xfId="239" xr:uid="{00000000-0005-0000-0000-0000C6090000}"/>
    <cellStyle name="20% - Énfasis4 2 3 2 2" xfId="477" xr:uid="{00000000-0005-0000-0000-0000C7090000}"/>
    <cellStyle name="20% - Énfasis4 2 3 2 2 2" xfId="951" xr:uid="{00000000-0005-0000-0000-0000C8090000}"/>
    <cellStyle name="20% - Énfasis4 2 3 2 2 2 2" xfId="1897" xr:uid="{00000000-0005-0000-0000-0000C9090000}"/>
    <cellStyle name="20% - Énfasis4 2 3 2 2 2 2 2" xfId="3787" xr:uid="{00000000-0005-0000-0000-0000CA090000}"/>
    <cellStyle name="20% - Énfasis4 2 3 2 2 2 2 2 2" xfId="7566" xr:uid="{00000000-0005-0000-0000-0000CB090000}"/>
    <cellStyle name="20% - Énfasis4 2 3 2 2 2 2 2 3" xfId="11342" xr:uid="{00000000-0005-0000-0000-0000CC090000}"/>
    <cellStyle name="20% - Énfasis4 2 3 2 2 2 2 3" xfId="5678" xr:uid="{00000000-0005-0000-0000-0000CD090000}"/>
    <cellStyle name="20% - Énfasis4 2 3 2 2 2 2 4" xfId="9454" xr:uid="{00000000-0005-0000-0000-0000CE090000}"/>
    <cellStyle name="20% - Énfasis4 2 3 2 2 2 3" xfId="2843" xr:uid="{00000000-0005-0000-0000-0000CF090000}"/>
    <cellStyle name="20% - Énfasis4 2 3 2 2 2 3 2" xfId="6622" xr:uid="{00000000-0005-0000-0000-0000D0090000}"/>
    <cellStyle name="20% - Énfasis4 2 3 2 2 2 3 3" xfId="10398" xr:uid="{00000000-0005-0000-0000-0000D1090000}"/>
    <cellStyle name="20% - Énfasis4 2 3 2 2 2 4" xfId="4734" xr:uid="{00000000-0005-0000-0000-0000D2090000}"/>
    <cellStyle name="20% - Énfasis4 2 3 2 2 2 5" xfId="8510" xr:uid="{00000000-0005-0000-0000-0000D3090000}"/>
    <cellStyle name="20% - Énfasis4 2 3 2 2 3" xfId="1425" xr:uid="{00000000-0005-0000-0000-0000D4090000}"/>
    <cellStyle name="20% - Énfasis4 2 3 2 2 3 2" xfId="3315" xr:uid="{00000000-0005-0000-0000-0000D5090000}"/>
    <cellStyle name="20% - Énfasis4 2 3 2 2 3 2 2" xfId="7094" xr:uid="{00000000-0005-0000-0000-0000D6090000}"/>
    <cellStyle name="20% - Énfasis4 2 3 2 2 3 2 3" xfId="10870" xr:uid="{00000000-0005-0000-0000-0000D7090000}"/>
    <cellStyle name="20% - Énfasis4 2 3 2 2 3 3" xfId="5206" xr:uid="{00000000-0005-0000-0000-0000D8090000}"/>
    <cellStyle name="20% - Énfasis4 2 3 2 2 3 4" xfId="8982" xr:uid="{00000000-0005-0000-0000-0000D9090000}"/>
    <cellStyle name="20% - Énfasis4 2 3 2 2 4" xfId="2371" xr:uid="{00000000-0005-0000-0000-0000DA090000}"/>
    <cellStyle name="20% - Énfasis4 2 3 2 2 4 2" xfId="6150" xr:uid="{00000000-0005-0000-0000-0000DB090000}"/>
    <cellStyle name="20% - Énfasis4 2 3 2 2 4 3" xfId="9926" xr:uid="{00000000-0005-0000-0000-0000DC090000}"/>
    <cellStyle name="20% - Énfasis4 2 3 2 2 5" xfId="4262" xr:uid="{00000000-0005-0000-0000-0000DD090000}"/>
    <cellStyle name="20% - Énfasis4 2 3 2 2 6" xfId="8038" xr:uid="{00000000-0005-0000-0000-0000DE090000}"/>
    <cellStyle name="20% - Énfasis4 2 3 2 3" xfId="715" xr:uid="{00000000-0005-0000-0000-0000DF090000}"/>
    <cellStyle name="20% - Énfasis4 2 3 2 3 2" xfId="1661" xr:uid="{00000000-0005-0000-0000-0000E0090000}"/>
    <cellStyle name="20% - Énfasis4 2 3 2 3 2 2" xfId="3551" xr:uid="{00000000-0005-0000-0000-0000E1090000}"/>
    <cellStyle name="20% - Énfasis4 2 3 2 3 2 2 2" xfId="7330" xr:uid="{00000000-0005-0000-0000-0000E2090000}"/>
    <cellStyle name="20% - Énfasis4 2 3 2 3 2 2 3" xfId="11106" xr:uid="{00000000-0005-0000-0000-0000E3090000}"/>
    <cellStyle name="20% - Énfasis4 2 3 2 3 2 3" xfId="5442" xr:uid="{00000000-0005-0000-0000-0000E4090000}"/>
    <cellStyle name="20% - Énfasis4 2 3 2 3 2 4" xfId="9218" xr:uid="{00000000-0005-0000-0000-0000E5090000}"/>
    <cellStyle name="20% - Énfasis4 2 3 2 3 3" xfId="2607" xr:uid="{00000000-0005-0000-0000-0000E6090000}"/>
    <cellStyle name="20% - Énfasis4 2 3 2 3 3 2" xfId="6386" xr:uid="{00000000-0005-0000-0000-0000E7090000}"/>
    <cellStyle name="20% - Énfasis4 2 3 2 3 3 3" xfId="10162" xr:uid="{00000000-0005-0000-0000-0000E8090000}"/>
    <cellStyle name="20% - Énfasis4 2 3 2 3 4" xfId="4498" xr:uid="{00000000-0005-0000-0000-0000E9090000}"/>
    <cellStyle name="20% - Énfasis4 2 3 2 3 5" xfId="8274" xr:uid="{00000000-0005-0000-0000-0000EA090000}"/>
    <cellStyle name="20% - Énfasis4 2 3 2 4" xfId="1189" xr:uid="{00000000-0005-0000-0000-0000EB090000}"/>
    <cellStyle name="20% - Énfasis4 2 3 2 4 2" xfId="3079" xr:uid="{00000000-0005-0000-0000-0000EC090000}"/>
    <cellStyle name="20% - Énfasis4 2 3 2 4 2 2" xfId="6858" xr:uid="{00000000-0005-0000-0000-0000ED090000}"/>
    <cellStyle name="20% - Énfasis4 2 3 2 4 2 3" xfId="10634" xr:uid="{00000000-0005-0000-0000-0000EE090000}"/>
    <cellStyle name="20% - Énfasis4 2 3 2 4 3" xfId="4970" xr:uid="{00000000-0005-0000-0000-0000EF090000}"/>
    <cellStyle name="20% - Énfasis4 2 3 2 4 4" xfId="8746" xr:uid="{00000000-0005-0000-0000-0000F0090000}"/>
    <cellStyle name="20% - Énfasis4 2 3 2 5" xfId="2135" xr:uid="{00000000-0005-0000-0000-0000F1090000}"/>
    <cellStyle name="20% - Énfasis4 2 3 2 5 2" xfId="5914" xr:uid="{00000000-0005-0000-0000-0000F2090000}"/>
    <cellStyle name="20% - Énfasis4 2 3 2 5 3" xfId="9690" xr:uid="{00000000-0005-0000-0000-0000F3090000}"/>
    <cellStyle name="20% - Énfasis4 2 3 2 6" xfId="4026" xr:uid="{00000000-0005-0000-0000-0000F4090000}"/>
    <cellStyle name="20% - Énfasis4 2 3 2 7" xfId="7802" xr:uid="{00000000-0005-0000-0000-0000F5090000}"/>
    <cellStyle name="20% - Énfasis4 2 3 3" xfId="359" xr:uid="{00000000-0005-0000-0000-0000F6090000}"/>
    <cellStyle name="20% - Énfasis4 2 3 3 2" xfId="833" xr:uid="{00000000-0005-0000-0000-0000F7090000}"/>
    <cellStyle name="20% - Énfasis4 2 3 3 2 2" xfId="1779" xr:uid="{00000000-0005-0000-0000-0000F8090000}"/>
    <cellStyle name="20% - Énfasis4 2 3 3 2 2 2" xfId="3669" xr:uid="{00000000-0005-0000-0000-0000F9090000}"/>
    <cellStyle name="20% - Énfasis4 2 3 3 2 2 2 2" xfId="7448" xr:uid="{00000000-0005-0000-0000-0000FA090000}"/>
    <cellStyle name="20% - Énfasis4 2 3 3 2 2 2 3" xfId="11224" xr:uid="{00000000-0005-0000-0000-0000FB090000}"/>
    <cellStyle name="20% - Énfasis4 2 3 3 2 2 3" xfId="5560" xr:uid="{00000000-0005-0000-0000-0000FC090000}"/>
    <cellStyle name="20% - Énfasis4 2 3 3 2 2 4" xfId="9336" xr:uid="{00000000-0005-0000-0000-0000FD090000}"/>
    <cellStyle name="20% - Énfasis4 2 3 3 2 3" xfId="2725" xr:uid="{00000000-0005-0000-0000-0000FE090000}"/>
    <cellStyle name="20% - Énfasis4 2 3 3 2 3 2" xfId="6504" xr:uid="{00000000-0005-0000-0000-0000FF090000}"/>
    <cellStyle name="20% - Énfasis4 2 3 3 2 3 3" xfId="10280" xr:uid="{00000000-0005-0000-0000-0000000A0000}"/>
    <cellStyle name="20% - Énfasis4 2 3 3 2 4" xfId="4616" xr:uid="{00000000-0005-0000-0000-0000010A0000}"/>
    <cellStyle name="20% - Énfasis4 2 3 3 2 5" xfId="8392" xr:uid="{00000000-0005-0000-0000-0000020A0000}"/>
    <cellStyle name="20% - Énfasis4 2 3 3 3" xfId="1307" xr:uid="{00000000-0005-0000-0000-0000030A0000}"/>
    <cellStyle name="20% - Énfasis4 2 3 3 3 2" xfId="3197" xr:uid="{00000000-0005-0000-0000-0000040A0000}"/>
    <cellStyle name="20% - Énfasis4 2 3 3 3 2 2" xfId="6976" xr:uid="{00000000-0005-0000-0000-0000050A0000}"/>
    <cellStyle name="20% - Énfasis4 2 3 3 3 2 3" xfId="10752" xr:uid="{00000000-0005-0000-0000-0000060A0000}"/>
    <cellStyle name="20% - Énfasis4 2 3 3 3 3" xfId="5088" xr:uid="{00000000-0005-0000-0000-0000070A0000}"/>
    <cellStyle name="20% - Énfasis4 2 3 3 3 4" xfId="8864" xr:uid="{00000000-0005-0000-0000-0000080A0000}"/>
    <cellStyle name="20% - Énfasis4 2 3 3 4" xfId="2253" xr:uid="{00000000-0005-0000-0000-0000090A0000}"/>
    <cellStyle name="20% - Énfasis4 2 3 3 4 2" xfId="6032" xr:uid="{00000000-0005-0000-0000-00000A0A0000}"/>
    <cellStyle name="20% - Énfasis4 2 3 3 4 3" xfId="9808" xr:uid="{00000000-0005-0000-0000-00000B0A0000}"/>
    <cellStyle name="20% - Énfasis4 2 3 3 5" xfId="4144" xr:uid="{00000000-0005-0000-0000-00000C0A0000}"/>
    <cellStyle name="20% - Énfasis4 2 3 3 6" xfId="7920" xr:uid="{00000000-0005-0000-0000-00000D0A0000}"/>
    <cellStyle name="20% - Énfasis4 2 3 4" xfId="597" xr:uid="{00000000-0005-0000-0000-00000E0A0000}"/>
    <cellStyle name="20% - Énfasis4 2 3 4 2" xfId="1543" xr:uid="{00000000-0005-0000-0000-00000F0A0000}"/>
    <cellStyle name="20% - Énfasis4 2 3 4 2 2" xfId="3433" xr:uid="{00000000-0005-0000-0000-0000100A0000}"/>
    <cellStyle name="20% - Énfasis4 2 3 4 2 2 2" xfId="7212" xr:uid="{00000000-0005-0000-0000-0000110A0000}"/>
    <cellStyle name="20% - Énfasis4 2 3 4 2 2 3" xfId="10988" xr:uid="{00000000-0005-0000-0000-0000120A0000}"/>
    <cellStyle name="20% - Énfasis4 2 3 4 2 3" xfId="5324" xr:uid="{00000000-0005-0000-0000-0000130A0000}"/>
    <cellStyle name="20% - Énfasis4 2 3 4 2 4" xfId="9100" xr:uid="{00000000-0005-0000-0000-0000140A0000}"/>
    <cellStyle name="20% - Énfasis4 2 3 4 3" xfId="2489" xr:uid="{00000000-0005-0000-0000-0000150A0000}"/>
    <cellStyle name="20% - Énfasis4 2 3 4 3 2" xfId="6268" xr:uid="{00000000-0005-0000-0000-0000160A0000}"/>
    <cellStyle name="20% - Énfasis4 2 3 4 3 3" xfId="10044" xr:uid="{00000000-0005-0000-0000-0000170A0000}"/>
    <cellStyle name="20% - Énfasis4 2 3 4 4" xfId="4380" xr:uid="{00000000-0005-0000-0000-0000180A0000}"/>
    <cellStyle name="20% - Énfasis4 2 3 4 5" xfId="8156" xr:uid="{00000000-0005-0000-0000-0000190A0000}"/>
    <cellStyle name="20% - Énfasis4 2 3 5" xfId="1071" xr:uid="{00000000-0005-0000-0000-00001A0A0000}"/>
    <cellStyle name="20% - Énfasis4 2 3 5 2" xfId="2961" xr:uid="{00000000-0005-0000-0000-00001B0A0000}"/>
    <cellStyle name="20% - Énfasis4 2 3 5 2 2" xfId="6740" xr:uid="{00000000-0005-0000-0000-00001C0A0000}"/>
    <cellStyle name="20% - Énfasis4 2 3 5 2 3" xfId="10516" xr:uid="{00000000-0005-0000-0000-00001D0A0000}"/>
    <cellStyle name="20% - Énfasis4 2 3 5 3" xfId="4852" xr:uid="{00000000-0005-0000-0000-00001E0A0000}"/>
    <cellStyle name="20% - Énfasis4 2 3 5 4" xfId="8628" xr:uid="{00000000-0005-0000-0000-00001F0A0000}"/>
    <cellStyle name="20% - Énfasis4 2 3 6" xfId="2017" xr:uid="{00000000-0005-0000-0000-0000200A0000}"/>
    <cellStyle name="20% - Énfasis4 2 3 6 2" xfId="5796" xr:uid="{00000000-0005-0000-0000-0000210A0000}"/>
    <cellStyle name="20% - Énfasis4 2 3 6 3" xfId="9572" xr:uid="{00000000-0005-0000-0000-0000220A0000}"/>
    <cellStyle name="20% - Énfasis4 2 3 7" xfId="3908" xr:uid="{00000000-0005-0000-0000-0000230A0000}"/>
    <cellStyle name="20% - Énfasis4 2 3 8" xfId="7684" xr:uid="{00000000-0005-0000-0000-0000240A0000}"/>
    <cellStyle name="20% - Énfasis4 2 4" xfId="180" xr:uid="{00000000-0005-0000-0000-0000250A0000}"/>
    <cellStyle name="20% - Énfasis4 2 4 2" xfId="418" xr:uid="{00000000-0005-0000-0000-0000260A0000}"/>
    <cellStyle name="20% - Énfasis4 2 4 2 2" xfId="892" xr:uid="{00000000-0005-0000-0000-0000270A0000}"/>
    <cellStyle name="20% - Énfasis4 2 4 2 2 2" xfId="1838" xr:uid="{00000000-0005-0000-0000-0000280A0000}"/>
    <cellStyle name="20% - Énfasis4 2 4 2 2 2 2" xfId="3728" xr:uid="{00000000-0005-0000-0000-0000290A0000}"/>
    <cellStyle name="20% - Énfasis4 2 4 2 2 2 2 2" xfId="7507" xr:uid="{00000000-0005-0000-0000-00002A0A0000}"/>
    <cellStyle name="20% - Énfasis4 2 4 2 2 2 2 3" xfId="11283" xr:uid="{00000000-0005-0000-0000-00002B0A0000}"/>
    <cellStyle name="20% - Énfasis4 2 4 2 2 2 3" xfId="5619" xr:uid="{00000000-0005-0000-0000-00002C0A0000}"/>
    <cellStyle name="20% - Énfasis4 2 4 2 2 2 4" xfId="9395" xr:uid="{00000000-0005-0000-0000-00002D0A0000}"/>
    <cellStyle name="20% - Énfasis4 2 4 2 2 3" xfId="2784" xr:uid="{00000000-0005-0000-0000-00002E0A0000}"/>
    <cellStyle name="20% - Énfasis4 2 4 2 2 3 2" xfId="6563" xr:uid="{00000000-0005-0000-0000-00002F0A0000}"/>
    <cellStyle name="20% - Énfasis4 2 4 2 2 3 3" xfId="10339" xr:uid="{00000000-0005-0000-0000-0000300A0000}"/>
    <cellStyle name="20% - Énfasis4 2 4 2 2 4" xfId="4675" xr:uid="{00000000-0005-0000-0000-0000310A0000}"/>
    <cellStyle name="20% - Énfasis4 2 4 2 2 5" xfId="8451" xr:uid="{00000000-0005-0000-0000-0000320A0000}"/>
    <cellStyle name="20% - Énfasis4 2 4 2 3" xfId="1366" xr:uid="{00000000-0005-0000-0000-0000330A0000}"/>
    <cellStyle name="20% - Énfasis4 2 4 2 3 2" xfId="3256" xr:uid="{00000000-0005-0000-0000-0000340A0000}"/>
    <cellStyle name="20% - Énfasis4 2 4 2 3 2 2" xfId="7035" xr:uid="{00000000-0005-0000-0000-0000350A0000}"/>
    <cellStyle name="20% - Énfasis4 2 4 2 3 2 3" xfId="10811" xr:uid="{00000000-0005-0000-0000-0000360A0000}"/>
    <cellStyle name="20% - Énfasis4 2 4 2 3 3" xfId="5147" xr:uid="{00000000-0005-0000-0000-0000370A0000}"/>
    <cellStyle name="20% - Énfasis4 2 4 2 3 4" xfId="8923" xr:uid="{00000000-0005-0000-0000-0000380A0000}"/>
    <cellStyle name="20% - Énfasis4 2 4 2 4" xfId="2312" xr:uid="{00000000-0005-0000-0000-0000390A0000}"/>
    <cellStyle name="20% - Énfasis4 2 4 2 4 2" xfId="6091" xr:uid="{00000000-0005-0000-0000-00003A0A0000}"/>
    <cellStyle name="20% - Énfasis4 2 4 2 4 3" xfId="9867" xr:uid="{00000000-0005-0000-0000-00003B0A0000}"/>
    <cellStyle name="20% - Énfasis4 2 4 2 5" xfId="4203" xr:uid="{00000000-0005-0000-0000-00003C0A0000}"/>
    <cellStyle name="20% - Énfasis4 2 4 2 6" xfId="7979" xr:uid="{00000000-0005-0000-0000-00003D0A0000}"/>
    <cellStyle name="20% - Énfasis4 2 4 3" xfId="656" xr:uid="{00000000-0005-0000-0000-00003E0A0000}"/>
    <cellStyle name="20% - Énfasis4 2 4 3 2" xfId="1602" xr:uid="{00000000-0005-0000-0000-00003F0A0000}"/>
    <cellStyle name="20% - Énfasis4 2 4 3 2 2" xfId="3492" xr:uid="{00000000-0005-0000-0000-0000400A0000}"/>
    <cellStyle name="20% - Énfasis4 2 4 3 2 2 2" xfId="7271" xr:uid="{00000000-0005-0000-0000-0000410A0000}"/>
    <cellStyle name="20% - Énfasis4 2 4 3 2 2 3" xfId="11047" xr:uid="{00000000-0005-0000-0000-0000420A0000}"/>
    <cellStyle name="20% - Énfasis4 2 4 3 2 3" xfId="5383" xr:uid="{00000000-0005-0000-0000-0000430A0000}"/>
    <cellStyle name="20% - Énfasis4 2 4 3 2 4" xfId="9159" xr:uid="{00000000-0005-0000-0000-0000440A0000}"/>
    <cellStyle name="20% - Énfasis4 2 4 3 3" xfId="2548" xr:uid="{00000000-0005-0000-0000-0000450A0000}"/>
    <cellStyle name="20% - Énfasis4 2 4 3 3 2" xfId="6327" xr:uid="{00000000-0005-0000-0000-0000460A0000}"/>
    <cellStyle name="20% - Énfasis4 2 4 3 3 3" xfId="10103" xr:uid="{00000000-0005-0000-0000-0000470A0000}"/>
    <cellStyle name="20% - Énfasis4 2 4 3 4" xfId="4439" xr:uid="{00000000-0005-0000-0000-0000480A0000}"/>
    <cellStyle name="20% - Énfasis4 2 4 3 5" xfId="8215" xr:uid="{00000000-0005-0000-0000-0000490A0000}"/>
    <cellStyle name="20% - Énfasis4 2 4 4" xfId="1130" xr:uid="{00000000-0005-0000-0000-00004A0A0000}"/>
    <cellStyle name="20% - Énfasis4 2 4 4 2" xfId="3020" xr:uid="{00000000-0005-0000-0000-00004B0A0000}"/>
    <cellStyle name="20% - Énfasis4 2 4 4 2 2" xfId="6799" xr:uid="{00000000-0005-0000-0000-00004C0A0000}"/>
    <cellStyle name="20% - Énfasis4 2 4 4 2 3" xfId="10575" xr:uid="{00000000-0005-0000-0000-00004D0A0000}"/>
    <cellStyle name="20% - Énfasis4 2 4 4 3" xfId="4911" xr:uid="{00000000-0005-0000-0000-00004E0A0000}"/>
    <cellStyle name="20% - Énfasis4 2 4 4 4" xfId="8687" xr:uid="{00000000-0005-0000-0000-00004F0A0000}"/>
    <cellStyle name="20% - Énfasis4 2 4 5" xfId="2076" xr:uid="{00000000-0005-0000-0000-0000500A0000}"/>
    <cellStyle name="20% - Énfasis4 2 4 5 2" xfId="5855" xr:uid="{00000000-0005-0000-0000-0000510A0000}"/>
    <cellStyle name="20% - Énfasis4 2 4 5 3" xfId="9631" xr:uid="{00000000-0005-0000-0000-0000520A0000}"/>
    <cellStyle name="20% - Énfasis4 2 4 6" xfId="3967" xr:uid="{00000000-0005-0000-0000-0000530A0000}"/>
    <cellStyle name="20% - Énfasis4 2 4 7" xfId="7743" xr:uid="{00000000-0005-0000-0000-0000540A0000}"/>
    <cellStyle name="20% - Énfasis4 2 5" xfId="300" xr:uid="{00000000-0005-0000-0000-0000550A0000}"/>
    <cellStyle name="20% - Énfasis4 2 5 2" xfId="774" xr:uid="{00000000-0005-0000-0000-0000560A0000}"/>
    <cellStyle name="20% - Énfasis4 2 5 2 2" xfId="1720" xr:uid="{00000000-0005-0000-0000-0000570A0000}"/>
    <cellStyle name="20% - Énfasis4 2 5 2 2 2" xfId="3610" xr:uid="{00000000-0005-0000-0000-0000580A0000}"/>
    <cellStyle name="20% - Énfasis4 2 5 2 2 2 2" xfId="7389" xr:uid="{00000000-0005-0000-0000-0000590A0000}"/>
    <cellStyle name="20% - Énfasis4 2 5 2 2 2 3" xfId="11165" xr:uid="{00000000-0005-0000-0000-00005A0A0000}"/>
    <cellStyle name="20% - Énfasis4 2 5 2 2 3" xfId="5501" xr:uid="{00000000-0005-0000-0000-00005B0A0000}"/>
    <cellStyle name="20% - Énfasis4 2 5 2 2 4" xfId="9277" xr:uid="{00000000-0005-0000-0000-00005C0A0000}"/>
    <cellStyle name="20% - Énfasis4 2 5 2 3" xfId="2666" xr:uid="{00000000-0005-0000-0000-00005D0A0000}"/>
    <cellStyle name="20% - Énfasis4 2 5 2 3 2" xfId="6445" xr:uid="{00000000-0005-0000-0000-00005E0A0000}"/>
    <cellStyle name="20% - Énfasis4 2 5 2 3 3" xfId="10221" xr:uid="{00000000-0005-0000-0000-00005F0A0000}"/>
    <cellStyle name="20% - Énfasis4 2 5 2 4" xfId="4557" xr:uid="{00000000-0005-0000-0000-0000600A0000}"/>
    <cellStyle name="20% - Énfasis4 2 5 2 5" xfId="8333" xr:uid="{00000000-0005-0000-0000-0000610A0000}"/>
    <cellStyle name="20% - Énfasis4 2 5 3" xfId="1248" xr:uid="{00000000-0005-0000-0000-0000620A0000}"/>
    <cellStyle name="20% - Énfasis4 2 5 3 2" xfId="3138" xr:uid="{00000000-0005-0000-0000-0000630A0000}"/>
    <cellStyle name="20% - Énfasis4 2 5 3 2 2" xfId="6917" xr:uid="{00000000-0005-0000-0000-0000640A0000}"/>
    <cellStyle name="20% - Énfasis4 2 5 3 2 3" xfId="10693" xr:uid="{00000000-0005-0000-0000-0000650A0000}"/>
    <cellStyle name="20% - Énfasis4 2 5 3 3" xfId="5029" xr:uid="{00000000-0005-0000-0000-0000660A0000}"/>
    <cellStyle name="20% - Énfasis4 2 5 3 4" xfId="8805" xr:uid="{00000000-0005-0000-0000-0000670A0000}"/>
    <cellStyle name="20% - Énfasis4 2 5 4" xfId="2194" xr:uid="{00000000-0005-0000-0000-0000680A0000}"/>
    <cellStyle name="20% - Énfasis4 2 5 4 2" xfId="5973" xr:uid="{00000000-0005-0000-0000-0000690A0000}"/>
    <cellStyle name="20% - Énfasis4 2 5 4 3" xfId="9749" xr:uid="{00000000-0005-0000-0000-00006A0A0000}"/>
    <cellStyle name="20% - Énfasis4 2 5 5" xfId="4085" xr:uid="{00000000-0005-0000-0000-00006B0A0000}"/>
    <cellStyle name="20% - Énfasis4 2 5 6" xfId="7861" xr:uid="{00000000-0005-0000-0000-00006C0A0000}"/>
    <cellStyle name="20% - Énfasis4 2 6" xfId="538" xr:uid="{00000000-0005-0000-0000-00006D0A0000}"/>
    <cellStyle name="20% - Énfasis4 2 6 2" xfId="1484" xr:uid="{00000000-0005-0000-0000-00006E0A0000}"/>
    <cellStyle name="20% - Énfasis4 2 6 2 2" xfId="3374" xr:uid="{00000000-0005-0000-0000-00006F0A0000}"/>
    <cellStyle name="20% - Énfasis4 2 6 2 2 2" xfId="7153" xr:uid="{00000000-0005-0000-0000-0000700A0000}"/>
    <cellStyle name="20% - Énfasis4 2 6 2 2 3" xfId="10929" xr:uid="{00000000-0005-0000-0000-0000710A0000}"/>
    <cellStyle name="20% - Énfasis4 2 6 2 3" xfId="5265" xr:uid="{00000000-0005-0000-0000-0000720A0000}"/>
    <cellStyle name="20% - Énfasis4 2 6 2 4" xfId="9041" xr:uid="{00000000-0005-0000-0000-0000730A0000}"/>
    <cellStyle name="20% - Énfasis4 2 6 3" xfId="2430" xr:uid="{00000000-0005-0000-0000-0000740A0000}"/>
    <cellStyle name="20% - Énfasis4 2 6 3 2" xfId="6209" xr:uid="{00000000-0005-0000-0000-0000750A0000}"/>
    <cellStyle name="20% - Énfasis4 2 6 3 3" xfId="9985" xr:uid="{00000000-0005-0000-0000-0000760A0000}"/>
    <cellStyle name="20% - Énfasis4 2 6 4" xfId="4321" xr:uid="{00000000-0005-0000-0000-0000770A0000}"/>
    <cellStyle name="20% - Énfasis4 2 6 5" xfId="8097" xr:uid="{00000000-0005-0000-0000-0000780A0000}"/>
    <cellStyle name="20% - Énfasis4 2 7" xfId="1012" xr:uid="{00000000-0005-0000-0000-0000790A0000}"/>
    <cellStyle name="20% - Énfasis4 2 7 2" xfId="2902" xr:uid="{00000000-0005-0000-0000-00007A0A0000}"/>
    <cellStyle name="20% - Énfasis4 2 7 2 2" xfId="6681" xr:uid="{00000000-0005-0000-0000-00007B0A0000}"/>
    <cellStyle name="20% - Énfasis4 2 7 2 3" xfId="10457" xr:uid="{00000000-0005-0000-0000-00007C0A0000}"/>
    <cellStyle name="20% - Énfasis4 2 7 3" xfId="4793" xr:uid="{00000000-0005-0000-0000-00007D0A0000}"/>
    <cellStyle name="20% - Énfasis4 2 7 4" xfId="8569" xr:uid="{00000000-0005-0000-0000-00007E0A0000}"/>
    <cellStyle name="20% - Énfasis4 2 8" xfId="1958" xr:uid="{00000000-0005-0000-0000-00007F0A0000}"/>
    <cellStyle name="20% - Énfasis4 2 8 2" xfId="5737" xr:uid="{00000000-0005-0000-0000-0000800A0000}"/>
    <cellStyle name="20% - Énfasis4 2 8 3" xfId="9513" xr:uid="{00000000-0005-0000-0000-0000810A0000}"/>
    <cellStyle name="20% - Énfasis4 2 9" xfId="3849" xr:uid="{00000000-0005-0000-0000-0000820A0000}"/>
    <cellStyle name="20% - Énfasis4 3" xfId="65" xr:uid="{00000000-0005-0000-0000-0000830A0000}"/>
    <cellStyle name="20% - Énfasis4 3 2" xfId="129" xr:uid="{00000000-0005-0000-0000-0000840A0000}"/>
    <cellStyle name="20% - Énfasis4 3 2 2" xfId="252" xr:uid="{00000000-0005-0000-0000-0000850A0000}"/>
    <cellStyle name="20% - Énfasis4 3 2 2 2" xfId="490" xr:uid="{00000000-0005-0000-0000-0000860A0000}"/>
    <cellStyle name="20% - Énfasis4 3 2 2 2 2" xfId="964" xr:uid="{00000000-0005-0000-0000-0000870A0000}"/>
    <cellStyle name="20% - Énfasis4 3 2 2 2 2 2" xfId="1910" xr:uid="{00000000-0005-0000-0000-0000880A0000}"/>
    <cellStyle name="20% - Énfasis4 3 2 2 2 2 2 2" xfId="3800" xr:uid="{00000000-0005-0000-0000-0000890A0000}"/>
    <cellStyle name="20% - Énfasis4 3 2 2 2 2 2 2 2" xfId="7579" xr:uid="{00000000-0005-0000-0000-00008A0A0000}"/>
    <cellStyle name="20% - Énfasis4 3 2 2 2 2 2 2 3" xfId="11355" xr:uid="{00000000-0005-0000-0000-00008B0A0000}"/>
    <cellStyle name="20% - Énfasis4 3 2 2 2 2 2 3" xfId="5691" xr:uid="{00000000-0005-0000-0000-00008C0A0000}"/>
    <cellStyle name="20% - Énfasis4 3 2 2 2 2 2 4" xfId="9467" xr:uid="{00000000-0005-0000-0000-00008D0A0000}"/>
    <cellStyle name="20% - Énfasis4 3 2 2 2 2 3" xfId="2856" xr:uid="{00000000-0005-0000-0000-00008E0A0000}"/>
    <cellStyle name="20% - Énfasis4 3 2 2 2 2 3 2" xfId="6635" xr:uid="{00000000-0005-0000-0000-00008F0A0000}"/>
    <cellStyle name="20% - Énfasis4 3 2 2 2 2 3 3" xfId="10411" xr:uid="{00000000-0005-0000-0000-0000900A0000}"/>
    <cellStyle name="20% - Énfasis4 3 2 2 2 2 4" xfId="4747" xr:uid="{00000000-0005-0000-0000-0000910A0000}"/>
    <cellStyle name="20% - Énfasis4 3 2 2 2 2 5" xfId="8523" xr:uid="{00000000-0005-0000-0000-0000920A0000}"/>
    <cellStyle name="20% - Énfasis4 3 2 2 2 3" xfId="1438" xr:uid="{00000000-0005-0000-0000-0000930A0000}"/>
    <cellStyle name="20% - Énfasis4 3 2 2 2 3 2" xfId="3328" xr:uid="{00000000-0005-0000-0000-0000940A0000}"/>
    <cellStyle name="20% - Énfasis4 3 2 2 2 3 2 2" xfId="7107" xr:uid="{00000000-0005-0000-0000-0000950A0000}"/>
    <cellStyle name="20% - Énfasis4 3 2 2 2 3 2 3" xfId="10883" xr:uid="{00000000-0005-0000-0000-0000960A0000}"/>
    <cellStyle name="20% - Énfasis4 3 2 2 2 3 3" xfId="5219" xr:uid="{00000000-0005-0000-0000-0000970A0000}"/>
    <cellStyle name="20% - Énfasis4 3 2 2 2 3 4" xfId="8995" xr:uid="{00000000-0005-0000-0000-0000980A0000}"/>
    <cellStyle name="20% - Énfasis4 3 2 2 2 4" xfId="2384" xr:uid="{00000000-0005-0000-0000-0000990A0000}"/>
    <cellStyle name="20% - Énfasis4 3 2 2 2 4 2" xfId="6163" xr:uid="{00000000-0005-0000-0000-00009A0A0000}"/>
    <cellStyle name="20% - Énfasis4 3 2 2 2 4 3" xfId="9939" xr:uid="{00000000-0005-0000-0000-00009B0A0000}"/>
    <cellStyle name="20% - Énfasis4 3 2 2 2 5" xfId="4275" xr:uid="{00000000-0005-0000-0000-00009C0A0000}"/>
    <cellStyle name="20% - Énfasis4 3 2 2 2 6" xfId="8051" xr:uid="{00000000-0005-0000-0000-00009D0A0000}"/>
    <cellStyle name="20% - Énfasis4 3 2 2 3" xfId="728" xr:uid="{00000000-0005-0000-0000-00009E0A0000}"/>
    <cellStyle name="20% - Énfasis4 3 2 2 3 2" xfId="1674" xr:uid="{00000000-0005-0000-0000-00009F0A0000}"/>
    <cellStyle name="20% - Énfasis4 3 2 2 3 2 2" xfId="3564" xr:uid="{00000000-0005-0000-0000-0000A00A0000}"/>
    <cellStyle name="20% - Énfasis4 3 2 2 3 2 2 2" xfId="7343" xr:uid="{00000000-0005-0000-0000-0000A10A0000}"/>
    <cellStyle name="20% - Énfasis4 3 2 2 3 2 2 3" xfId="11119" xr:uid="{00000000-0005-0000-0000-0000A20A0000}"/>
    <cellStyle name="20% - Énfasis4 3 2 2 3 2 3" xfId="5455" xr:uid="{00000000-0005-0000-0000-0000A30A0000}"/>
    <cellStyle name="20% - Énfasis4 3 2 2 3 2 4" xfId="9231" xr:uid="{00000000-0005-0000-0000-0000A40A0000}"/>
    <cellStyle name="20% - Énfasis4 3 2 2 3 3" xfId="2620" xr:uid="{00000000-0005-0000-0000-0000A50A0000}"/>
    <cellStyle name="20% - Énfasis4 3 2 2 3 3 2" xfId="6399" xr:uid="{00000000-0005-0000-0000-0000A60A0000}"/>
    <cellStyle name="20% - Énfasis4 3 2 2 3 3 3" xfId="10175" xr:uid="{00000000-0005-0000-0000-0000A70A0000}"/>
    <cellStyle name="20% - Énfasis4 3 2 2 3 4" xfId="4511" xr:uid="{00000000-0005-0000-0000-0000A80A0000}"/>
    <cellStyle name="20% - Énfasis4 3 2 2 3 5" xfId="8287" xr:uid="{00000000-0005-0000-0000-0000A90A0000}"/>
    <cellStyle name="20% - Énfasis4 3 2 2 4" xfId="1202" xr:uid="{00000000-0005-0000-0000-0000AA0A0000}"/>
    <cellStyle name="20% - Énfasis4 3 2 2 4 2" xfId="3092" xr:uid="{00000000-0005-0000-0000-0000AB0A0000}"/>
    <cellStyle name="20% - Énfasis4 3 2 2 4 2 2" xfId="6871" xr:uid="{00000000-0005-0000-0000-0000AC0A0000}"/>
    <cellStyle name="20% - Énfasis4 3 2 2 4 2 3" xfId="10647" xr:uid="{00000000-0005-0000-0000-0000AD0A0000}"/>
    <cellStyle name="20% - Énfasis4 3 2 2 4 3" xfId="4983" xr:uid="{00000000-0005-0000-0000-0000AE0A0000}"/>
    <cellStyle name="20% - Énfasis4 3 2 2 4 4" xfId="8759" xr:uid="{00000000-0005-0000-0000-0000AF0A0000}"/>
    <cellStyle name="20% - Énfasis4 3 2 2 5" xfId="2148" xr:uid="{00000000-0005-0000-0000-0000B00A0000}"/>
    <cellStyle name="20% - Énfasis4 3 2 2 5 2" xfId="5927" xr:uid="{00000000-0005-0000-0000-0000B10A0000}"/>
    <cellStyle name="20% - Énfasis4 3 2 2 5 3" xfId="9703" xr:uid="{00000000-0005-0000-0000-0000B20A0000}"/>
    <cellStyle name="20% - Énfasis4 3 2 2 6" xfId="4039" xr:uid="{00000000-0005-0000-0000-0000B30A0000}"/>
    <cellStyle name="20% - Énfasis4 3 2 2 7" xfId="7815" xr:uid="{00000000-0005-0000-0000-0000B40A0000}"/>
    <cellStyle name="20% - Énfasis4 3 2 3" xfId="372" xr:uid="{00000000-0005-0000-0000-0000B50A0000}"/>
    <cellStyle name="20% - Énfasis4 3 2 3 2" xfId="846" xr:uid="{00000000-0005-0000-0000-0000B60A0000}"/>
    <cellStyle name="20% - Énfasis4 3 2 3 2 2" xfId="1792" xr:uid="{00000000-0005-0000-0000-0000B70A0000}"/>
    <cellStyle name="20% - Énfasis4 3 2 3 2 2 2" xfId="3682" xr:uid="{00000000-0005-0000-0000-0000B80A0000}"/>
    <cellStyle name="20% - Énfasis4 3 2 3 2 2 2 2" xfId="7461" xr:uid="{00000000-0005-0000-0000-0000B90A0000}"/>
    <cellStyle name="20% - Énfasis4 3 2 3 2 2 2 3" xfId="11237" xr:uid="{00000000-0005-0000-0000-0000BA0A0000}"/>
    <cellStyle name="20% - Énfasis4 3 2 3 2 2 3" xfId="5573" xr:uid="{00000000-0005-0000-0000-0000BB0A0000}"/>
    <cellStyle name="20% - Énfasis4 3 2 3 2 2 4" xfId="9349" xr:uid="{00000000-0005-0000-0000-0000BC0A0000}"/>
    <cellStyle name="20% - Énfasis4 3 2 3 2 3" xfId="2738" xr:uid="{00000000-0005-0000-0000-0000BD0A0000}"/>
    <cellStyle name="20% - Énfasis4 3 2 3 2 3 2" xfId="6517" xr:uid="{00000000-0005-0000-0000-0000BE0A0000}"/>
    <cellStyle name="20% - Énfasis4 3 2 3 2 3 3" xfId="10293" xr:uid="{00000000-0005-0000-0000-0000BF0A0000}"/>
    <cellStyle name="20% - Énfasis4 3 2 3 2 4" xfId="4629" xr:uid="{00000000-0005-0000-0000-0000C00A0000}"/>
    <cellStyle name="20% - Énfasis4 3 2 3 2 5" xfId="8405" xr:uid="{00000000-0005-0000-0000-0000C10A0000}"/>
    <cellStyle name="20% - Énfasis4 3 2 3 3" xfId="1320" xr:uid="{00000000-0005-0000-0000-0000C20A0000}"/>
    <cellStyle name="20% - Énfasis4 3 2 3 3 2" xfId="3210" xr:uid="{00000000-0005-0000-0000-0000C30A0000}"/>
    <cellStyle name="20% - Énfasis4 3 2 3 3 2 2" xfId="6989" xr:uid="{00000000-0005-0000-0000-0000C40A0000}"/>
    <cellStyle name="20% - Énfasis4 3 2 3 3 2 3" xfId="10765" xr:uid="{00000000-0005-0000-0000-0000C50A0000}"/>
    <cellStyle name="20% - Énfasis4 3 2 3 3 3" xfId="5101" xr:uid="{00000000-0005-0000-0000-0000C60A0000}"/>
    <cellStyle name="20% - Énfasis4 3 2 3 3 4" xfId="8877" xr:uid="{00000000-0005-0000-0000-0000C70A0000}"/>
    <cellStyle name="20% - Énfasis4 3 2 3 4" xfId="2266" xr:uid="{00000000-0005-0000-0000-0000C80A0000}"/>
    <cellStyle name="20% - Énfasis4 3 2 3 4 2" xfId="6045" xr:uid="{00000000-0005-0000-0000-0000C90A0000}"/>
    <cellStyle name="20% - Énfasis4 3 2 3 4 3" xfId="9821" xr:uid="{00000000-0005-0000-0000-0000CA0A0000}"/>
    <cellStyle name="20% - Énfasis4 3 2 3 5" xfId="4157" xr:uid="{00000000-0005-0000-0000-0000CB0A0000}"/>
    <cellStyle name="20% - Énfasis4 3 2 3 6" xfId="7933" xr:uid="{00000000-0005-0000-0000-0000CC0A0000}"/>
    <cellStyle name="20% - Énfasis4 3 2 4" xfId="610" xr:uid="{00000000-0005-0000-0000-0000CD0A0000}"/>
    <cellStyle name="20% - Énfasis4 3 2 4 2" xfId="1556" xr:uid="{00000000-0005-0000-0000-0000CE0A0000}"/>
    <cellStyle name="20% - Énfasis4 3 2 4 2 2" xfId="3446" xr:uid="{00000000-0005-0000-0000-0000CF0A0000}"/>
    <cellStyle name="20% - Énfasis4 3 2 4 2 2 2" xfId="7225" xr:uid="{00000000-0005-0000-0000-0000D00A0000}"/>
    <cellStyle name="20% - Énfasis4 3 2 4 2 2 3" xfId="11001" xr:uid="{00000000-0005-0000-0000-0000D10A0000}"/>
    <cellStyle name="20% - Énfasis4 3 2 4 2 3" xfId="5337" xr:uid="{00000000-0005-0000-0000-0000D20A0000}"/>
    <cellStyle name="20% - Énfasis4 3 2 4 2 4" xfId="9113" xr:uid="{00000000-0005-0000-0000-0000D30A0000}"/>
    <cellStyle name="20% - Énfasis4 3 2 4 3" xfId="2502" xr:uid="{00000000-0005-0000-0000-0000D40A0000}"/>
    <cellStyle name="20% - Énfasis4 3 2 4 3 2" xfId="6281" xr:uid="{00000000-0005-0000-0000-0000D50A0000}"/>
    <cellStyle name="20% - Énfasis4 3 2 4 3 3" xfId="10057" xr:uid="{00000000-0005-0000-0000-0000D60A0000}"/>
    <cellStyle name="20% - Énfasis4 3 2 4 4" xfId="4393" xr:uid="{00000000-0005-0000-0000-0000D70A0000}"/>
    <cellStyle name="20% - Énfasis4 3 2 4 5" xfId="8169" xr:uid="{00000000-0005-0000-0000-0000D80A0000}"/>
    <cellStyle name="20% - Énfasis4 3 2 5" xfId="1084" xr:uid="{00000000-0005-0000-0000-0000D90A0000}"/>
    <cellStyle name="20% - Énfasis4 3 2 5 2" xfId="2974" xr:uid="{00000000-0005-0000-0000-0000DA0A0000}"/>
    <cellStyle name="20% - Énfasis4 3 2 5 2 2" xfId="6753" xr:uid="{00000000-0005-0000-0000-0000DB0A0000}"/>
    <cellStyle name="20% - Énfasis4 3 2 5 2 3" xfId="10529" xr:uid="{00000000-0005-0000-0000-0000DC0A0000}"/>
    <cellStyle name="20% - Énfasis4 3 2 5 3" xfId="4865" xr:uid="{00000000-0005-0000-0000-0000DD0A0000}"/>
    <cellStyle name="20% - Énfasis4 3 2 5 4" xfId="8641" xr:uid="{00000000-0005-0000-0000-0000DE0A0000}"/>
    <cellStyle name="20% - Énfasis4 3 2 6" xfId="2030" xr:uid="{00000000-0005-0000-0000-0000DF0A0000}"/>
    <cellStyle name="20% - Énfasis4 3 2 6 2" xfId="5809" xr:uid="{00000000-0005-0000-0000-0000E00A0000}"/>
    <cellStyle name="20% - Énfasis4 3 2 6 3" xfId="9585" xr:uid="{00000000-0005-0000-0000-0000E10A0000}"/>
    <cellStyle name="20% - Énfasis4 3 2 7" xfId="3921" xr:uid="{00000000-0005-0000-0000-0000E20A0000}"/>
    <cellStyle name="20% - Énfasis4 3 2 8" xfId="7697" xr:uid="{00000000-0005-0000-0000-0000E30A0000}"/>
    <cellStyle name="20% - Énfasis4 3 3" xfId="193" xr:uid="{00000000-0005-0000-0000-0000E40A0000}"/>
    <cellStyle name="20% - Énfasis4 3 3 2" xfId="431" xr:uid="{00000000-0005-0000-0000-0000E50A0000}"/>
    <cellStyle name="20% - Énfasis4 3 3 2 2" xfId="905" xr:uid="{00000000-0005-0000-0000-0000E60A0000}"/>
    <cellStyle name="20% - Énfasis4 3 3 2 2 2" xfId="1851" xr:uid="{00000000-0005-0000-0000-0000E70A0000}"/>
    <cellStyle name="20% - Énfasis4 3 3 2 2 2 2" xfId="3741" xr:uid="{00000000-0005-0000-0000-0000E80A0000}"/>
    <cellStyle name="20% - Énfasis4 3 3 2 2 2 2 2" xfId="7520" xr:uid="{00000000-0005-0000-0000-0000E90A0000}"/>
    <cellStyle name="20% - Énfasis4 3 3 2 2 2 2 3" xfId="11296" xr:uid="{00000000-0005-0000-0000-0000EA0A0000}"/>
    <cellStyle name="20% - Énfasis4 3 3 2 2 2 3" xfId="5632" xr:uid="{00000000-0005-0000-0000-0000EB0A0000}"/>
    <cellStyle name="20% - Énfasis4 3 3 2 2 2 4" xfId="9408" xr:uid="{00000000-0005-0000-0000-0000EC0A0000}"/>
    <cellStyle name="20% - Énfasis4 3 3 2 2 3" xfId="2797" xr:uid="{00000000-0005-0000-0000-0000ED0A0000}"/>
    <cellStyle name="20% - Énfasis4 3 3 2 2 3 2" xfId="6576" xr:uid="{00000000-0005-0000-0000-0000EE0A0000}"/>
    <cellStyle name="20% - Énfasis4 3 3 2 2 3 3" xfId="10352" xr:uid="{00000000-0005-0000-0000-0000EF0A0000}"/>
    <cellStyle name="20% - Énfasis4 3 3 2 2 4" xfId="4688" xr:uid="{00000000-0005-0000-0000-0000F00A0000}"/>
    <cellStyle name="20% - Énfasis4 3 3 2 2 5" xfId="8464" xr:uid="{00000000-0005-0000-0000-0000F10A0000}"/>
    <cellStyle name="20% - Énfasis4 3 3 2 3" xfId="1379" xr:uid="{00000000-0005-0000-0000-0000F20A0000}"/>
    <cellStyle name="20% - Énfasis4 3 3 2 3 2" xfId="3269" xr:uid="{00000000-0005-0000-0000-0000F30A0000}"/>
    <cellStyle name="20% - Énfasis4 3 3 2 3 2 2" xfId="7048" xr:uid="{00000000-0005-0000-0000-0000F40A0000}"/>
    <cellStyle name="20% - Énfasis4 3 3 2 3 2 3" xfId="10824" xr:uid="{00000000-0005-0000-0000-0000F50A0000}"/>
    <cellStyle name="20% - Énfasis4 3 3 2 3 3" xfId="5160" xr:uid="{00000000-0005-0000-0000-0000F60A0000}"/>
    <cellStyle name="20% - Énfasis4 3 3 2 3 4" xfId="8936" xr:uid="{00000000-0005-0000-0000-0000F70A0000}"/>
    <cellStyle name="20% - Énfasis4 3 3 2 4" xfId="2325" xr:uid="{00000000-0005-0000-0000-0000F80A0000}"/>
    <cellStyle name="20% - Énfasis4 3 3 2 4 2" xfId="6104" xr:uid="{00000000-0005-0000-0000-0000F90A0000}"/>
    <cellStyle name="20% - Énfasis4 3 3 2 4 3" xfId="9880" xr:uid="{00000000-0005-0000-0000-0000FA0A0000}"/>
    <cellStyle name="20% - Énfasis4 3 3 2 5" xfId="4216" xr:uid="{00000000-0005-0000-0000-0000FB0A0000}"/>
    <cellStyle name="20% - Énfasis4 3 3 2 6" xfId="7992" xr:uid="{00000000-0005-0000-0000-0000FC0A0000}"/>
    <cellStyle name="20% - Énfasis4 3 3 3" xfId="669" xr:uid="{00000000-0005-0000-0000-0000FD0A0000}"/>
    <cellStyle name="20% - Énfasis4 3 3 3 2" xfId="1615" xr:uid="{00000000-0005-0000-0000-0000FE0A0000}"/>
    <cellStyle name="20% - Énfasis4 3 3 3 2 2" xfId="3505" xr:uid="{00000000-0005-0000-0000-0000FF0A0000}"/>
    <cellStyle name="20% - Énfasis4 3 3 3 2 2 2" xfId="7284" xr:uid="{00000000-0005-0000-0000-0000000B0000}"/>
    <cellStyle name="20% - Énfasis4 3 3 3 2 2 3" xfId="11060" xr:uid="{00000000-0005-0000-0000-0000010B0000}"/>
    <cellStyle name="20% - Énfasis4 3 3 3 2 3" xfId="5396" xr:uid="{00000000-0005-0000-0000-0000020B0000}"/>
    <cellStyle name="20% - Énfasis4 3 3 3 2 4" xfId="9172" xr:uid="{00000000-0005-0000-0000-0000030B0000}"/>
    <cellStyle name="20% - Énfasis4 3 3 3 3" xfId="2561" xr:uid="{00000000-0005-0000-0000-0000040B0000}"/>
    <cellStyle name="20% - Énfasis4 3 3 3 3 2" xfId="6340" xr:uid="{00000000-0005-0000-0000-0000050B0000}"/>
    <cellStyle name="20% - Énfasis4 3 3 3 3 3" xfId="10116" xr:uid="{00000000-0005-0000-0000-0000060B0000}"/>
    <cellStyle name="20% - Énfasis4 3 3 3 4" xfId="4452" xr:uid="{00000000-0005-0000-0000-0000070B0000}"/>
    <cellStyle name="20% - Énfasis4 3 3 3 5" xfId="8228" xr:uid="{00000000-0005-0000-0000-0000080B0000}"/>
    <cellStyle name="20% - Énfasis4 3 3 4" xfId="1143" xr:uid="{00000000-0005-0000-0000-0000090B0000}"/>
    <cellStyle name="20% - Énfasis4 3 3 4 2" xfId="3033" xr:uid="{00000000-0005-0000-0000-00000A0B0000}"/>
    <cellStyle name="20% - Énfasis4 3 3 4 2 2" xfId="6812" xr:uid="{00000000-0005-0000-0000-00000B0B0000}"/>
    <cellStyle name="20% - Énfasis4 3 3 4 2 3" xfId="10588" xr:uid="{00000000-0005-0000-0000-00000C0B0000}"/>
    <cellStyle name="20% - Énfasis4 3 3 4 3" xfId="4924" xr:uid="{00000000-0005-0000-0000-00000D0B0000}"/>
    <cellStyle name="20% - Énfasis4 3 3 4 4" xfId="8700" xr:uid="{00000000-0005-0000-0000-00000E0B0000}"/>
    <cellStyle name="20% - Énfasis4 3 3 5" xfId="2089" xr:uid="{00000000-0005-0000-0000-00000F0B0000}"/>
    <cellStyle name="20% - Énfasis4 3 3 5 2" xfId="5868" xr:uid="{00000000-0005-0000-0000-0000100B0000}"/>
    <cellStyle name="20% - Énfasis4 3 3 5 3" xfId="9644" xr:uid="{00000000-0005-0000-0000-0000110B0000}"/>
    <cellStyle name="20% - Énfasis4 3 3 6" xfId="3980" xr:uid="{00000000-0005-0000-0000-0000120B0000}"/>
    <cellStyle name="20% - Énfasis4 3 3 7" xfId="7756" xr:uid="{00000000-0005-0000-0000-0000130B0000}"/>
    <cellStyle name="20% - Énfasis4 3 4" xfId="313" xr:uid="{00000000-0005-0000-0000-0000140B0000}"/>
    <cellStyle name="20% - Énfasis4 3 4 2" xfId="787" xr:uid="{00000000-0005-0000-0000-0000150B0000}"/>
    <cellStyle name="20% - Énfasis4 3 4 2 2" xfId="1733" xr:uid="{00000000-0005-0000-0000-0000160B0000}"/>
    <cellStyle name="20% - Énfasis4 3 4 2 2 2" xfId="3623" xr:uid="{00000000-0005-0000-0000-0000170B0000}"/>
    <cellStyle name="20% - Énfasis4 3 4 2 2 2 2" xfId="7402" xr:uid="{00000000-0005-0000-0000-0000180B0000}"/>
    <cellStyle name="20% - Énfasis4 3 4 2 2 2 3" xfId="11178" xr:uid="{00000000-0005-0000-0000-0000190B0000}"/>
    <cellStyle name="20% - Énfasis4 3 4 2 2 3" xfId="5514" xr:uid="{00000000-0005-0000-0000-00001A0B0000}"/>
    <cellStyle name="20% - Énfasis4 3 4 2 2 4" xfId="9290" xr:uid="{00000000-0005-0000-0000-00001B0B0000}"/>
    <cellStyle name="20% - Énfasis4 3 4 2 3" xfId="2679" xr:uid="{00000000-0005-0000-0000-00001C0B0000}"/>
    <cellStyle name="20% - Énfasis4 3 4 2 3 2" xfId="6458" xr:uid="{00000000-0005-0000-0000-00001D0B0000}"/>
    <cellStyle name="20% - Énfasis4 3 4 2 3 3" xfId="10234" xr:uid="{00000000-0005-0000-0000-00001E0B0000}"/>
    <cellStyle name="20% - Énfasis4 3 4 2 4" xfId="4570" xr:uid="{00000000-0005-0000-0000-00001F0B0000}"/>
    <cellStyle name="20% - Énfasis4 3 4 2 5" xfId="8346" xr:uid="{00000000-0005-0000-0000-0000200B0000}"/>
    <cellStyle name="20% - Énfasis4 3 4 3" xfId="1261" xr:uid="{00000000-0005-0000-0000-0000210B0000}"/>
    <cellStyle name="20% - Énfasis4 3 4 3 2" xfId="3151" xr:uid="{00000000-0005-0000-0000-0000220B0000}"/>
    <cellStyle name="20% - Énfasis4 3 4 3 2 2" xfId="6930" xr:uid="{00000000-0005-0000-0000-0000230B0000}"/>
    <cellStyle name="20% - Énfasis4 3 4 3 2 3" xfId="10706" xr:uid="{00000000-0005-0000-0000-0000240B0000}"/>
    <cellStyle name="20% - Énfasis4 3 4 3 3" xfId="5042" xr:uid="{00000000-0005-0000-0000-0000250B0000}"/>
    <cellStyle name="20% - Énfasis4 3 4 3 4" xfId="8818" xr:uid="{00000000-0005-0000-0000-0000260B0000}"/>
    <cellStyle name="20% - Énfasis4 3 4 4" xfId="2207" xr:uid="{00000000-0005-0000-0000-0000270B0000}"/>
    <cellStyle name="20% - Énfasis4 3 4 4 2" xfId="5986" xr:uid="{00000000-0005-0000-0000-0000280B0000}"/>
    <cellStyle name="20% - Énfasis4 3 4 4 3" xfId="9762" xr:uid="{00000000-0005-0000-0000-0000290B0000}"/>
    <cellStyle name="20% - Énfasis4 3 4 5" xfId="4098" xr:uid="{00000000-0005-0000-0000-00002A0B0000}"/>
    <cellStyle name="20% - Énfasis4 3 4 6" xfId="7874" xr:uid="{00000000-0005-0000-0000-00002B0B0000}"/>
    <cellStyle name="20% - Énfasis4 3 5" xfId="551" xr:uid="{00000000-0005-0000-0000-00002C0B0000}"/>
    <cellStyle name="20% - Énfasis4 3 5 2" xfId="1497" xr:uid="{00000000-0005-0000-0000-00002D0B0000}"/>
    <cellStyle name="20% - Énfasis4 3 5 2 2" xfId="3387" xr:uid="{00000000-0005-0000-0000-00002E0B0000}"/>
    <cellStyle name="20% - Énfasis4 3 5 2 2 2" xfId="7166" xr:uid="{00000000-0005-0000-0000-00002F0B0000}"/>
    <cellStyle name="20% - Énfasis4 3 5 2 2 3" xfId="10942" xr:uid="{00000000-0005-0000-0000-0000300B0000}"/>
    <cellStyle name="20% - Énfasis4 3 5 2 3" xfId="5278" xr:uid="{00000000-0005-0000-0000-0000310B0000}"/>
    <cellStyle name="20% - Énfasis4 3 5 2 4" xfId="9054" xr:uid="{00000000-0005-0000-0000-0000320B0000}"/>
    <cellStyle name="20% - Énfasis4 3 5 3" xfId="2443" xr:uid="{00000000-0005-0000-0000-0000330B0000}"/>
    <cellStyle name="20% - Énfasis4 3 5 3 2" xfId="6222" xr:uid="{00000000-0005-0000-0000-0000340B0000}"/>
    <cellStyle name="20% - Énfasis4 3 5 3 3" xfId="9998" xr:uid="{00000000-0005-0000-0000-0000350B0000}"/>
    <cellStyle name="20% - Énfasis4 3 5 4" xfId="4334" xr:uid="{00000000-0005-0000-0000-0000360B0000}"/>
    <cellStyle name="20% - Énfasis4 3 5 5" xfId="8110" xr:uid="{00000000-0005-0000-0000-0000370B0000}"/>
    <cellStyle name="20% - Énfasis4 3 6" xfId="1025" xr:uid="{00000000-0005-0000-0000-0000380B0000}"/>
    <cellStyle name="20% - Énfasis4 3 6 2" xfId="2915" xr:uid="{00000000-0005-0000-0000-0000390B0000}"/>
    <cellStyle name="20% - Énfasis4 3 6 2 2" xfId="6694" xr:uid="{00000000-0005-0000-0000-00003A0B0000}"/>
    <cellStyle name="20% - Énfasis4 3 6 2 3" xfId="10470" xr:uid="{00000000-0005-0000-0000-00003B0B0000}"/>
    <cellStyle name="20% - Énfasis4 3 6 3" xfId="4806" xr:uid="{00000000-0005-0000-0000-00003C0B0000}"/>
    <cellStyle name="20% - Énfasis4 3 6 4" xfId="8582" xr:uid="{00000000-0005-0000-0000-00003D0B0000}"/>
    <cellStyle name="20% - Énfasis4 3 7" xfId="1971" xr:uid="{00000000-0005-0000-0000-00003E0B0000}"/>
    <cellStyle name="20% - Énfasis4 3 7 2" xfId="5750" xr:uid="{00000000-0005-0000-0000-00003F0B0000}"/>
    <cellStyle name="20% - Énfasis4 3 7 3" xfId="9526" xr:uid="{00000000-0005-0000-0000-0000400B0000}"/>
    <cellStyle name="20% - Énfasis4 3 8" xfId="3862" xr:uid="{00000000-0005-0000-0000-0000410B0000}"/>
    <cellStyle name="20% - Énfasis4 3 9" xfId="7638" xr:uid="{00000000-0005-0000-0000-0000420B0000}"/>
    <cellStyle name="20% - Énfasis4 4" xfId="98" xr:uid="{00000000-0005-0000-0000-0000430B0000}"/>
    <cellStyle name="20% - Énfasis4 4 2" xfId="223" xr:uid="{00000000-0005-0000-0000-0000440B0000}"/>
    <cellStyle name="20% - Énfasis4 4 2 2" xfId="461" xr:uid="{00000000-0005-0000-0000-0000450B0000}"/>
    <cellStyle name="20% - Énfasis4 4 2 2 2" xfId="935" xr:uid="{00000000-0005-0000-0000-0000460B0000}"/>
    <cellStyle name="20% - Énfasis4 4 2 2 2 2" xfId="1881" xr:uid="{00000000-0005-0000-0000-0000470B0000}"/>
    <cellStyle name="20% - Énfasis4 4 2 2 2 2 2" xfId="3771" xr:uid="{00000000-0005-0000-0000-0000480B0000}"/>
    <cellStyle name="20% - Énfasis4 4 2 2 2 2 2 2" xfId="7550" xr:uid="{00000000-0005-0000-0000-0000490B0000}"/>
    <cellStyle name="20% - Énfasis4 4 2 2 2 2 2 3" xfId="11326" xr:uid="{00000000-0005-0000-0000-00004A0B0000}"/>
    <cellStyle name="20% - Énfasis4 4 2 2 2 2 3" xfId="5662" xr:uid="{00000000-0005-0000-0000-00004B0B0000}"/>
    <cellStyle name="20% - Énfasis4 4 2 2 2 2 4" xfId="9438" xr:uid="{00000000-0005-0000-0000-00004C0B0000}"/>
    <cellStyle name="20% - Énfasis4 4 2 2 2 3" xfId="2827" xr:uid="{00000000-0005-0000-0000-00004D0B0000}"/>
    <cellStyle name="20% - Énfasis4 4 2 2 2 3 2" xfId="6606" xr:uid="{00000000-0005-0000-0000-00004E0B0000}"/>
    <cellStyle name="20% - Énfasis4 4 2 2 2 3 3" xfId="10382" xr:uid="{00000000-0005-0000-0000-00004F0B0000}"/>
    <cellStyle name="20% - Énfasis4 4 2 2 2 4" xfId="4718" xr:uid="{00000000-0005-0000-0000-0000500B0000}"/>
    <cellStyle name="20% - Énfasis4 4 2 2 2 5" xfId="8494" xr:uid="{00000000-0005-0000-0000-0000510B0000}"/>
    <cellStyle name="20% - Énfasis4 4 2 2 3" xfId="1409" xr:uid="{00000000-0005-0000-0000-0000520B0000}"/>
    <cellStyle name="20% - Énfasis4 4 2 2 3 2" xfId="3299" xr:uid="{00000000-0005-0000-0000-0000530B0000}"/>
    <cellStyle name="20% - Énfasis4 4 2 2 3 2 2" xfId="7078" xr:uid="{00000000-0005-0000-0000-0000540B0000}"/>
    <cellStyle name="20% - Énfasis4 4 2 2 3 2 3" xfId="10854" xr:uid="{00000000-0005-0000-0000-0000550B0000}"/>
    <cellStyle name="20% - Énfasis4 4 2 2 3 3" xfId="5190" xr:uid="{00000000-0005-0000-0000-0000560B0000}"/>
    <cellStyle name="20% - Énfasis4 4 2 2 3 4" xfId="8966" xr:uid="{00000000-0005-0000-0000-0000570B0000}"/>
    <cellStyle name="20% - Énfasis4 4 2 2 4" xfId="2355" xr:uid="{00000000-0005-0000-0000-0000580B0000}"/>
    <cellStyle name="20% - Énfasis4 4 2 2 4 2" xfId="6134" xr:uid="{00000000-0005-0000-0000-0000590B0000}"/>
    <cellStyle name="20% - Énfasis4 4 2 2 4 3" xfId="9910" xr:uid="{00000000-0005-0000-0000-00005A0B0000}"/>
    <cellStyle name="20% - Énfasis4 4 2 2 5" xfId="4246" xr:uid="{00000000-0005-0000-0000-00005B0B0000}"/>
    <cellStyle name="20% - Énfasis4 4 2 2 6" xfId="8022" xr:uid="{00000000-0005-0000-0000-00005C0B0000}"/>
    <cellStyle name="20% - Énfasis4 4 2 3" xfId="699" xr:uid="{00000000-0005-0000-0000-00005D0B0000}"/>
    <cellStyle name="20% - Énfasis4 4 2 3 2" xfId="1645" xr:uid="{00000000-0005-0000-0000-00005E0B0000}"/>
    <cellStyle name="20% - Énfasis4 4 2 3 2 2" xfId="3535" xr:uid="{00000000-0005-0000-0000-00005F0B0000}"/>
    <cellStyle name="20% - Énfasis4 4 2 3 2 2 2" xfId="7314" xr:uid="{00000000-0005-0000-0000-0000600B0000}"/>
    <cellStyle name="20% - Énfasis4 4 2 3 2 2 3" xfId="11090" xr:uid="{00000000-0005-0000-0000-0000610B0000}"/>
    <cellStyle name="20% - Énfasis4 4 2 3 2 3" xfId="5426" xr:uid="{00000000-0005-0000-0000-0000620B0000}"/>
    <cellStyle name="20% - Énfasis4 4 2 3 2 4" xfId="9202" xr:uid="{00000000-0005-0000-0000-0000630B0000}"/>
    <cellStyle name="20% - Énfasis4 4 2 3 3" xfId="2591" xr:uid="{00000000-0005-0000-0000-0000640B0000}"/>
    <cellStyle name="20% - Énfasis4 4 2 3 3 2" xfId="6370" xr:uid="{00000000-0005-0000-0000-0000650B0000}"/>
    <cellStyle name="20% - Énfasis4 4 2 3 3 3" xfId="10146" xr:uid="{00000000-0005-0000-0000-0000660B0000}"/>
    <cellStyle name="20% - Énfasis4 4 2 3 4" xfId="4482" xr:uid="{00000000-0005-0000-0000-0000670B0000}"/>
    <cellStyle name="20% - Énfasis4 4 2 3 5" xfId="8258" xr:uid="{00000000-0005-0000-0000-0000680B0000}"/>
    <cellStyle name="20% - Énfasis4 4 2 4" xfId="1173" xr:uid="{00000000-0005-0000-0000-0000690B0000}"/>
    <cellStyle name="20% - Énfasis4 4 2 4 2" xfId="3063" xr:uid="{00000000-0005-0000-0000-00006A0B0000}"/>
    <cellStyle name="20% - Énfasis4 4 2 4 2 2" xfId="6842" xr:uid="{00000000-0005-0000-0000-00006B0B0000}"/>
    <cellStyle name="20% - Énfasis4 4 2 4 2 3" xfId="10618" xr:uid="{00000000-0005-0000-0000-00006C0B0000}"/>
    <cellStyle name="20% - Énfasis4 4 2 4 3" xfId="4954" xr:uid="{00000000-0005-0000-0000-00006D0B0000}"/>
    <cellStyle name="20% - Énfasis4 4 2 4 4" xfId="8730" xr:uid="{00000000-0005-0000-0000-00006E0B0000}"/>
    <cellStyle name="20% - Énfasis4 4 2 5" xfId="2119" xr:uid="{00000000-0005-0000-0000-00006F0B0000}"/>
    <cellStyle name="20% - Énfasis4 4 2 5 2" xfId="5898" xr:uid="{00000000-0005-0000-0000-0000700B0000}"/>
    <cellStyle name="20% - Énfasis4 4 2 5 3" xfId="9674" xr:uid="{00000000-0005-0000-0000-0000710B0000}"/>
    <cellStyle name="20% - Énfasis4 4 2 6" xfId="4010" xr:uid="{00000000-0005-0000-0000-0000720B0000}"/>
    <cellStyle name="20% - Énfasis4 4 2 7" xfId="7786" xr:uid="{00000000-0005-0000-0000-0000730B0000}"/>
    <cellStyle name="20% - Énfasis4 4 3" xfId="343" xr:uid="{00000000-0005-0000-0000-0000740B0000}"/>
    <cellStyle name="20% - Énfasis4 4 3 2" xfId="817" xr:uid="{00000000-0005-0000-0000-0000750B0000}"/>
    <cellStyle name="20% - Énfasis4 4 3 2 2" xfId="1763" xr:uid="{00000000-0005-0000-0000-0000760B0000}"/>
    <cellStyle name="20% - Énfasis4 4 3 2 2 2" xfId="3653" xr:uid="{00000000-0005-0000-0000-0000770B0000}"/>
    <cellStyle name="20% - Énfasis4 4 3 2 2 2 2" xfId="7432" xr:uid="{00000000-0005-0000-0000-0000780B0000}"/>
    <cellStyle name="20% - Énfasis4 4 3 2 2 2 3" xfId="11208" xr:uid="{00000000-0005-0000-0000-0000790B0000}"/>
    <cellStyle name="20% - Énfasis4 4 3 2 2 3" xfId="5544" xr:uid="{00000000-0005-0000-0000-00007A0B0000}"/>
    <cellStyle name="20% - Énfasis4 4 3 2 2 4" xfId="9320" xr:uid="{00000000-0005-0000-0000-00007B0B0000}"/>
    <cellStyle name="20% - Énfasis4 4 3 2 3" xfId="2709" xr:uid="{00000000-0005-0000-0000-00007C0B0000}"/>
    <cellStyle name="20% - Énfasis4 4 3 2 3 2" xfId="6488" xr:uid="{00000000-0005-0000-0000-00007D0B0000}"/>
    <cellStyle name="20% - Énfasis4 4 3 2 3 3" xfId="10264" xr:uid="{00000000-0005-0000-0000-00007E0B0000}"/>
    <cellStyle name="20% - Énfasis4 4 3 2 4" xfId="4600" xr:uid="{00000000-0005-0000-0000-00007F0B0000}"/>
    <cellStyle name="20% - Énfasis4 4 3 2 5" xfId="8376" xr:uid="{00000000-0005-0000-0000-0000800B0000}"/>
    <cellStyle name="20% - Énfasis4 4 3 3" xfId="1291" xr:uid="{00000000-0005-0000-0000-0000810B0000}"/>
    <cellStyle name="20% - Énfasis4 4 3 3 2" xfId="3181" xr:uid="{00000000-0005-0000-0000-0000820B0000}"/>
    <cellStyle name="20% - Énfasis4 4 3 3 2 2" xfId="6960" xr:uid="{00000000-0005-0000-0000-0000830B0000}"/>
    <cellStyle name="20% - Énfasis4 4 3 3 2 3" xfId="10736" xr:uid="{00000000-0005-0000-0000-0000840B0000}"/>
    <cellStyle name="20% - Énfasis4 4 3 3 3" xfId="5072" xr:uid="{00000000-0005-0000-0000-0000850B0000}"/>
    <cellStyle name="20% - Énfasis4 4 3 3 4" xfId="8848" xr:uid="{00000000-0005-0000-0000-0000860B0000}"/>
    <cellStyle name="20% - Énfasis4 4 3 4" xfId="2237" xr:uid="{00000000-0005-0000-0000-0000870B0000}"/>
    <cellStyle name="20% - Énfasis4 4 3 4 2" xfId="6016" xr:uid="{00000000-0005-0000-0000-0000880B0000}"/>
    <cellStyle name="20% - Énfasis4 4 3 4 3" xfId="9792" xr:uid="{00000000-0005-0000-0000-0000890B0000}"/>
    <cellStyle name="20% - Énfasis4 4 3 5" xfId="4128" xr:uid="{00000000-0005-0000-0000-00008A0B0000}"/>
    <cellStyle name="20% - Énfasis4 4 3 6" xfId="7904" xr:uid="{00000000-0005-0000-0000-00008B0B0000}"/>
    <cellStyle name="20% - Énfasis4 4 4" xfId="581" xr:uid="{00000000-0005-0000-0000-00008C0B0000}"/>
    <cellStyle name="20% - Énfasis4 4 4 2" xfId="1527" xr:uid="{00000000-0005-0000-0000-00008D0B0000}"/>
    <cellStyle name="20% - Énfasis4 4 4 2 2" xfId="3417" xr:uid="{00000000-0005-0000-0000-00008E0B0000}"/>
    <cellStyle name="20% - Énfasis4 4 4 2 2 2" xfId="7196" xr:uid="{00000000-0005-0000-0000-00008F0B0000}"/>
    <cellStyle name="20% - Énfasis4 4 4 2 2 3" xfId="10972" xr:uid="{00000000-0005-0000-0000-0000900B0000}"/>
    <cellStyle name="20% - Énfasis4 4 4 2 3" xfId="5308" xr:uid="{00000000-0005-0000-0000-0000910B0000}"/>
    <cellStyle name="20% - Énfasis4 4 4 2 4" xfId="9084" xr:uid="{00000000-0005-0000-0000-0000920B0000}"/>
    <cellStyle name="20% - Énfasis4 4 4 3" xfId="2473" xr:uid="{00000000-0005-0000-0000-0000930B0000}"/>
    <cellStyle name="20% - Énfasis4 4 4 3 2" xfId="6252" xr:uid="{00000000-0005-0000-0000-0000940B0000}"/>
    <cellStyle name="20% - Énfasis4 4 4 3 3" xfId="10028" xr:uid="{00000000-0005-0000-0000-0000950B0000}"/>
    <cellStyle name="20% - Énfasis4 4 4 4" xfId="4364" xr:uid="{00000000-0005-0000-0000-0000960B0000}"/>
    <cellStyle name="20% - Énfasis4 4 4 5" xfId="8140" xr:uid="{00000000-0005-0000-0000-0000970B0000}"/>
    <cellStyle name="20% - Énfasis4 4 5" xfId="1055" xr:uid="{00000000-0005-0000-0000-0000980B0000}"/>
    <cellStyle name="20% - Énfasis4 4 5 2" xfId="2945" xr:uid="{00000000-0005-0000-0000-0000990B0000}"/>
    <cellStyle name="20% - Énfasis4 4 5 2 2" xfId="6724" xr:uid="{00000000-0005-0000-0000-00009A0B0000}"/>
    <cellStyle name="20% - Énfasis4 4 5 2 3" xfId="10500" xr:uid="{00000000-0005-0000-0000-00009B0B0000}"/>
    <cellStyle name="20% - Énfasis4 4 5 3" xfId="4836" xr:uid="{00000000-0005-0000-0000-00009C0B0000}"/>
    <cellStyle name="20% - Énfasis4 4 5 4" xfId="8612" xr:uid="{00000000-0005-0000-0000-00009D0B0000}"/>
    <cellStyle name="20% - Énfasis4 4 6" xfId="2001" xr:uid="{00000000-0005-0000-0000-00009E0B0000}"/>
    <cellStyle name="20% - Énfasis4 4 6 2" xfId="5780" xr:uid="{00000000-0005-0000-0000-00009F0B0000}"/>
    <cellStyle name="20% - Énfasis4 4 6 3" xfId="9556" xr:uid="{00000000-0005-0000-0000-0000A00B0000}"/>
    <cellStyle name="20% - Énfasis4 4 7" xfId="3892" xr:uid="{00000000-0005-0000-0000-0000A10B0000}"/>
    <cellStyle name="20% - Énfasis4 4 8" xfId="7668" xr:uid="{00000000-0005-0000-0000-0000A20B0000}"/>
    <cellStyle name="20% - Énfasis4 5" xfId="162" xr:uid="{00000000-0005-0000-0000-0000A30B0000}"/>
    <cellStyle name="20% - Énfasis4 5 2" xfId="402" xr:uid="{00000000-0005-0000-0000-0000A40B0000}"/>
    <cellStyle name="20% - Énfasis4 5 2 2" xfId="876" xr:uid="{00000000-0005-0000-0000-0000A50B0000}"/>
    <cellStyle name="20% - Énfasis4 5 2 2 2" xfId="1822" xr:uid="{00000000-0005-0000-0000-0000A60B0000}"/>
    <cellStyle name="20% - Énfasis4 5 2 2 2 2" xfId="3712" xr:uid="{00000000-0005-0000-0000-0000A70B0000}"/>
    <cellStyle name="20% - Énfasis4 5 2 2 2 2 2" xfId="7491" xr:uid="{00000000-0005-0000-0000-0000A80B0000}"/>
    <cellStyle name="20% - Énfasis4 5 2 2 2 2 3" xfId="11267" xr:uid="{00000000-0005-0000-0000-0000A90B0000}"/>
    <cellStyle name="20% - Énfasis4 5 2 2 2 3" xfId="5603" xr:uid="{00000000-0005-0000-0000-0000AA0B0000}"/>
    <cellStyle name="20% - Énfasis4 5 2 2 2 4" xfId="9379" xr:uid="{00000000-0005-0000-0000-0000AB0B0000}"/>
    <cellStyle name="20% - Énfasis4 5 2 2 3" xfId="2768" xr:uid="{00000000-0005-0000-0000-0000AC0B0000}"/>
    <cellStyle name="20% - Énfasis4 5 2 2 3 2" xfId="6547" xr:uid="{00000000-0005-0000-0000-0000AD0B0000}"/>
    <cellStyle name="20% - Énfasis4 5 2 2 3 3" xfId="10323" xr:uid="{00000000-0005-0000-0000-0000AE0B0000}"/>
    <cellStyle name="20% - Énfasis4 5 2 2 4" xfId="4659" xr:uid="{00000000-0005-0000-0000-0000AF0B0000}"/>
    <cellStyle name="20% - Énfasis4 5 2 2 5" xfId="8435" xr:uid="{00000000-0005-0000-0000-0000B00B0000}"/>
    <cellStyle name="20% - Énfasis4 5 2 3" xfId="1350" xr:uid="{00000000-0005-0000-0000-0000B10B0000}"/>
    <cellStyle name="20% - Énfasis4 5 2 3 2" xfId="3240" xr:uid="{00000000-0005-0000-0000-0000B20B0000}"/>
    <cellStyle name="20% - Énfasis4 5 2 3 2 2" xfId="7019" xr:uid="{00000000-0005-0000-0000-0000B30B0000}"/>
    <cellStyle name="20% - Énfasis4 5 2 3 2 3" xfId="10795" xr:uid="{00000000-0005-0000-0000-0000B40B0000}"/>
    <cellStyle name="20% - Énfasis4 5 2 3 3" xfId="5131" xr:uid="{00000000-0005-0000-0000-0000B50B0000}"/>
    <cellStyle name="20% - Énfasis4 5 2 3 4" xfId="8907" xr:uid="{00000000-0005-0000-0000-0000B60B0000}"/>
    <cellStyle name="20% - Énfasis4 5 2 4" xfId="2296" xr:uid="{00000000-0005-0000-0000-0000B70B0000}"/>
    <cellStyle name="20% - Énfasis4 5 2 4 2" xfId="6075" xr:uid="{00000000-0005-0000-0000-0000B80B0000}"/>
    <cellStyle name="20% - Énfasis4 5 2 4 3" xfId="9851" xr:uid="{00000000-0005-0000-0000-0000B90B0000}"/>
    <cellStyle name="20% - Énfasis4 5 2 5" xfId="4187" xr:uid="{00000000-0005-0000-0000-0000BA0B0000}"/>
    <cellStyle name="20% - Énfasis4 5 2 6" xfId="7963" xr:uid="{00000000-0005-0000-0000-0000BB0B0000}"/>
    <cellStyle name="20% - Énfasis4 5 3" xfId="640" xr:uid="{00000000-0005-0000-0000-0000BC0B0000}"/>
    <cellStyle name="20% - Énfasis4 5 3 2" xfId="1586" xr:uid="{00000000-0005-0000-0000-0000BD0B0000}"/>
    <cellStyle name="20% - Énfasis4 5 3 2 2" xfId="3476" xr:uid="{00000000-0005-0000-0000-0000BE0B0000}"/>
    <cellStyle name="20% - Énfasis4 5 3 2 2 2" xfId="7255" xr:uid="{00000000-0005-0000-0000-0000BF0B0000}"/>
    <cellStyle name="20% - Énfasis4 5 3 2 2 3" xfId="11031" xr:uid="{00000000-0005-0000-0000-0000C00B0000}"/>
    <cellStyle name="20% - Énfasis4 5 3 2 3" xfId="5367" xr:uid="{00000000-0005-0000-0000-0000C10B0000}"/>
    <cellStyle name="20% - Énfasis4 5 3 2 4" xfId="9143" xr:uid="{00000000-0005-0000-0000-0000C20B0000}"/>
    <cellStyle name="20% - Énfasis4 5 3 3" xfId="2532" xr:uid="{00000000-0005-0000-0000-0000C30B0000}"/>
    <cellStyle name="20% - Énfasis4 5 3 3 2" xfId="6311" xr:uid="{00000000-0005-0000-0000-0000C40B0000}"/>
    <cellStyle name="20% - Énfasis4 5 3 3 3" xfId="10087" xr:uid="{00000000-0005-0000-0000-0000C50B0000}"/>
    <cellStyle name="20% - Énfasis4 5 3 4" xfId="4423" xr:uid="{00000000-0005-0000-0000-0000C60B0000}"/>
    <cellStyle name="20% - Énfasis4 5 3 5" xfId="8199" xr:uid="{00000000-0005-0000-0000-0000C70B0000}"/>
    <cellStyle name="20% - Énfasis4 5 4" xfId="1114" xr:uid="{00000000-0005-0000-0000-0000C80B0000}"/>
    <cellStyle name="20% - Énfasis4 5 4 2" xfId="3004" xr:uid="{00000000-0005-0000-0000-0000C90B0000}"/>
    <cellStyle name="20% - Énfasis4 5 4 2 2" xfId="6783" xr:uid="{00000000-0005-0000-0000-0000CA0B0000}"/>
    <cellStyle name="20% - Énfasis4 5 4 2 3" xfId="10559" xr:uid="{00000000-0005-0000-0000-0000CB0B0000}"/>
    <cellStyle name="20% - Énfasis4 5 4 3" xfId="4895" xr:uid="{00000000-0005-0000-0000-0000CC0B0000}"/>
    <cellStyle name="20% - Énfasis4 5 4 4" xfId="8671" xr:uid="{00000000-0005-0000-0000-0000CD0B0000}"/>
    <cellStyle name="20% - Énfasis4 5 5" xfId="2060" xr:uid="{00000000-0005-0000-0000-0000CE0B0000}"/>
    <cellStyle name="20% - Énfasis4 5 5 2" xfId="5839" xr:uid="{00000000-0005-0000-0000-0000CF0B0000}"/>
    <cellStyle name="20% - Énfasis4 5 5 3" xfId="9615" xr:uid="{00000000-0005-0000-0000-0000D00B0000}"/>
    <cellStyle name="20% - Énfasis4 5 6" xfId="3951" xr:uid="{00000000-0005-0000-0000-0000D10B0000}"/>
    <cellStyle name="20% - Énfasis4 5 7" xfId="7727" xr:uid="{00000000-0005-0000-0000-0000D20B0000}"/>
    <cellStyle name="20% - Énfasis4 6" xfId="282" xr:uid="{00000000-0005-0000-0000-0000D30B0000}"/>
    <cellStyle name="20% - Énfasis4 6 2" xfId="758" xr:uid="{00000000-0005-0000-0000-0000D40B0000}"/>
    <cellStyle name="20% - Énfasis4 6 2 2" xfId="1704" xr:uid="{00000000-0005-0000-0000-0000D50B0000}"/>
    <cellStyle name="20% - Énfasis4 6 2 2 2" xfId="3594" xr:uid="{00000000-0005-0000-0000-0000D60B0000}"/>
    <cellStyle name="20% - Énfasis4 6 2 2 2 2" xfId="7373" xr:uid="{00000000-0005-0000-0000-0000D70B0000}"/>
    <cellStyle name="20% - Énfasis4 6 2 2 2 3" xfId="11149" xr:uid="{00000000-0005-0000-0000-0000D80B0000}"/>
    <cellStyle name="20% - Énfasis4 6 2 2 3" xfId="5485" xr:uid="{00000000-0005-0000-0000-0000D90B0000}"/>
    <cellStyle name="20% - Énfasis4 6 2 2 4" xfId="9261" xr:uid="{00000000-0005-0000-0000-0000DA0B0000}"/>
    <cellStyle name="20% - Énfasis4 6 2 3" xfId="2650" xr:uid="{00000000-0005-0000-0000-0000DB0B0000}"/>
    <cellStyle name="20% - Énfasis4 6 2 3 2" xfId="6429" xr:uid="{00000000-0005-0000-0000-0000DC0B0000}"/>
    <cellStyle name="20% - Énfasis4 6 2 3 3" xfId="10205" xr:uid="{00000000-0005-0000-0000-0000DD0B0000}"/>
    <cellStyle name="20% - Énfasis4 6 2 4" xfId="4541" xr:uid="{00000000-0005-0000-0000-0000DE0B0000}"/>
    <cellStyle name="20% - Énfasis4 6 2 5" xfId="8317" xr:uid="{00000000-0005-0000-0000-0000DF0B0000}"/>
    <cellStyle name="20% - Énfasis4 6 3" xfId="1232" xr:uid="{00000000-0005-0000-0000-0000E00B0000}"/>
    <cellStyle name="20% - Énfasis4 6 3 2" xfId="3122" xr:uid="{00000000-0005-0000-0000-0000E10B0000}"/>
    <cellStyle name="20% - Énfasis4 6 3 2 2" xfId="6901" xr:uid="{00000000-0005-0000-0000-0000E20B0000}"/>
    <cellStyle name="20% - Énfasis4 6 3 2 3" xfId="10677" xr:uid="{00000000-0005-0000-0000-0000E30B0000}"/>
    <cellStyle name="20% - Énfasis4 6 3 3" xfId="5013" xr:uid="{00000000-0005-0000-0000-0000E40B0000}"/>
    <cellStyle name="20% - Énfasis4 6 3 4" xfId="8789" xr:uid="{00000000-0005-0000-0000-0000E50B0000}"/>
    <cellStyle name="20% - Énfasis4 6 4" xfId="2178" xr:uid="{00000000-0005-0000-0000-0000E60B0000}"/>
    <cellStyle name="20% - Énfasis4 6 4 2" xfId="5957" xr:uid="{00000000-0005-0000-0000-0000E70B0000}"/>
    <cellStyle name="20% - Énfasis4 6 4 3" xfId="9733" xr:uid="{00000000-0005-0000-0000-0000E80B0000}"/>
    <cellStyle name="20% - Énfasis4 6 5" xfId="4069" xr:uid="{00000000-0005-0000-0000-0000E90B0000}"/>
    <cellStyle name="20% - Énfasis4 6 6" xfId="7845" xr:uid="{00000000-0005-0000-0000-0000EA0B0000}"/>
    <cellStyle name="20% - Énfasis4 7" xfId="520" xr:uid="{00000000-0005-0000-0000-0000EB0B0000}"/>
    <cellStyle name="20% - Énfasis4 7 2" xfId="1468" xr:uid="{00000000-0005-0000-0000-0000EC0B0000}"/>
    <cellStyle name="20% - Énfasis4 7 2 2" xfId="3358" xr:uid="{00000000-0005-0000-0000-0000ED0B0000}"/>
    <cellStyle name="20% - Énfasis4 7 2 2 2" xfId="7137" xr:uid="{00000000-0005-0000-0000-0000EE0B0000}"/>
    <cellStyle name="20% - Énfasis4 7 2 2 3" xfId="10913" xr:uid="{00000000-0005-0000-0000-0000EF0B0000}"/>
    <cellStyle name="20% - Énfasis4 7 2 3" xfId="5249" xr:uid="{00000000-0005-0000-0000-0000F00B0000}"/>
    <cellStyle name="20% - Énfasis4 7 2 4" xfId="9025" xr:uid="{00000000-0005-0000-0000-0000F10B0000}"/>
    <cellStyle name="20% - Énfasis4 7 3" xfId="2414" xr:uid="{00000000-0005-0000-0000-0000F20B0000}"/>
    <cellStyle name="20% - Énfasis4 7 3 2" xfId="6193" xr:uid="{00000000-0005-0000-0000-0000F30B0000}"/>
    <cellStyle name="20% - Énfasis4 7 3 3" xfId="9969" xr:uid="{00000000-0005-0000-0000-0000F40B0000}"/>
    <cellStyle name="20% - Énfasis4 7 4" xfId="4305" xr:uid="{00000000-0005-0000-0000-0000F50B0000}"/>
    <cellStyle name="20% - Énfasis4 7 5" xfId="8081" xr:uid="{00000000-0005-0000-0000-0000F60B0000}"/>
    <cellStyle name="20% - Énfasis4 8" xfId="994" xr:uid="{00000000-0005-0000-0000-0000F70B0000}"/>
    <cellStyle name="20% - Énfasis4 8 2" xfId="2886" xr:uid="{00000000-0005-0000-0000-0000F80B0000}"/>
    <cellStyle name="20% - Énfasis4 8 2 2" xfId="6665" xr:uid="{00000000-0005-0000-0000-0000F90B0000}"/>
    <cellStyle name="20% - Énfasis4 8 2 3" xfId="10441" xr:uid="{00000000-0005-0000-0000-0000FA0B0000}"/>
    <cellStyle name="20% - Énfasis4 8 3" xfId="4777" xr:uid="{00000000-0005-0000-0000-0000FB0B0000}"/>
    <cellStyle name="20% - Énfasis4 8 4" xfId="8553" xr:uid="{00000000-0005-0000-0000-0000FC0B0000}"/>
    <cellStyle name="20% - Énfasis4 9" xfId="1940" xr:uid="{00000000-0005-0000-0000-0000FD0B0000}"/>
    <cellStyle name="20% - Énfasis4 9 2" xfId="5721" xr:uid="{00000000-0005-0000-0000-0000FE0B0000}"/>
    <cellStyle name="20% - Énfasis4 9 3" xfId="9497" xr:uid="{00000000-0005-0000-0000-0000FF0B0000}"/>
    <cellStyle name="20% - Énfasis5" xfId="35" builtinId="46" customBuiltin="1"/>
    <cellStyle name="20% - Énfasis5 10" xfId="3833" xr:uid="{00000000-0005-0000-0000-0000010C0000}"/>
    <cellStyle name="20% - Énfasis5 11" xfId="7611" xr:uid="{00000000-0005-0000-0000-0000020C0000}"/>
    <cellStyle name="20% - Énfasis5 2" xfId="54" xr:uid="{00000000-0005-0000-0000-0000030C0000}"/>
    <cellStyle name="20% - Énfasis5 2 10" xfId="7627" xr:uid="{00000000-0005-0000-0000-0000040C0000}"/>
    <cellStyle name="20% - Énfasis5 2 2" xfId="85" xr:uid="{00000000-0005-0000-0000-0000050C0000}"/>
    <cellStyle name="20% - Énfasis5 2 2 2" xfId="148" xr:uid="{00000000-0005-0000-0000-0000060C0000}"/>
    <cellStyle name="20% - Énfasis5 2 2 2 2" xfId="270" xr:uid="{00000000-0005-0000-0000-0000070C0000}"/>
    <cellStyle name="20% - Énfasis5 2 2 2 2 2" xfId="508" xr:uid="{00000000-0005-0000-0000-0000080C0000}"/>
    <cellStyle name="20% - Énfasis5 2 2 2 2 2 2" xfId="982" xr:uid="{00000000-0005-0000-0000-0000090C0000}"/>
    <cellStyle name="20% - Énfasis5 2 2 2 2 2 2 2" xfId="1928" xr:uid="{00000000-0005-0000-0000-00000A0C0000}"/>
    <cellStyle name="20% - Énfasis5 2 2 2 2 2 2 2 2" xfId="3818" xr:uid="{00000000-0005-0000-0000-00000B0C0000}"/>
    <cellStyle name="20% - Énfasis5 2 2 2 2 2 2 2 2 2" xfId="7597" xr:uid="{00000000-0005-0000-0000-00000C0C0000}"/>
    <cellStyle name="20% - Énfasis5 2 2 2 2 2 2 2 2 3" xfId="11373" xr:uid="{00000000-0005-0000-0000-00000D0C0000}"/>
    <cellStyle name="20% - Énfasis5 2 2 2 2 2 2 2 3" xfId="5709" xr:uid="{00000000-0005-0000-0000-00000E0C0000}"/>
    <cellStyle name="20% - Énfasis5 2 2 2 2 2 2 2 4" xfId="9485" xr:uid="{00000000-0005-0000-0000-00000F0C0000}"/>
    <cellStyle name="20% - Énfasis5 2 2 2 2 2 2 3" xfId="2874" xr:uid="{00000000-0005-0000-0000-0000100C0000}"/>
    <cellStyle name="20% - Énfasis5 2 2 2 2 2 2 3 2" xfId="6653" xr:uid="{00000000-0005-0000-0000-0000110C0000}"/>
    <cellStyle name="20% - Énfasis5 2 2 2 2 2 2 3 3" xfId="10429" xr:uid="{00000000-0005-0000-0000-0000120C0000}"/>
    <cellStyle name="20% - Énfasis5 2 2 2 2 2 2 4" xfId="4765" xr:uid="{00000000-0005-0000-0000-0000130C0000}"/>
    <cellStyle name="20% - Énfasis5 2 2 2 2 2 2 5" xfId="8541" xr:uid="{00000000-0005-0000-0000-0000140C0000}"/>
    <cellStyle name="20% - Énfasis5 2 2 2 2 2 3" xfId="1456" xr:uid="{00000000-0005-0000-0000-0000150C0000}"/>
    <cellStyle name="20% - Énfasis5 2 2 2 2 2 3 2" xfId="3346" xr:uid="{00000000-0005-0000-0000-0000160C0000}"/>
    <cellStyle name="20% - Énfasis5 2 2 2 2 2 3 2 2" xfId="7125" xr:uid="{00000000-0005-0000-0000-0000170C0000}"/>
    <cellStyle name="20% - Énfasis5 2 2 2 2 2 3 2 3" xfId="10901" xr:uid="{00000000-0005-0000-0000-0000180C0000}"/>
    <cellStyle name="20% - Énfasis5 2 2 2 2 2 3 3" xfId="5237" xr:uid="{00000000-0005-0000-0000-0000190C0000}"/>
    <cellStyle name="20% - Énfasis5 2 2 2 2 2 3 4" xfId="9013" xr:uid="{00000000-0005-0000-0000-00001A0C0000}"/>
    <cellStyle name="20% - Énfasis5 2 2 2 2 2 4" xfId="2402" xr:uid="{00000000-0005-0000-0000-00001B0C0000}"/>
    <cellStyle name="20% - Énfasis5 2 2 2 2 2 4 2" xfId="6181" xr:uid="{00000000-0005-0000-0000-00001C0C0000}"/>
    <cellStyle name="20% - Énfasis5 2 2 2 2 2 4 3" xfId="9957" xr:uid="{00000000-0005-0000-0000-00001D0C0000}"/>
    <cellStyle name="20% - Énfasis5 2 2 2 2 2 5" xfId="4293" xr:uid="{00000000-0005-0000-0000-00001E0C0000}"/>
    <cellStyle name="20% - Énfasis5 2 2 2 2 2 6" xfId="8069" xr:uid="{00000000-0005-0000-0000-00001F0C0000}"/>
    <cellStyle name="20% - Énfasis5 2 2 2 2 3" xfId="746" xr:uid="{00000000-0005-0000-0000-0000200C0000}"/>
    <cellStyle name="20% - Énfasis5 2 2 2 2 3 2" xfId="1692" xr:uid="{00000000-0005-0000-0000-0000210C0000}"/>
    <cellStyle name="20% - Énfasis5 2 2 2 2 3 2 2" xfId="3582" xr:uid="{00000000-0005-0000-0000-0000220C0000}"/>
    <cellStyle name="20% - Énfasis5 2 2 2 2 3 2 2 2" xfId="7361" xr:uid="{00000000-0005-0000-0000-0000230C0000}"/>
    <cellStyle name="20% - Énfasis5 2 2 2 2 3 2 2 3" xfId="11137" xr:uid="{00000000-0005-0000-0000-0000240C0000}"/>
    <cellStyle name="20% - Énfasis5 2 2 2 2 3 2 3" xfId="5473" xr:uid="{00000000-0005-0000-0000-0000250C0000}"/>
    <cellStyle name="20% - Énfasis5 2 2 2 2 3 2 4" xfId="9249" xr:uid="{00000000-0005-0000-0000-0000260C0000}"/>
    <cellStyle name="20% - Énfasis5 2 2 2 2 3 3" xfId="2638" xr:uid="{00000000-0005-0000-0000-0000270C0000}"/>
    <cellStyle name="20% - Énfasis5 2 2 2 2 3 3 2" xfId="6417" xr:uid="{00000000-0005-0000-0000-0000280C0000}"/>
    <cellStyle name="20% - Énfasis5 2 2 2 2 3 3 3" xfId="10193" xr:uid="{00000000-0005-0000-0000-0000290C0000}"/>
    <cellStyle name="20% - Énfasis5 2 2 2 2 3 4" xfId="4529" xr:uid="{00000000-0005-0000-0000-00002A0C0000}"/>
    <cellStyle name="20% - Énfasis5 2 2 2 2 3 5" xfId="8305" xr:uid="{00000000-0005-0000-0000-00002B0C0000}"/>
    <cellStyle name="20% - Énfasis5 2 2 2 2 4" xfId="1220" xr:uid="{00000000-0005-0000-0000-00002C0C0000}"/>
    <cellStyle name="20% - Énfasis5 2 2 2 2 4 2" xfId="3110" xr:uid="{00000000-0005-0000-0000-00002D0C0000}"/>
    <cellStyle name="20% - Énfasis5 2 2 2 2 4 2 2" xfId="6889" xr:uid="{00000000-0005-0000-0000-00002E0C0000}"/>
    <cellStyle name="20% - Énfasis5 2 2 2 2 4 2 3" xfId="10665" xr:uid="{00000000-0005-0000-0000-00002F0C0000}"/>
    <cellStyle name="20% - Énfasis5 2 2 2 2 4 3" xfId="5001" xr:uid="{00000000-0005-0000-0000-0000300C0000}"/>
    <cellStyle name="20% - Énfasis5 2 2 2 2 4 4" xfId="8777" xr:uid="{00000000-0005-0000-0000-0000310C0000}"/>
    <cellStyle name="20% - Énfasis5 2 2 2 2 5" xfId="2166" xr:uid="{00000000-0005-0000-0000-0000320C0000}"/>
    <cellStyle name="20% - Énfasis5 2 2 2 2 5 2" xfId="5945" xr:uid="{00000000-0005-0000-0000-0000330C0000}"/>
    <cellStyle name="20% - Énfasis5 2 2 2 2 5 3" xfId="9721" xr:uid="{00000000-0005-0000-0000-0000340C0000}"/>
    <cellStyle name="20% - Énfasis5 2 2 2 2 6" xfId="4057" xr:uid="{00000000-0005-0000-0000-0000350C0000}"/>
    <cellStyle name="20% - Énfasis5 2 2 2 2 7" xfId="7833" xr:uid="{00000000-0005-0000-0000-0000360C0000}"/>
    <cellStyle name="20% - Énfasis5 2 2 2 3" xfId="390" xr:uid="{00000000-0005-0000-0000-0000370C0000}"/>
    <cellStyle name="20% - Énfasis5 2 2 2 3 2" xfId="864" xr:uid="{00000000-0005-0000-0000-0000380C0000}"/>
    <cellStyle name="20% - Énfasis5 2 2 2 3 2 2" xfId="1810" xr:uid="{00000000-0005-0000-0000-0000390C0000}"/>
    <cellStyle name="20% - Énfasis5 2 2 2 3 2 2 2" xfId="3700" xr:uid="{00000000-0005-0000-0000-00003A0C0000}"/>
    <cellStyle name="20% - Énfasis5 2 2 2 3 2 2 2 2" xfId="7479" xr:uid="{00000000-0005-0000-0000-00003B0C0000}"/>
    <cellStyle name="20% - Énfasis5 2 2 2 3 2 2 2 3" xfId="11255" xr:uid="{00000000-0005-0000-0000-00003C0C0000}"/>
    <cellStyle name="20% - Énfasis5 2 2 2 3 2 2 3" xfId="5591" xr:uid="{00000000-0005-0000-0000-00003D0C0000}"/>
    <cellStyle name="20% - Énfasis5 2 2 2 3 2 2 4" xfId="9367" xr:uid="{00000000-0005-0000-0000-00003E0C0000}"/>
    <cellStyle name="20% - Énfasis5 2 2 2 3 2 3" xfId="2756" xr:uid="{00000000-0005-0000-0000-00003F0C0000}"/>
    <cellStyle name="20% - Énfasis5 2 2 2 3 2 3 2" xfId="6535" xr:uid="{00000000-0005-0000-0000-0000400C0000}"/>
    <cellStyle name="20% - Énfasis5 2 2 2 3 2 3 3" xfId="10311" xr:uid="{00000000-0005-0000-0000-0000410C0000}"/>
    <cellStyle name="20% - Énfasis5 2 2 2 3 2 4" xfId="4647" xr:uid="{00000000-0005-0000-0000-0000420C0000}"/>
    <cellStyle name="20% - Énfasis5 2 2 2 3 2 5" xfId="8423" xr:uid="{00000000-0005-0000-0000-0000430C0000}"/>
    <cellStyle name="20% - Énfasis5 2 2 2 3 3" xfId="1338" xr:uid="{00000000-0005-0000-0000-0000440C0000}"/>
    <cellStyle name="20% - Énfasis5 2 2 2 3 3 2" xfId="3228" xr:uid="{00000000-0005-0000-0000-0000450C0000}"/>
    <cellStyle name="20% - Énfasis5 2 2 2 3 3 2 2" xfId="7007" xr:uid="{00000000-0005-0000-0000-0000460C0000}"/>
    <cellStyle name="20% - Énfasis5 2 2 2 3 3 2 3" xfId="10783" xr:uid="{00000000-0005-0000-0000-0000470C0000}"/>
    <cellStyle name="20% - Énfasis5 2 2 2 3 3 3" xfId="5119" xr:uid="{00000000-0005-0000-0000-0000480C0000}"/>
    <cellStyle name="20% - Énfasis5 2 2 2 3 3 4" xfId="8895" xr:uid="{00000000-0005-0000-0000-0000490C0000}"/>
    <cellStyle name="20% - Énfasis5 2 2 2 3 4" xfId="2284" xr:uid="{00000000-0005-0000-0000-00004A0C0000}"/>
    <cellStyle name="20% - Énfasis5 2 2 2 3 4 2" xfId="6063" xr:uid="{00000000-0005-0000-0000-00004B0C0000}"/>
    <cellStyle name="20% - Énfasis5 2 2 2 3 4 3" xfId="9839" xr:uid="{00000000-0005-0000-0000-00004C0C0000}"/>
    <cellStyle name="20% - Énfasis5 2 2 2 3 5" xfId="4175" xr:uid="{00000000-0005-0000-0000-00004D0C0000}"/>
    <cellStyle name="20% - Énfasis5 2 2 2 3 6" xfId="7951" xr:uid="{00000000-0005-0000-0000-00004E0C0000}"/>
    <cellStyle name="20% - Énfasis5 2 2 2 4" xfId="628" xr:uid="{00000000-0005-0000-0000-00004F0C0000}"/>
    <cellStyle name="20% - Énfasis5 2 2 2 4 2" xfId="1574" xr:uid="{00000000-0005-0000-0000-0000500C0000}"/>
    <cellStyle name="20% - Énfasis5 2 2 2 4 2 2" xfId="3464" xr:uid="{00000000-0005-0000-0000-0000510C0000}"/>
    <cellStyle name="20% - Énfasis5 2 2 2 4 2 2 2" xfId="7243" xr:uid="{00000000-0005-0000-0000-0000520C0000}"/>
    <cellStyle name="20% - Énfasis5 2 2 2 4 2 2 3" xfId="11019" xr:uid="{00000000-0005-0000-0000-0000530C0000}"/>
    <cellStyle name="20% - Énfasis5 2 2 2 4 2 3" xfId="5355" xr:uid="{00000000-0005-0000-0000-0000540C0000}"/>
    <cellStyle name="20% - Énfasis5 2 2 2 4 2 4" xfId="9131" xr:uid="{00000000-0005-0000-0000-0000550C0000}"/>
    <cellStyle name="20% - Énfasis5 2 2 2 4 3" xfId="2520" xr:uid="{00000000-0005-0000-0000-0000560C0000}"/>
    <cellStyle name="20% - Énfasis5 2 2 2 4 3 2" xfId="6299" xr:uid="{00000000-0005-0000-0000-0000570C0000}"/>
    <cellStyle name="20% - Énfasis5 2 2 2 4 3 3" xfId="10075" xr:uid="{00000000-0005-0000-0000-0000580C0000}"/>
    <cellStyle name="20% - Énfasis5 2 2 2 4 4" xfId="4411" xr:uid="{00000000-0005-0000-0000-0000590C0000}"/>
    <cellStyle name="20% - Énfasis5 2 2 2 4 5" xfId="8187" xr:uid="{00000000-0005-0000-0000-00005A0C0000}"/>
    <cellStyle name="20% - Énfasis5 2 2 2 5" xfId="1102" xr:uid="{00000000-0005-0000-0000-00005B0C0000}"/>
    <cellStyle name="20% - Énfasis5 2 2 2 5 2" xfId="2992" xr:uid="{00000000-0005-0000-0000-00005C0C0000}"/>
    <cellStyle name="20% - Énfasis5 2 2 2 5 2 2" xfId="6771" xr:uid="{00000000-0005-0000-0000-00005D0C0000}"/>
    <cellStyle name="20% - Énfasis5 2 2 2 5 2 3" xfId="10547" xr:uid="{00000000-0005-0000-0000-00005E0C0000}"/>
    <cellStyle name="20% - Énfasis5 2 2 2 5 3" xfId="4883" xr:uid="{00000000-0005-0000-0000-00005F0C0000}"/>
    <cellStyle name="20% - Énfasis5 2 2 2 5 4" xfId="8659" xr:uid="{00000000-0005-0000-0000-0000600C0000}"/>
    <cellStyle name="20% - Énfasis5 2 2 2 6" xfId="2048" xr:uid="{00000000-0005-0000-0000-0000610C0000}"/>
    <cellStyle name="20% - Énfasis5 2 2 2 6 2" xfId="5827" xr:uid="{00000000-0005-0000-0000-0000620C0000}"/>
    <cellStyle name="20% - Énfasis5 2 2 2 6 3" xfId="9603" xr:uid="{00000000-0005-0000-0000-0000630C0000}"/>
    <cellStyle name="20% - Énfasis5 2 2 2 7" xfId="3939" xr:uid="{00000000-0005-0000-0000-0000640C0000}"/>
    <cellStyle name="20% - Énfasis5 2 2 2 8" xfId="7715" xr:uid="{00000000-0005-0000-0000-0000650C0000}"/>
    <cellStyle name="20% - Énfasis5 2 2 3" xfId="211" xr:uid="{00000000-0005-0000-0000-0000660C0000}"/>
    <cellStyle name="20% - Énfasis5 2 2 3 2" xfId="449" xr:uid="{00000000-0005-0000-0000-0000670C0000}"/>
    <cellStyle name="20% - Énfasis5 2 2 3 2 2" xfId="923" xr:uid="{00000000-0005-0000-0000-0000680C0000}"/>
    <cellStyle name="20% - Énfasis5 2 2 3 2 2 2" xfId="1869" xr:uid="{00000000-0005-0000-0000-0000690C0000}"/>
    <cellStyle name="20% - Énfasis5 2 2 3 2 2 2 2" xfId="3759" xr:uid="{00000000-0005-0000-0000-00006A0C0000}"/>
    <cellStyle name="20% - Énfasis5 2 2 3 2 2 2 2 2" xfId="7538" xr:uid="{00000000-0005-0000-0000-00006B0C0000}"/>
    <cellStyle name="20% - Énfasis5 2 2 3 2 2 2 2 3" xfId="11314" xr:uid="{00000000-0005-0000-0000-00006C0C0000}"/>
    <cellStyle name="20% - Énfasis5 2 2 3 2 2 2 3" xfId="5650" xr:uid="{00000000-0005-0000-0000-00006D0C0000}"/>
    <cellStyle name="20% - Énfasis5 2 2 3 2 2 2 4" xfId="9426" xr:uid="{00000000-0005-0000-0000-00006E0C0000}"/>
    <cellStyle name="20% - Énfasis5 2 2 3 2 2 3" xfId="2815" xr:uid="{00000000-0005-0000-0000-00006F0C0000}"/>
    <cellStyle name="20% - Énfasis5 2 2 3 2 2 3 2" xfId="6594" xr:uid="{00000000-0005-0000-0000-0000700C0000}"/>
    <cellStyle name="20% - Énfasis5 2 2 3 2 2 3 3" xfId="10370" xr:uid="{00000000-0005-0000-0000-0000710C0000}"/>
    <cellStyle name="20% - Énfasis5 2 2 3 2 2 4" xfId="4706" xr:uid="{00000000-0005-0000-0000-0000720C0000}"/>
    <cellStyle name="20% - Énfasis5 2 2 3 2 2 5" xfId="8482" xr:uid="{00000000-0005-0000-0000-0000730C0000}"/>
    <cellStyle name="20% - Énfasis5 2 2 3 2 3" xfId="1397" xr:uid="{00000000-0005-0000-0000-0000740C0000}"/>
    <cellStyle name="20% - Énfasis5 2 2 3 2 3 2" xfId="3287" xr:uid="{00000000-0005-0000-0000-0000750C0000}"/>
    <cellStyle name="20% - Énfasis5 2 2 3 2 3 2 2" xfId="7066" xr:uid="{00000000-0005-0000-0000-0000760C0000}"/>
    <cellStyle name="20% - Énfasis5 2 2 3 2 3 2 3" xfId="10842" xr:uid="{00000000-0005-0000-0000-0000770C0000}"/>
    <cellStyle name="20% - Énfasis5 2 2 3 2 3 3" xfId="5178" xr:uid="{00000000-0005-0000-0000-0000780C0000}"/>
    <cellStyle name="20% - Énfasis5 2 2 3 2 3 4" xfId="8954" xr:uid="{00000000-0005-0000-0000-0000790C0000}"/>
    <cellStyle name="20% - Énfasis5 2 2 3 2 4" xfId="2343" xr:uid="{00000000-0005-0000-0000-00007A0C0000}"/>
    <cellStyle name="20% - Énfasis5 2 2 3 2 4 2" xfId="6122" xr:uid="{00000000-0005-0000-0000-00007B0C0000}"/>
    <cellStyle name="20% - Énfasis5 2 2 3 2 4 3" xfId="9898" xr:uid="{00000000-0005-0000-0000-00007C0C0000}"/>
    <cellStyle name="20% - Énfasis5 2 2 3 2 5" xfId="4234" xr:uid="{00000000-0005-0000-0000-00007D0C0000}"/>
    <cellStyle name="20% - Énfasis5 2 2 3 2 6" xfId="8010" xr:uid="{00000000-0005-0000-0000-00007E0C0000}"/>
    <cellStyle name="20% - Énfasis5 2 2 3 3" xfId="687" xr:uid="{00000000-0005-0000-0000-00007F0C0000}"/>
    <cellStyle name="20% - Énfasis5 2 2 3 3 2" xfId="1633" xr:uid="{00000000-0005-0000-0000-0000800C0000}"/>
    <cellStyle name="20% - Énfasis5 2 2 3 3 2 2" xfId="3523" xr:uid="{00000000-0005-0000-0000-0000810C0000}"/>
    <cellStyle name="20% - Énfasis5 2 2 3 3 2 2 2" xfId="7302" xr:uid="{00000000-0005-0000-0000-0000820C0000}"/>
    <cellStyle name="20% - Énfasis5 2 2 3 3 2 2 3" xfId="11078" xr:uid="{00000000-0005-0000-0000-0000830C0000}"/>
    <cellStyle name="20% - Énfasis5 2 2 3 3 2 3" xfId="5414" xr:uid="{00000000-0005-0000-0000-0000840C0000}"/>
    <cellStyle name="20% - Énfasis5 2 2 3 3 2 4" xfId="9190" xr:uid="{00000000-0005-0000-0000-0000850C0000}"/>
    <cellStyle name="20% - Énfasis5 2 2 3 3 3" xfId="2579" xr:uid="{00000000-0005-0000-0000-0000860C0000}"/>
    <cellStyle name="20% - Énfasis5 2 2 3 3 3 2" xfId="6358" xr:uid="{00000000-0005-0000-0000-0000870C0000}"/>
    <cellStyle name="20% - Énfasis5 2 2 3 3 3 3" xfId="10134" xr:uid="{00000000-0005-0000-0000-0000880C0000}"/>
    <cellStyle name="20% - Énfasis5 2 2 3 3 4" xfId="4470" xr:uid="{00000000-0005-0000-0000-0000890C0000}"/>
    <cellStyle name="20% - Énfasis5 2 2 3 3 5" xfId="8246" xr:uid="{00000000-0005-0000-0000-00008A0C0000}"/>
    <cellStyle name="20% - Énfasis5 2 2 3 4" xfId="1161" xr:uid="{00000000-0005-0000-0000-00008B0C0000}"/>
    <cellStyle name="20% - Énfasis5 2 2 3 4 2" xfId="3051" xr:uid="{00000000-0005-0000-0000-00008C0C0000}"/>
    <cellStyle name="20% - Énfasis5 2 2 3 4 2 2" xfId="6830" xr:uid="{00000000-0005-0000-0000-00008D0C0000}"/>
    <cellStyle name="20% - Énfasis5 2 2 3 4 2 3" xfId="10606" xr:uid="{00000000-0005-0000-0000-00008E0C0000}"/>
    <cellStyle name="20% - Énfasis5 2 2 3 4 3" xfId="4942" xr:uid="{00000000-0005-0000-0000-00008F0C0000}"/>
    <cellStyle name="20% - Énfasis5 2 2 3 4 4" xfId="8718" xr:uid="{00000000-0005-0000-0000-0000900C0000}"/>
    <cellStyle name="20% - Énfasis5 2 2 3 5" xfId="2107" xr:uid="{00000000-0005-0000-0000-0000910C0000}"/>
    <cellStyle name="20% - Énfasis5 2 2 3 5 2" xfId="5886" xr:uid="{00000000-0005-0000-0000-0000920C0000}"/>
    <cellStyle name="20% - Énfasis5 2 2 3 5 3" xfId="9662" xr:uid="{00000000-0005-0000-0000-0000930C0000}"/>
    <cellStyle name="20% - Énfasis5 2 2 3 6" xfId="3998" xr:uid="{00000000-0005-0000-0000-0000940C0000}"/>
    <cellStyle name="20% - Énfasis5 2 2 3 7" xfId="7774" xr:uid="{00000000-0005-0000-0000-0000950C0000}"/>
    <cellStyle name="20% - Énfasis5 2 2 4" xfId="331" xr:uid="{00000000-0005-0000-0000-0000960C0000}"/>
    <cellStyle name="20% - Énfasis5 2 2 4 2" xfId="805" xr:uid="{00000000-0005-0000-0000-0000970C0000}"/>
    <cellStyle name="20% - Énfasis5 2 2 4 2 2" xfId="1751" xr:uid="{00000000-0005-0000-0000-0000980C0000}"/>
    <cellStyle name="20% - Énfasis5 2 2 4 2 2 2" xfId="3641" xr:uid="{00000000-0005-0000-0000-0000990C0000}"/>
    <cellStyle name="20% - Énfasis5 2 2 4 2 2 2 2" xfId="7420" xr:uid="{00000000-0005-0000-0000-00009A0C0000}"/>
    <cellStyle name="20% - Énfasis5 2 2 4 2 2 2 3" xfId="11196" xr:uid="{00000000-0005-0000-0000-00009B0C0000}"/>
    <cellStyle name="20% - Énfasis5 2 2 4 2 2 3" xfId="5532" xr:uid="{00000000-0005-0000-0000-00009C0C0000}"/>
    <cellStyle name="20% - Énfasis5 2 2 4 2 2 4" xfId="9308" xr:uid="{00000000-0005-0000-0000-00009D0C0000}"/>
    <cellStyle name="20% - Énfasis5 2 2 4 2 3" xfId="2697" xr:uid="{00000000-0005-0000-0000-00009E0C0000}"/>
    <cellStyle name="20% - Énfasis5 2 2 4 2 3 2" xfId="6476" xr:uid="{00000000-0005-0000-0000-00009F0C0000}"/>
    <cellStyle name="20% - Énfasis5 2 2 4 2 3 3" xfId="10252" xr:uid="{00000000-0005-0000-0000-0000A00C0000}"/>
    <cellStyle name="20% - Énfasis5 2 2 4 2 4" xfId="4588" xr:uid="{00000000-0005-0000-0000-0000A10C0000}"/>
    <cellStyle name="20% - Énfasis5 2 2 4 2 5" xfId="8364" xr:uid="{00000000-0005-0000-0000-0000A20C0000}"/>
    <cellStyle name="20% - Énfasis5 2 2 4 3" xfId="1279" xr:uid="{00000000-0005-0000-0000-0000A30C0000}"/>
    <cellStyle name="20% - Énfasis5 2 2 4 3 2" xfId="3169" xr:uid="{00000000-0005-0000-0000-0000A40C0000}"/>
    <cellStyle name="20% - Énfasis5 2 2 4 3 2 2" xfId="6948" xr:uid="{00000000-0005-0000-0000-0000A50C0000}"/>
    <cellStyle name="20% - Énfasis5 2 2 4 3 2 3" xfId="10724" xr:uid="{00000000-0005-0000-0000-0000A60C0000}"/>
    <cellStyle name="20% - Énfasis5 2 2 4 3 3" xfId="5060" xr:uid="{00000000-0005-0000-0000-0000A70C0000}"/>
    <cellStyle name="20% - Énfasis5 2 2 4 3 4" xfId="8836" xr:uid="{00000000-0005-0000-0000-0000A80C0000}"/>
    <cellStyle name="20% - Énfasis5 2 2 4 4" xfId="2225" xr:uid="{00000000-0005-0000-0000-0000A90C0000}"/>
    <cellStyle name="20% - Énfasis5 2 2 4 4 2" xfId="6004" xr:uid="{00000000-0005-0000-0000-0000AA0C0000}"/>
    <cellStyle name="20% - Énfasis5 2 2 4 4 3" xfId="9780" xr:uid="{00000000-0005-0000-0000-0000AB0C0000}"/>
    <cellStyle name="20% - Énfasis5 2 2 4 5" xfId="4116" xr:uid="{00000000-0005-0000-0000-0000AC0C0000}"/>
    <cellStyle name="20% - Énfasis5 2 2 4 6" xfId="7892" xr:uid="{00000000-0005-0000-0000-0000AD0C0000}"/>
    <cellStyle name="20% - Énfasis5 2 2 5" xfId="569" xr:uid="{00000000-0005-0000-0000-0000AE0C0000}"/>
    <cellStyle name="20% - Énfasis5 2 2 5 2" xfId="1515" xr:uid="{00000000-0005-0000-0000-0000AF0C0000}"/>
    <cellStyle name="20% - Énfasis5 2 2 5 2 2" xfId="3405" xr:uid="{00000000-0005-0000-0000-0000B00C0000}"/>
    <cellStyle name="20% - Énfasis5 2 2 5 2 2 2" xfId="7184" xr:uid="{00000000-0005-0000-0000-0000B10C0000}"/>
    <cellStyle name="20% - Énfasis5 2 2 5 2 2 3" xfId="10960" xr:uid="{00000000-0005-0000-0000-0000B20C0000}"/>
    <cellStyle name="20% - Énfasis5 2 2 5 2 3" xfId="5296" xr:uid="{00000000-0005-0000-0000-0000B30C0000}"/>
    <cellStyle name="20% - Énfasis5 2 2 5 2 4" xfId="9072" xr:uid="{00000000-0005-0000-0000-0000B40C0000}"/>
    <cellStyle name="20% - Énfasis5 2 2 5 3" xfId="2461" xr:uid="{00000000-0005-0000-0000-0000B50C0000}"/>
    <cellStyle name="20% - Énfasis5 2 2 5 3 2" xfId="6240" xr:uid="{00000000-0005-0000-0000-0000B60C0000}"/>
    <cellStyle name="20% - Énfasis5 2 2 5 3 3" xfId="10016" xr:uid="{00000000-0005-0000-0000-0000B70C0000}"/>
    <cellStyle name="20% - Énfasis5 2 2 5 4" xfId="4352" xr:uid="{00000000-0005-0000-0000-0000B80C0000}"/>
    <cellStyle name="20% - Énfasis5 2 2 5 5" xfId="8128" xr:uid="{00000000-0005-0000-0000-0000B90C0000}"/>
    <cellStyle name="20% - Énfasis5 2 2 6" xfId="1043" xr:uid="{00000000-0005-0000-0000-0000BA0C0000}"/>
    <cellStyle name="20% - Énfasis5 2 2 6 2" xfId="2933" xr:uid="{00000000-0005-0000-0000-0000BB0C0000}"/>
    <cellStyle name="20% - Énfasis5 2 2 6 2 2" xfId="6712" xr:uid="{00000000-0005-0000-0000-0000BC0C0000}"/>
    <cellStyle name="20% - Énfasis5 2 2 6 2 3" xfId="10488" xr:uid="{00000000-0005-0000-0000-0000BD0C0000}"/>
    <cellStyle name="20% - Énfasis5 2 2 6 3" xfId="4824" xr:uid="{00000000-0005-0000-0000-0000BE0C0000}"/>
    <cellStyle name="20% - Énfasis5 2 2 6 4" xfId="8600" xr:uid="{00000000-0005-0000-0000-0000BF0C0000}"/>
    <cellStyle name="20% - Énfasis5 2 2 7" xfId="1989" xr:uid="{00000000-0005-0000-0000-0000C00C0000}"/>
    <cellStyle name="20% - Énfasis5 2 2 7 2" xfId="5768" xr:uid="{00000000-0005-0000-0000-0000C10C0000}"/>
    <cellStyle name="20% - Énfasis5 2 2 7 3" xfId="9544" xr:uid="{00000000-0005-0000-0000-0000C20C0000}"/>
    <cellStyle name="20% - Énfasis5 2 2 8" xfId="3880" xr:uid="{00000000-0005-0000-0000-0000C30C0000}"/>
    <cellStyle name="20% - Énfasis5 2 2 9" xfId="7656" xr:uid="{00000000-0005-0000-0000-0000C40C0000}"/>
    <cellStyle name="20% - Énfasis5 2 3" xfId="118" xr:uid="{00000000-0005-0000-0000-0000C50C0000}"/>
    <cellStyle name="20% - Énfasis5 2 3 2" xfId="241" xr:uid="{00000000-0005-0000-0000-0000C60C0000}"/>
    <cellStyle name="20% - Énfasis5 2 3 2 2" xfId="479" xr:uid="{00000000-0005-0000-0000-0000C70C0000}"/>
    <cellStyle name="20% - Énfasis5 2 3 2 2 2" xfId="953" xr:uid="{00000000-0005-0000-0000-0000C80C0000}"/>
    <cellStyle name="20% - Énfasis5 2 3 2 2 2 2" xfId="1899" xr:uid="{00000000-0005-0000-0000-0000C90C0000}"/>
    <cellStyle name="20% - Énfasis5 2 3 2 2 2 2 2" xfId="3789" xr:uid="{00000000-0005-0000-0000-0000CA0C0000}"/>
    <cellStyle name="20% - Énfasis5 2 3 2 2 2 2 2 2" xfId="7568" xr:uid="{00000000-0005-0000-0000-0000CB0C0000}"/>
    <cellStyle name="20% - Énfasis5 2 3 2 2 2 2 2 3" xfId="11344" xr:uid="{00000000-0005-0000-0000-0000CC0C0000}"/>
    <cellStyle name="20% - Énfasis5 2 3 2 2 2 2 3" xfId="5680" xr:uid="{00000000-0005-0000-0000-0000CD0C0000}"/>
    <cellStyle name="20% - Énfasis5 2 3 2 2 2 2 4" xfId="9456" xr:uid="{00000000-0005-0000-0000-0000CE0C0000}"/>
    <cellStyle name="20% - Énfasis5 2 3 2 2 2 3" xfId="2845" xr:uid="{00000000-0005-0000-0000-0000CF0C0000}"/>
    <cellStyle name="20% - Énfasis5 2 3 2 2 2 3 2" xfId="6624" xr:uid="{00000000-0005-0000-0000-0000D00C0000}"/>
    <cellStyle name="20% - Énfasis5 2 3 2 2 2 3 3" xfId="10400" xr:uid="{00000000-0005-0000-0000-0000D10C0000}"/>
    <cellStyle name="20% - Énfasis5 2 3 2 2 2 4" xfId="4736" xr:uid="{00000000-0005-0000-0000-0000D20C0000}"/>
    <cellStyle name="20% - Énfasis5 2 3 2 2 2 5" xfId="8512" xr:uid="{00000000-0005-0000-0000-0000D30C0000}"/>
    <cellStyle name="20% - Énfasis5 2 3 2 2 3" xfId="1427" xr:uid="{00000000-0005-0000-0000-0000D40C0000}"/>
    <cellStyle name="20% - Énfasis5 2 3 2 2 3 2" xfId="3317" xr:uid="{00000000-0005-0000-0000-0000D50C0000}"/>
    <cellStyle name="20% - Énfasis5 2 3 2 2 3 2 2" xfId="7096" xr:uid="{00000000-0005-0000-0000-0000D60C0000}"/>
    <cellStyle name="20% - Énfasis5 2 3 2 2 3 2 3" xfId="10872" xr:uid="{00000000-0005-0000-0000-0000D70C0000}"/>
    <cellStyle name="20% - Énfasis5 2 3 2 2 3 3" xfId="5208" xr:uid="{00000000-0005-0000-0000-0000D80C0000}"/>
    <cellStyle name="20% - Énfasis5 2 3 2 2 3 4" xfId="8984" xr:uid="{00000000-0005-0000-0000-0000D90C0000}"/>
    <cellStyle name="20% - Énfasis5 2 3 2 2 4" xfId="2373" xr:uid="{00000000-0005-0000-0000-0000DA0C0000}"/>
    <cellStyle name="20% - Énfasis5 2 3 2 2 4 2" xfId="6152" xr:uid="{00000000-0005-0000-0000-0000DB0C0000}"/>
    <cellStyle name="20% - Énfasis5 2 3 2 2 4 3" xfId="9928" xr:uid="{00000000-0005-0000-0000-0000DC0C0000}"/>
    <cellStyle name="20% - Énfasis5 2 3 2 2 5" xfId="4264" xr:uid="{00000000-0005-0000-0000-0000DD0C0000}"/>
    <cellStyle name="20% - Énfasis5 2 3 2 2 6" xfId="8040" xr:uid="{00000000-0005-0000-0000-0000DE0C0000}"/>
    <cellStyle name="20% - Énfasis5 2 3 2 3" xfId="717" xr:uid="{00000000-0005-0000-0000-0000DF0C0000}"/>
    <cellStyle name="20% - Énfasis5 2 3 2 3 2" xfId="1663" xr:uid="{00000000-0005-0000-0000-0000E00C0000}"/>
    <cellStyle name="20% - Énfasis5 2 3 2 3 2 2" xfId="3553" xr:uid="{00000000-0005-0000-0000-0000E10C0000}"/>
    <cellStyle name="20% - Énfasis5 2 3 2 3 2 2 2" xfId="7332" xr:uid="{00000000-0005-0000-0000-0000E20C0000}"/>
    <cellStyle name="20% - Énfasis5 2 3 2 3 2 2 3" xfId="11108" xr:uid="{00000000-0005-0000-0000-0000E30C0000}"/>
    <cellStyle name="20% - Énfasis5 2 3 2 3 2 3" xfId="5444" xr:uid="{00000000-0005-0000-0000-0000E40C0000}"/>
    <cellStyle name="20% - Énfasis5 2 3 2 3 2 4" xfId="9220" xr:uid="{00000000-0005-0000-0000-0000E50C0000}"/>
    <cellStyle name="20% - Énfasis5 2 3 2 3 3" xfId="2609" xr:uid="{00000000-0005-0000-0000-0000E60C0000}"/>
    <cellStyle name="20% - Énfasis5 2 3 2 3 3 2" xfId="6388" xr:uid="{00000000-0005-0000-0000-0000E70C0000}"/>
    <cellStyle name="20% - Énfasis5 2 3 2 3 3 3" xfId="10164" xr:uid="{00000000-0005-0000-0000-0000E80C0000}"/>
    <cellStyle name="20% - Énfasis5 2 3 2 3 4" xfId="4500" xr:uid="{00000000-0005-0000-0000-0000E90C0000}"/>
    <cellStyle name="20% - Énfasis5 2 3 2 3 5" xfId="8276" xr:uid="{00000000-0005-0000-0000-0000EA0C0000}"/>
    <cellStyle name="20% - Énfasis5 2 3 2 4" xfId="1191" xr:uid="{00000000-0005-0000-0000-0000EB0C0000}"/>
    <cellStyle name="20% - Énfasis5 2 3 2 4 2" xfId="3081" xr:uid="{00000000-0005-0000-0000-0000EC0C0000}"/>
    <cellStyle name="20% - Énfasis5 2 3 2 4 2 2" xfId="6860" xr:uid="{00000000-0005-0000-0000-0000ED0C0000}"/>
    <cellStyle name="20% - Énfasis5 2 3 2 4 2 3" xfId="10636" xr:uid="{00000000-0005-0000-0000-0000EE0C0000}"/>
    <cellStyle name="20% - Énfasis5 2 3 2 4 3" xfId="4972" xr:uid="{00000000-0005-0000-0000-0000EF0C0000}"/>
    <cellStyle name="20% - Énfasis5 2 3 2 4 4" xfId="8748" xr:uid="{00000000-0005-0000-0000-0000F00C0000}"/>
    <cellStyle name="20% - Énfasis5 2 3 2 5" xfId="2137" xr:uid="{00000000-0005-0000-0000-0000F10C0000}"/>
    <cellStyle name="20% - Énfasis5 2 3 2 5 2" xfId="5916" xr:uid="{00000000-0005-0000-0000-0000F20C0000}"/>
    <cellStyle name="20% - Énfasis5 2 3 2 5 3" xfId="9692" xr:uid="{00000000-0005-0000-0000-0000F30C0000}"/>
    <cellStyle name="20% - Énfasis5 2 3 2 6" xfId="4028" xr:uid="{00000000-0005-0000-0000-0000F40C0000}"/>
    <cellStyle name="20% - Énfasis5 2 3 2 7" xfId="7804" xr:uid="{00000000-0005-0000-0000-0000F50C0000}"/>
    <cellStyle name="20% - Énfasis5 2 3 3" xfId="361" xr:uid="{00000000-0005-0000-0000-0000F60C0000}"/>
    <cellStyle name="20% - Énfasis5 2 3 3 2" xfId="835" xr:uid="{00000000-0005-0000-0000-0000F70C0000}"/>
    <cellStyle name="20% - Énfasis5 2 3 3 2 2" xfId="1781" xr:uid="{00000000-0005-0000-0000-0000F80C0000}"/>
    <cellStyle name="20% - Énfasis5 2 3 3 2 2 2" xfId="3671" xr:uid="{00000000-0005-0000-0000-0000F90C0000}"/>
    <cellStyle name="20% - Énfasis5 2 3 3 2 2 2 2" xfId="7450" xr:uid="{00000000-0005-0000-0000-0000FA0C0000}"/>
    <cellStyle name="20% - Énfasis5 2 3 3 2 2 2 3" xfId="11226" xr:uid="{00000000-0005-0000-0000-0000FB0C0000}"/>
    <cellStyle name="20% - Énfasis5 2 3 3 2 2 3" xfId="5562" xr:uid="{00000000-0005-0000-0000-0000FC0C0000}"/>
    <cellStyle name="20% - Énfasis5 2 3 3 2 2 4" xfId="9338" xr:uid="{00000000-0005-0000-0000-0000FD0C0000}"/>
    <cellStyle name="20% - Énfasis5 2 3 3 2 3" xfId="2727" xr:uid="{00000000-0005-0000-0000-0000FE0C0000}"/>
    <cellStyle name="20% - Énfasis5 2 3 3 2 3 2" xfId="6506" xr:uid="{00000000-0005-0000-0000-0000FF0C0000}"/>
    <cellStyle name="20% - Énfasis5 2 3 3 2 3 3" xfId="10282" xr:uid="{00000000-0005-0000-0000-0000000D0000}"/>
    <cellStyle name="20% - Énfasis5 2 3 3 2 4" xfId="4618" xr:uid="{00000000-0005-0000-0000-0000010D0000}"/>
    <cellStyle name="20% - Énfasis5 2 3 3 2 5" xfId="8394" xr:uid="{00000000-0005-0000-0000-0000020D0000}"/>
    <cellStyle name="20% - Énfasis5 2 3 3 3" xfId="1309" xr:uid="{00000000-0005-0000-0000-0000030D0000}"/>
    <cellStyle name="20% - Énfasis5 2 3 3 3 2" xfId="3199" xr:uid="{00000000-0005-0000-0000-0000040D0000}"/>
    <cellStyle name="20% - Énfasis5 2 3 3 3 2 2" xfId="6978" xr:uid="{00000000-0005-0000-0000-0000050D0000}"/>
    <cellStyle name="20% - Énfasis5 2 3 3 3 2 3" xfId="10754" xr:uid="{00000000-0005-0000-0000-0000060D0000}"/>
    <cellStyle name="20% - Énfasis5 2 3 3 3 3" xfId="5090" xr:uid="{00000000-0005-0000-0000-0000070D0000}"/>
    <cellStyle name="20% - Énfasis5 2 3 3 3 4" xfId="8866" xr:uid="{00000000-0005-0000-0000-0000080D0000}"/>
    <cellStyle name="20% - Énfasis5 2 3 3 4" xfId="2255" xr:uid="{00000000-0005-0000-0000-0000090D0000}"/>
    <cellStyle name="20% - Énfasis5 2 3 3 4 2" xfId="6034" xr:uid="{00000000-0005-0000-0000-00000A0D0000}"/>
    <cellStyle name="20% - Énfasis5 2 3 3 4 3" xfId="9810" xr:uid="{00000000-0005-0000-0000-00000B0D0000}"/>
    <cellStyle name="20% - Énfasis5 2 3 3 5" xfId="4146" xr:uid="{00000000-0005-0000-0000-00000C0D0000}"/>
    <cellStyle name="20% - Énfasis5 2 3 3 6" xfId="7922" xr:uid="{00000000-0005-0000-0000-00000D0D0000}"/>
    <cellStyle name="20% - Énfasis5 2 3 4" xfId="599" xr:uid="{00000000-0005-0000-0000-00000E0D0000}"/>
    <cellStyle name="20% - Énfasis5 2 3 4 2" xfId="1545" xr:uid="{00000000-0005-0000-0000-00000F0D0000}"/>
    <cellStyle name="20% - Énfasis5 2 3 4 2 2" xfId="3435" xr:uid="{00000000-0005-0000-0000-0000100D0000}"/>
    <cellStyle name="20% - Énfasis5 2 3 4 2 2 2" xfId="7214" xr:uid="{00000000-0005-0000-0000-0000110D0000}"/>
    <cellStyle name="20% - Énfasis5 2 3 4 2 2 3" xfId="10990" xr:uid="{00000000-0005-0000-0000-0000120D0000}"/>
    <cellStyle name="20% - Énfasis5 2 3 4 2 3" xfId="5326" xr:uid="{00000000-0005-0000-0000-0000130D0000}"/>
    <cellStyle name="20% - Énfasis5 2 3 4 2 4" xfId="9102" xr:uid="{00000000-0005-0000-0000-0000140D0000}"/>
    <cellStyle name="20% - Énfasis5 2 3 4 3" xfId="2491" xr:uid="{00000000-0005-0000-0000-0000150D0000}"/>
    <cellStyle name="20% - Énfasis5 2 3 4 3 2" xfId="6270" xr:uid="{00000000-0005-0000-0000-0000160D0000}"/>
    <cellStyle name="20% - Énfasis5 2 3 4 3 3" xfId="10046" xr:uid="{00000000-0005-0000-0000-0000170D0000}"/>
    <cellStyle name="20% - Énfasis5 2 3 4 4" xfId="4382" xr:uid="{00000000-0005-0000-0000-0000180D0000}"/>
    <cellStyle name="20% - Énfasis5 2 3 4 5" xfId="8158" xr:uid="{00000000-0005-0000-0000-0000190D0000}"/>
    <cellStyle name="20% - Énfasis5 2 3 5" xfId="1073" xr:uid="{00000000-0005-0000-0000-00001A0D0000}"/>
    <cellStyle name="20% - Énfasis5 2 3 5 2" xfId="2963" xr:uid="{00000000-0005-0000-0000-00001B0D0000}"/>
    <cellStyle name="20% - Énfasis5 2 3 5 2 2" xfId="6742" xr:uid="{00000000-0005-0000-0000-00001C0D0000}"/>
    <cellStyle name="20% - Énfasis5 2 3 5 2 3" xfId="10518" xr:uid="{00000000-0005-0000-0000-00001D0D0000}"/>
    <cellStyle name="20% - Énfasis5 2 3 5 3" xfId="4854" xr:uid="{00000000-0005-0000-0000-00001E0D0000}"/>
    <cellStyle name="20% - Énfasis5 2 3 5 4" xfId="8630" xr:uid="{00000000-0005-0000-0000-00001F0D0000}"/>
    <cellStyle name="20% - Énfasis5 2 3 6" xfId="2019" xr:uid="{00000000-0005-0000-0000-0000200D0000}"/>
    <cellStyle name="20% - Énfasis5 2 3 6 2" xfId="5798" xr:uid="{00000000-0005-0000-0000-0000210D0000}"/>
    <cellStyle name="20% - Énfasis5 2 3 6 3" xfId="9574" xr:uid="{00000000-0005-0000-0000-0000220D0000}"/>
    <cellStyle name="20% - Énfasis5 2 3 7" xfId="3910" xr:uid="{00000000-0005-0000-0000-0000230D0000}"/>
    <cellStyle name="20% - Énfasis5 2 3 8" xfId="7686" xr:uid="{00000000-0005-0000-0000-0000240D0000}"/>
    <cellStyle name="20% - Énfasis5 2 4" xfId="182" xr:uid="{00000000-0005-0000-0000-0000250D0000}"/>
    <cellStyle name="20% - Énfasis5 2 4 2" xfId="420" xr:uid="{00000000-0005-0000-0000-0000260D0000}"/>
    <cellStyle name="20% - Énfasis5 2 4 2 2" xfId="894" xr:uid="{00000000-0005-0000-0000-0000270D0000}"/>
    <cellStyle name="20% - Énfasis5 2 4 2 2 2" xfId="1840" xr:uid="{00000000-0005-0000-0000-0000280D0000}"/>
    <cellStyle name="20% - Énfasis5 2 4 2 2 2 2" xfId="3730" xr:uid="{00000000-0005-0000-0000-0000290D0000}"/>
    <cellStyle name="20% - Énfasis5 2 4 2 2 2 2 2" xfId="7509" xr:uid="{00000000-0005-0000-0000-00002A0D0000}"/>
    <cellStyle name="20% - Énfasis5 2 4 2 2 2 2 3" xfId="11285" xr:uid="{00000000-0005-0000-0000-00002B0D0000}"/>
    <cellStyle name="20% - Énfasis5 2 4 2 2 2 3" xfId="5621" xr:uid="{00000000-0005-0000-0000-00002C0D0000}"/>
    <cellStyle name="20% - Énfasis5 2 4 2 2 2 4" xfId="9397" xr:uid="{00000000-0005-0000-0000-00002D0D0000}"/>
    <cellStyle name="20% - Énfasis5 2 4 2 2 3" xfId="2786" xr:uid="{00000000-0005-0000-0000-00002E0D0000}"/>
    <cellStyle name="20% - Énfasis5 2 4 2 2 3 2" xfId="6565" xr:uid="{00000000-0005-0000-0000-00002F0D0000}"/>
    <cellStyle name="20% - Énfasis5 2 4 2 2 3 3" xfId="10341" xr:uid="{00000000-0005-0000-0000-0000300D0000}"/>
    <cellStyle name="20% - Énfasis5 2 4 2 2 4" xfId="4677" xr:uid="{00000000-0005-0000-0000-0000310D0000}"/>
    <cellStyle name="20% - Énfasis5 2 4 2 2 5" xfId="8453" xr:uid="{00000000-0005-0000-0000-0000320D0000}"/>
    <cellStyle name="20% - Énfasis5 2 4 2 3" xfId="1368" xr:uid="{00000000-0005-0000-0000-0000330D0000}"/>
    <cellStyle name="20% - Énfasis5 2 4 2 3 2" xfId="3258" xr:uid="{00000000-0005-0000-0000-0000340D0000}"/>
    <cellStyle name="20% - Énfasis5 2 4 2 3 2 2" xfId="7037" xr:uid="{00000000-0005-0000-0000-0000350D0000}"/>
    <cellStyle name="20% - Énfasis5 2 4 2 3 2 3" xfId="10813" xr:uid="{00000000-0005-0000-0000-0000360D0000}"/>
    <cellStyle name="20% - Énfasis5 2 4 2 3 3" xfId="5149" xr:uid="{00000000-0005-0000-0000-0000370D0000}"/>
    <cellStyle name="20% - Énfasis5 2 4 2 3 4" xfId="8925" xr:uid="{00000000-0005-0000-0000-0000380D0000}"/>
    <cellStyle name="20% - Énfasis5 2 4 2 4" xfId="2314" xr:uid="{00000000-0005-0000-0000-0000390D0000}"/>
    <cellStyle name="20% - Énfasis5 2 4 2 4 2" xfId="6093" xr:uid="{00000000-0005-0000-0000-00003A0D0000}"/>
    <cellStyle name="20% - Énfasis5 2 4 2 4 3" xfId="9869" xr:uid="{00000000-0005-0000-0000-00003B0D0000}"/>
    <cellStyle name="20% - Énfasis5 2 4 2 5" xfId="4205" xr:uid="{00000000-0005-0000-0000-00003C0D0000}"/>
    <cellStyle name="20% - Énfasis5 2 4 2 6" xfId="7981" xr:uid="{00000000-0005-0000-0000-00003D0D0000}"/>
    <cellStyle name="20% - Énfasis5 2 4 3" xfId="658" xr:uid="{00000000-0005-0000-0000-00003E0D0000}"/>
    <cellStyle name="20% - Énfasis5 2 4 3 2" xfId="1604" xr:uid="{00000000-0005-0000-0000-00003F0D0000}"/>
    <cellStyle name="20% - Énfasis5 2 4 3 2 2" xfId="3494" xr:uid="{00000000-0005-0000-0000-0000400D0000}"/>
    <cellStyle name="20% - Énfasis5 2 4 3 2 2 2" xfId="7273" xr:uid="{00000000-0005-0000-0000-0000410D0000}"/>
    <cellStyle name="20% - Énfasis5 2 4 3 2 2 3" xfId="11049" xr:uid="{00000000-0005-0000-0000-0000420D0000}"/>
    <cellStyle name="20% - Énfasis5 2 4 3 2 3" xfId="5385" xr:uid="{00000000-0005-0000-0000-0000430D0000}"/>
    <cellStyle name="20% - Énfasis5 2 4 3 2 4" xfId="9161" xr:uid="{00000000-0005-0000-0000-0000440D0000}"/>
    <cellStyle name="20% - Énfasis5 2 4 3 3" xfId="2550" xr:uid="{00000000-0005-0000-0000-0000450D0000}"/>
    <cellStyle name="20% - Énfasis5 2 4 3 3 2" xfId="6329" xr:uid="{00000000-0005-0000-0000-0000460D0000}"/>
    <cellStyle name="20% - Énfasis5 2 4 3 3 3" xfId="10105" xr:uid="{00000000-0005-0000-0000-0000470D0000}"/>
    <cellStyle name="20% - Énfasis5 2 4 3 4" xfId="4441" xr:uid="{00000000-0005-0000-0000-0000480D0000}"/>
    <cellStyle name="20% - Énfasis5 2 4 3 5" xfId="8217" xr:uid="{00000000-0005-0000-0000-0000490D0000}"/>
    <cellStyle name="20% - Énfasis5 2 4 4" xfId="1132" xr:uid="{00000000-0005-0000-0000-00004A0D0000}"/>
    <cellStyle name="20% - Énfasis5 2 4 4 2" xfId="3022" xr:uid="{00000000-0005-0000-0000-00004B0D0000}"/>
    <cellStyle name="20% - Énfasis5 2 4 4 2 2" xfId="6801" xr:uid="{00000000-0005-0000-0000-00004C0D0000}"/>
    <cellStyle name="20% - Énfasis5 2 4 4 2 3" xfId="10577" xr:uid="{00000000-0005-0000-0000-00004D0D0000}"/>
    <cellStyle name="20% - Énfasis5 2 4 4 3" xfId="4913" xr:uid="{00000000-0005-0000-0000-00004E0D0000}"/>
    <cellStyle name="20% - Énfasis5 2 4 4 4" xfId="8689" xr:uid="{00000000-0005-0000-0000-00004F0D0000}"/>
    <cellStyle name="20% - Énfasis5 2 4 5" xfId="2078" xr:uid="{00000000-0005-0000-0000-0000500D0000}"/>
    <cellStyle name="20% - Énfasis5 2 4 5 2" xfId="5857" xr:uid="{00000000-0005-0000-0000-0000510D0000}"/>
    <cellStyle name="20% - Énfasis5 2 4 5 3" xfId="9633" xr:uid="{00000000-0005-0000-0000-0000520D0000}"/>
    <cellStyle name="20% - Énfasis5 2 4 6" xfId="3969" xr:uid="{00000000-0005-0000-0000-0000530D0000}"/>
    <cellStyle name="20% - Énfasis5 2 4 7" xfId="7745" xr:uid="{00000000-0005-0000-0000-0000540D0000}"/>
    <cellStyle name="20% - Énfasis5 2 5" xfId="302" xr:uid="{00000000-0005-0000-0000-0000550D0000}"/>
    <cellStyle name="20% - Énfasis5 2 5 2" xfId="776" xr:uid="{00000000-0005-0000-0000-0000560D0000}"/>
    <cellStyle name="20% - Énfasis5 2 5 2 2" xfId="1722" xr:uid="{00000000-0005-0000-0000-0000570D0000}"/>
    <cellStyle name="20% - Énfasis5 2 5 2 2 2" xfId="3612" xr:uid="{00000000-0005-0000-0000-0000580D0000}"/>
    <cellStyle name="20% - Énfasis5 2 5 2 2 2 2" xfId="7391" xr:uid="{00000000-0005-0000-0000-0000590D0000}"/>
    <cellStyle name="20% - Énfasis5 2 5 2 2 2 3" xfId="11167" xr:uid="{00000000-0005-0000-0000-00005A0D0000}"/>
    <cellStyle name="20% - Énfasis5 2 5 2 2 3" xfId="5503" xr:uid="{00000000-0005-0000-0000-00005B0D0000}"/>
    <cellStyle name="20% - Énfasis5 2 5 2 2 4" xfId="9279" xr:uid="{00000000-0005-0000-0000-00005C0D0000}"/>
    <cellStyle name="20% - Énfasis5 2 5 2 3" xfId="2668" xr:uid="{00000000-0005-0000-0000-00005D0D0000}"/>
    <cellStyle name="20% - Énfasis5 2 5 2 3 2" xfId="6447" xr:uid="{00000000-0005-0000-0000-00005E0D0000}"/>
    <cellStyle name="20% - Énfasis5 2 5 2 3 3" xfId="10223" xr:uid="{00000000-0005-0000-0000-00005F0D0000}"/>
    <cellStyle name="20% - Énfasis5 2 5 2 4" xfId="4559" xr:uid="{00000000-0005-0000-0000-0000600D0000}"/>
    <cellStyle name="20% - Énfasis5 2 5 2 5" xfId="8335" xr:uid="{00000000-0005-0000-0000-0000610D0000}"/>
    <cellStyle name="20% - Énfasis5 2 5 3" xfId="1250" xr:uid="{00000000-0005-0000-0000-0000620D0000}"/>
    <cellStyle name="20% - Énfasis5 2 5 3 2" xfId="3140" xr:uid="{00000000-0005-0000-0000-0000630D0000}"/>
    <cellStyle name="20% - Énfasis5 2 5 3 2 2" xfId="6919" xr:uid="{00000000-0005-0000-0000-0000640D0000}"/>
    <cellStyle name="20% - Énfasis5 2 5 3 2 3" xfId="10695" xr:uid="{00000000-0005-0000-0000-0000650D0000}"/>
    <cellStyle name="20% - Énfasis5 2 5 3 3" xfId="5031" xr:uid="{00000000-0005-0000-0000-0000660D0000}"/>
    <cellStyle name="20% - Énfasis5 2 5 3 4" xfId="8807" xr:uid="{00000000-0005-0000-0000-0000670D0000}"/>
    <cellStyle name="20% - Énfasis5 2 5 4" xfId="2196" xr:uid="{00000000-0005-0000-0000-0000680D0000}"/>
    <cellStyle name="20% - Énfasis5 2 5 4 2" xfId="5975" xr:uid="{00000000-0005-0000-0000-0000690D0000}"/>
    <cellStyle name="20% - Énfasis5 2 5 4 3" xfId="9751" xr:uid="{00000000-0005-0000-0000-00006A0D0000}"/>
    <cellStyle name="20% - Énfasis5 2 5 5" xfId="4087" xr:uid="{00000000-0005-0000-0000-00006B0D0000}"/>
    <cellStyle name="20% - Énfasis5 2 5 6" xfId="7863" xr:uid="{00000000-0005-0000-0000-00006C0D0000}"/>
    <cellStyle name="20% - Énfasis5 2 6" xfId="540" xr:uid="{00000000-0005-0000-0000-00006D0D0000}"/>
    <cellStyle name="20% - Énfasis5 2 6 2" xfId="1486" xr:uid="{00000000-0005-0000-0000-00006E0D0000}"/>
    <cellStyle name="20% - Énfasis5 2 6 2 2" xfId="3376" xr:uid="{00000000-0005-0000-0000-00006F0D0000}"/>
    <cellStyle name="20% - Énfasis5 2 6 2 2 2" xfId="7155" xr:uid="{00000000-0005-0000-0000-0000700D0000}"/>
    <cellStyle name="20% - Énfasis5 2 6 2 2 3" xfId="10931" xr:uid="{00000000-0005-0000-0000-0000710D0000}"/>
    <cellStyle name="20% - Énfasis5 2 6 2 3" xfId="5267" xr:uid="{00000000-0005-0000-0000-0000720D0000}"/>
    <cellStyle name="20% - Énfasis5 2 6 2 4" xfId="9043" xr:uid="{00000000-0005-0000-0000-0000730D0000}"/>
    <cellStyle name="20% - Énfasis5 2 6 3" xfId="2432" xr:uid="{00000000-0005-0000-0000-0000740D0000}"/>
    <cellStyle name="20% - Énfasis5 2 6 3 2" xfId="6211" xr:uid="{00000000-0005-0000-0000-0000750D0000}"/>
    <cellStyle name="20% - Énfasis5 2 6 3 3" xfId="9987" xr:uid="{00000000-0005-0000-0000-0000760D0000}"/>
    <cellStyle name="20% - Énfasis5 2 6 4" xfId="4323" xr:uid="{00000000-0005-0000-0000-0000770D0000}"/>
    <cellStyle name="20% - Énfasis5 2 6 5" xfId="8099" xr:uid="{00000000-0005-0000-0000-0000780D0000}"/>
    <cellStyle name="20% - Énfasis5 2 7" xfId="1014" xr:uid="{00000000-0005-0000-0000-0000790D0000}"/>
    <cellStyle name="20% - Énfasis5 2 7 2" xfId="2904" xr:uid="{00000000-0005-0000-0000-00007A0D0000}"/>
    <cellStyle name="20% - Énfasis5 2 7 2 2" xfId="6683" xr:uid="{00000000-0005-0000-0000-00007B0D0000}"/>
    <cellStyle name="20% - Énfasis5 2 7 2 3" xfId="10459" xr:uid="{00000000-0005-0000-0000-00007C0D0000}"/>
    <cellStyle name="20% - Énfasis5 2 7 3" xfId="4795" xr:uid="{00000000-0005-0000-0000-00007D0D0000}"/>
    <cellStyle name="20% - Énfasis5 2 7 4" xfId="8571" xr:uid="{00000000-0005-0000-0000-00007E0D0000}"/>
    <cellStyle name="20% - Énfasis5 2 8" xfId="1960" xr:uid="{00000000-0005-0000-0000-00007F0D0000}"/>
    <cellStyle name="20% - Énfasis5 2 8 2" xfId="5739" xr:uid="{00000000-0005-0000-0000-0000800D0000}"/>
    <cellStyle name="20% - Énfasis5 2 8 3" xfId="9515" xr:uid="{00000000-0005-0000-0000-0000810D0000}"/>
    <cellStyle name="20% - Énfasis5 2 9" xfId="3851" xr:uid="{00000000-0005-0000-0000-0000820D0000}"/>
    <cellStyle name="20% - Énfasis5 3" xfId="67" xr:uid="{00000000-0005-0000-0000-0000830D0000}"/>
    <cellStyle name="20% - Énfasis5 3 2" xfId="131" xr:uid="{00000000-0005-0000-0000-0000840D0000}"/>
    <cellStyle name="20% - Énfasis5 3 2 2" xfId="254" xr:uid="{00000000-0005-0000-0000-0000850D0000}"/>
    <cellStyle name="20% - Énfasis5 3 2 2 2" xfId="492" xr:uid="{00000000-0005-0000-0000-0000860D0000}"/>
    <cellStyle name="20% - Énfasis5 3 2 2 2 2" xfId="966" xr:uid="{00000000-0005-0000-0000-0000870D0000}"/>
    <cellStyle name="20% - Énfasis5 3 2 2 2 2 2" xfId="1912" xr:uid="{00000000-0005-0000-0000-0000880D0000}"/>
    <cellStyle name="20% - Énfasis5 3 2 2 2 2 2 2" xfId="3802" xr:uid="{00000000-0005-0000-0000-0000890D0000}"/>
    <cellStyle name="20% - Énfasis5 3 2 2 2 2 2 2 2" xfId="7581" xr:uid="{00000000-0005-0000-0000-00008A0D0000}"/>
    <cellStyle name="20% - Énfasis5 3 2 2 2 2 2 2 3" xfId="11357" xr:uid="{00000000-0005-0000-0000-00008B0D0000}"/>
    <cellStyle name="20% - Énfasis5 3 2 2 2 2 2 3" xfId="5693" xr:uid="{00000000-0005-0000-0000-00008C0D0000}"/>
    <cellStyle name="20% - Énfasis5 3 2 2 2 2 2 4" xfId="9469" xr:uid="{00000000-0005-0000-0000-00008D0D0000}"/>
    <cellStyle name="20% - Énfasis5 3 2 2 2 2 3" xfId="2858" xr:uid="{00000000-0005-0000-0000-00008E0D0000}"/>
    <cellStyle name="20% - Énfasis5 3 2 2 2 2 3 2" xfId="6637" xr:uid="{00000000-0005-0000-0000-00008F0D0000}"/>
    <cellStyle name="20% - Énfasis5 3 2 2 2 2 3 3" xfId="10413" xr:uid="{00000000-0005-0000-0000-0000900D0000}"/>
    <cellStyle name="20% - Énfasis5 3 2 2 2 2 4" xfId="4749" xr:uid="{00000000-0005-0000-0000-0000910D0000}"/>
    <cellStyle name="20% - Énfasis5 3 2 2 2 2 5" xfId="8525" xr:uid="{00000000-0005-0000-0000-0000920D0000}"/>
    <cellStyle name="20% - Énfasis5 3 2 2 2 3" xfId="1440" xr:uid="{00000000-0005-0000-0000-0000930D0000}"/>
    <cellStyle name="20% - Énfasis5 3 2 2 2 3 2" xfId="3330" xr:uid="{00000000-0005-0000-0000-0000940D0000}"/>
    <cellStyle name="20% - Énfasis5 3 2 2 2 3 2 2" xfId="7109" xr:uid="{00000000-0005-0000-0000-0000950D0000}"/>
    <cellStyle name="20% - Énfasis5 3 2 2 2 3 2 3" xfId="10885" xr:uid="{00000000-0005-0000-0000-0000960D0000}"/>
    <cellStyle name="20% - Énfasis5 3 2 2 2 3 3" xfId="5221" xr:uid="{00000000-0005-0000-0000-0000970D0000}"/>
    <cellStyle name="20% - Énfasis5 3 2 2 2 3 4" xfId="8997" xr:uid="{00000000-0005-0000-0000-0000980D0000}"/>
    <cellStyle name="20% - Énfasis5 3 2 2 2 4" xfId="2386" xr:uid="{00000000-0005-0000-0000-0000990D0000}"/>
    <cellStyle name="20% - Énfasis5 3 2 2 2 4 2" xfId="6165" xr:uid="{00000000-0005-0000-0000-00009A0D0000}"/>
    <cellStyle name="20% - Énfasis5 3 2 2 2 4 3" xfId="9941" xr:uid="{00000000-0005-0000-0000-00009B0D0000}"/>
    <cellStyle name="20% - Énfasis5 3 2 2 2 5" xfId="4277" xr:uid="{00000000-0005-0000-0000-00009C0D0000}"/>
    <cellStyle name="20% - Énfasis5 3 2 2 2 6" xfId="8053" xr:uid="{00000000-0005-0000-0000-00009D0D0000}"/>
    <cellStyle name="20% - Énfasis5 3 2 2 3" xfId="730" xr:uid="{00000000-0005-0000-0000-00009E0D0000}"/>
    <cellStyle name="20% - Énfasis5 3 2 2 3 2" xfId="1676" xr:uid="{00000000-0005-0000-0000-00009F0D0000}"/>
    <cellStyle name="20% - Énfasis5 3 2 2 3 2 2" xfId="3566" xr:uid="{00000000-0005-0000-0000-0000A00D0000}"/>
    <cellStyle name="20% - Énfasis5 3 2 2 3 2 2 2" xfId="7345" xr:uid="{00000000-0005-0000-0000-0000A10D0000}"/>
    <cellStyle name="20% - Énfasis5 3 2 2 3 2 2 3" xfId="11121" xr:uid="{00000000-0005-0000-0000-0000A20D0000}"/>
    <cellStyle name="20% - Énfasis5 3 2 2 3 2 3" xfId="5457" xr:uid="{00000000-0005-0000-0000-0000A30D0000}"/>
    <cellStyle name="20% - Énfasis5 3 2 2 3 2 4" xfId="9233" xr:uid="{00000000-0005-0000-0000-0000A40D0000}"/>
    <cellStyle name="20% - Énfasis5 3 2 2 3 3" xfId="2622" xr:uid="{00000000-0005-0000-0000-0000A50D0000}"/>
    <cellStyle name="20% - Énfasis5 3 2 2 3 3 2" xfId="6401" xr:uid="{00000000-0005-0000-0000-0000A60D0000}"/>
    <cellStyle name="20% - Énfasis5 3 2 2 3 3 3" xfId="10177" xr:uid="{00000000-0005-0000-0000-0000A70D0000}"/>
    <cellStyle name="20% - Énfasis5 3 2 2 3 4" xfId="4513" xr:uid="{00000000-0005-0000-0000-0000A80D0000}"/>
    <cellStyle name="20% - Énfasis5 3 2 2 3 5" xfId="8289" xr:uid="{00000000-0005-0000-0000-0000A90D0000}"/>
    <cellStyle name="20% - Énfasis5 3 2 2 4" xfId="1204" xr:uid="{00000000-0005-0000-0000-0000AA0D0000}"/>
    <cellStyle name="20% - Énfasis5 3 2 2 4 2" xfId="3094" xr:uid="{00000000-0005-0000-0000-0000AB0D0000}"/>
    <cellStyle name="20% - Énfasis5 3 2 2 4 2 2" xfId="6873" xr:uid="{00000000-0005-0000-0000-0000AC0D0000}"/>
    <cellStyle name="20% - Énfasis5 3 2 2 4 2 3" xfId="10649" xr:uid="{00000000-0005-0000-0000-0000AD0D0000}"/>
    <cellStyle name="20% - Énfasis5 3 2 2 4 3" xfId="4985" xr:uid="{00000000-0005-0000-0000-0000AE0D0000}"/>
    <cellStyle name="20% - Énfasis5 3 2 2 4 4" xfId="8761" xr:uid="{00000000-0005-0000-0000-0000AF0D0000}"/>
    <cellStyle name="20% - Énfasis5 3 2 2 5" xfId="2150" xr:uid="{00000000-0005-0000-0000-0000B00D0000}"/>
    <cellStyle name="20% - Énfasis5 3 2 2 5 2" xfId="5929" xr:uid="{00000000-0005-0000-0000-0000B10D0000}"/>
    <cellStyle name="20% - Énfasis5 3 2 2 5 3" xfId="9705" xr:uid="{00000000-0005-0000-0000-0000B20D0000}"/>
    <cellStyle name="20% - Énfasis5 3 2 2 6" xfId="4041" xr:uid="{00000000-0005-0000-0000-0000B30D0000}"/>
    <cellStyle name="20% - Énfasis5 3 2 2 7" xfId="7817" xr:uid="{00000000-0005-0000-0000-0000B40D0000}"/>
    <cellStyle name="20% - Énfasis5 3 2 3" xfId="374" xr:uid="{00000000-0005-0000-0000-0000B50D0000}"/>
    <cellStyle name="20% - Énfasis5 3 2 3 2" xfId="848" xr:uid="{00000000-0005-0000-0000-0000B60D0000}"/>
    <cellStyle name="20% - Énfasis5 3 2 3 2 2" xfId="1794" xr:uid="{00000000-0005-0000-0000-0000B70D0000}"/>
    <cellStyle name="20% - Énfasis5 3 2 3 2 2 2" xfId="3684" xr:uid="{00000000-0005-0000-0000-0000B80D0000}"/>
    <cellStyle name="20% - Énfasis5 3 2 3 2 2 2 2" xfId="7463" xr:uid="{00000000-0005-0000-0000-0000B90D0000}"/>
    <cellStyle name="20% - Énfasis5 3 2 3 2 2 2 3" xfId="11239" xr:uid="{00000000-0005-0000-0000-0000BA0D0000}"/>
    <cellStyle name="20% - Énfasis5 3 2 3 2 2 3" xfId="5575" xr:uid="{00000000-0005-0000-0000-0000BB0D0000}"/>
    <cellStyle name="20% - Énfasis5 3 2 3 2 2 4" xfId="9351" xr:uid="{00000000-0005-0000-0000-0000BC0D0000}"/>
    <cellStyle name="20% - Énfasis5 3 2 3 2 3" xfId="2740" xr:uid="{00000000-0005-0000-0000-0000BD0D0000}"/>
    <cellStyle name="20% - Énfasis5 3 2 3 2 3 2" xfId="6519" xr:uid="{00000000-0005-0000-0000-0000BE0D0000}"/>
    <cellStyle name="20% - Énfasis5 3 2 3 2 3 3" xfId="10295" xr:uid="{00000000-0005-0000-0000-0000BF0D0000}"/>
    <cellStyle name="20% - Énfasis5 3 2 3 2 4" xfId="4631" xr:uid="{00000000-0005-0000-0000-0000C00D0000}"/>
    <cellStyle name="20% - Énfasis5 3 2 3 2 5" xfId="8407" xr:uid="{00000000-0005-0000-0000-0000C10D0000}"/>
    <cellStyle name="20% - Énfasis5 3 2 3 3" xfId="1322" xr:uid="{00000000-0005-0000-0000-0000C20D0000}"/>
    <cellStyle name="20% - Énfasis5 3 2 3 3 2" xfId="3212" xr:uid="{00000000-0005-0000-0000-0000C30D0000}"/>
    <cellStyle name="20% - Énfasis5 3 2 3 3 2 2" xfId="6991" xr:uid="{00000000-0005-0000-0000-0000C40D0000}"/>
    <cellStyle name="20% - Énfasis5 3 2 3 3 2 3" xfId="10767" xr:uid="{00000000-0005-0000-0000-0000C50D0000}"/>
    <cellStyle name="20% - Énfasis5 3 2 3 3 3" xfId="5103" xr:uid="{00000000-0005-0000-0000-0000C60D0000}"/>
    <cellStyle name="20% - Énfasis5 3 2 3 3 4" xfId="8879" xr:uid="{00000000-0005-0000-0000-0000C70D0000}"/>
    <cellStyle name="20% - Énfasis5 3 2 3 4" xfId="2268" xr:uid="{00000000-0005-0000-0000-0000C80D0000}"/>
    <cellStyle name="20% - Énfasis5 3 2 3 4 2" xfId="6047" xr:uid="{00000000-0005-0000-0000-0000C90D0000}"/>
    <cellStyle name="20% - Énfasis5 3 2 3 4 3" xfId="9823" xr:uid="{00000000-0005-0000-0000-0000CA0D0000}"/>
    <cellStyle name="20% - Énfasis5 3 2 3 5" xfId="4159" xr:uid="{00000000-0005-0000-0000-0000CB0D0000}"/>
    <cellStyle name="20% - Énfasis5 3 2 3 6" xfId="7935" xr:uid="{00000000-0005-0000-0000-0000CC0D0000}"/>
    <cellStyle name="20% - Énfasis5 3 2 4" xfId="612" xr:uid="{00000000-0005-0000-0000-0000CD0D0000}"/>
    <cellStyle name="20% - Énfasis5 3 2 4 2" xfId="1558" xr:uid="{00000000-0005-0000-0000-0000CE0D0000}"/>
    <cellStyle name="20% - Énfasis5 3 2 4 2 2" xfId="3448" xr:uid="{00000000-0005-0000-0000-0000CF0D0000}"/>
    <cellStyle name="20% - Énfasis5 3 2 4 2 2 2" xfId="7227" xr:uid="{00000000-0005-0000-0000-0000D00D0000}"/>
    <cellStyle name="20% - Énfasis5 3 2 4 2 2 3" xfId="11003" xr:uid="{00000000-0005-0000-0000-0000D10D0000}"/>
    <cellStyle name="20% - Énfasis5 3 2 4 2 3" xfId="5339" xr:uid="{00000000-0005-0000-0000-0000D20D0000}"/>
    <cellStyle name="20% - Énfasis5 3 2 4 2 4" xfId="9115" xr:uid="{00000000-0005-0000-0000-0000D30D0000}"/>
    <cellStyle name="20% - Énfasis5 3 2 4 3" xfId="2504" xr:uid="{00000000-0005-0000-0000-0000D40D0000}"/>
    <cellStyle name="20% - Énfasis5 3 2 4 3 2" xfId="6283" xr:uid="{00000000-0005-0000-0000-0000D50D0000}"/>
    <cellStyle name="20% - Énfasis5 3 2 4 3 3" xfId="10059" xr:uid="{00000000-0005-0000-0000-0000D60D0000}"/>
    <cellStyle name="20% - Énfasis5 3 2 4 4" xfId="4395" xr:uid="{00000000-0005-0000-0000-0000D70D0000}"/>
    <cellStyle name="20% - Énfasis5 3 2 4 5" xfId="8171" xr:uid="{00000000-0005-0000-0000-0000D80D0000}"/>
    <cellStyle name="20% - Énfasis5 3 2 5" xfId="1086" xr:uid="{00000000-0005-0000-0000-0000D90D0000}"/>
    <cellStyle name="20% - Énfasis5 3 2 5 2" xfId="2976" xr:uid="{00000000-0005-0000-0000-0000DA0D0000}"/>
    <cellStyle name="20% - Énfasis5 3 2 5 2 2" xfId="6755" xr:uid="{00000000-0005-0000-0000-0000DB0D0000}"/>
    <cellStyle name="20% - Énfasis5 3 2 5 2 3" xfId="10531" xr:uid="{00000000-0005-0000-0000-0000DC0D0000}"/>
    <cellStyle name="20% - Énfasis5 3 2 5 3" xfId="4867" xr:uid="{00000000-0005-0000-0000-0000DD0D0000}"/>
    <cellStyle name="20% - Énfasis5 3 2 5 4" xfId="8643" xr:uid="{00000000-0005-0000-0000-0000DE0D0000}"/>
    <cellStyle name="20% - Énfasis5 3 2 6" xfId="2032" xr:uid="{00000000-0005-0000-0000-0000DF0D0000}"/>
    <cellStyle name="20% - Énfasis5 3 2 6 2" xfId="5811" xr:uid="{00000000-0005-0000-0000-0000E00D0000}"/>
    <cellStyle name="20% - Énfasis5 3 2 6 3" xfId="9587" xr:uid="{00000000-0005-0000-0000-0000E10D0000}"/>
    <cellStyle name="20% - Énfasis5 3 2 7" xfId="3923" xr:uid="{00000000-0005-0000-0000-0000E20D0000}"/>
    <cellStyle name="20% - Énfasis5 3 2 8" xfId="7699" xr:uid="{00000000-0005-0000-0000-0000E30D0000}"/>
    <cellStyle name="20% - Énfasis5 3 3" xfId="195" xr:uid="{00000000-0005-0000-0000-0000E40D0000}"/>
    <cellStyle name="20% - Énfasis5 3 3 2" xfId="433" xr:uid="{00000000-0005-0000-0000-0000E50D0000}"/>
    <cellStyle name="20% - Énfasis5 3 3 2 2" xfId="907" xr:uid="{00000000-0005-0000-0000-0000E60D0000}"/>
    <cellStyle name="20% - Énfasis5 3 3 2 2 2" xfId="1853" xr:uid="{00000000-0005-0000-0000-0000E70D0000}"/>
    <cellStyle name="20% - Énfasis5 3 3 2 2 2 2" xfId="3743" xr:uid="{00000000-0005-0000-0000-0000E80D0000}"/>
    <cellStyle name="20% - Énfasis5 3 3 2 2 2 2 2" xfId="7522" xr:uid="{00000000-0005-0000-0000-0000E90D0000}"/>
    <cellStyle name="20% - Énfasis5 3 3 2 2 2 2 3" xfId="11298" xr:uid="{00000000-0005-0000-0000-0000EA0D0000}"/>
    <cellStyle name="20% - Énfasis5 3 3 2 2 2 3" xfId="5634" xr:uid="{00000000-0005-0000-0000-0000EB0D0000}"/>
    <cellStyle name="20% - Énfasis5 3 3 2 2 2 4" xfId="9410" xr:uid="{00000000-0005-0000-0000-0000EC0D0000}"/>
    <cellStyle name="20% - Énfasis5 3 3 2 2 3" xfId="2799" xr:uid="{00000000-0005-0000-0000-0000ED0D0000}"/>
    <cellStyle name="20% - Énfasis5 3 3 2 2 3 2" xfId="6578" xr:uid="{00000000-0005-0000-0000-0000EE0D0000}"/>
    <cellStyle name="20% - Énfasis5 3 3 2 2 3 3" xfId="10354" xr:uid="{00000000-0005-0000-0000-0000EF0D0000}"/>
    <cellStyle name="20% - Énfasis5 3 3 2 2 4" xfId="4690" xr:uid="{00000000-0005-0000-0000-0000F00D0000}"/>
    <cellStyle name="20% - Énfasis5 3 3 2 2 5" xfId="8466" xr:uid="{00000000-0005-0000-0000-0000F10D0000}"/>
    <cellStyle name="20% - Énfasis5 3 3 2 3" xfId="1381" xr:uid="{00000000-0005-0000-0000-0000F20D0000}"/>
    <cellStyle name="20% - Énfasis5 3 3 2 3 2" xfId="3271" xr:uid="{00000000-0005-0000-0000-0000F30D0000}"/>
    <cellStyle name="20% - Énfasis5 3 3 2 3 2 2" xfId="7050" xr:uid="{00000000-0005-0000-0000-0000F40D0000}"/>
    <cellStyle name="20% - Énfasis5 3 3 2 3 2 3" xfId="10826" xr:uid="{00000000-0005-0000-0000-0000F50D0000}"/>
    <cellStyle name="20% - Énfasis5 3 3 2 3 3" xfId="5162" xr:uid="{00000000-0005-0000-0000-0000F60D0000}"/>
    <cellStyle name="20% - Énfasis5 3 3 2 3 4" xfId="8938" xr:uid="{00000000-0005-0000-0000-0000F70D0000}"/>
    <cellStyle name="20% - Énfasis5 3 3 2 4" xfId="2327" xr:uid="{00000000-0005-0000-0000-0000F80D0000}"/>
    <cellStyle name="20% - Énfasis5 3 3 2 4 2" xfId="6106" xr:uid="{00000000-0005-0000-0000-0000F90D0000}"/>
    <cellStyle name="20% - Énfasis5 3 3 2 4 3" xfId="9882" xr:uid="{00000000-0005-0000-0000-0000FA0D0000}"/>
    <cellStyle name="20% - Énfasis5 3 3 2 5" xfId="4218" xr:uid="{00000000-0005-0000-0000-0000FB0D0000}"/>
    <cellStyle name="20% - Énfasis5 3 3 2 6" xfId="7994" xr:uid="{00000000-0005-0000-0000-0000FC0D0000}"/>
    <cellStyle name="20% - Énfasis5 3 3 3" xfId="671" xr:uid="{00000000-0005-0000-0000-0000FD0D0000}"/>
    <cellStyle name="20% - Énfasis5 3 3 3 2" xfId="1617" xr:uid="{00000000-0005-0000-0000-0000FE0D0000}"/>
    <cellStyle name="20% - Énfasis5 3 3 3 2 2" xfId="3507" xr:uid="{00000000-0005-0000-0000-0000FF0D0000}"/>
    <cellStyle name="20% - Énfasis5 3 3 3 2 2 2" xfId="7286" xr:uid="{00000000-0005-0000-0000-0000000E0000}"/>
    <cellStyle name="20% - Énfasis5 3 3 3 2 2 3" xfId="11062" xr:uid="{00000000-0005-0000-0000-0000010E0000}"/>
    <cellStyle name="20% - Énfasis5 3 3 3 2 3" xfId="5398" xr:uid="{00000000-0005-0000-0000-0000020E0000}"/>
    <cellStyle name="20% - Énfasis5 3 3 3 2 4" xfId="9174" xr:uid="{00000000-0005-0000-0000-0000030E0000}"/>
    <cellStyle name="20% - Énfasis5 3 3 3 3" xfId="2563" xr:uid="{00000000-0005-0000-0000-0000040E0000}"/>
    <cellStyle name="20% - Énfasis5 3 3 3 3 2" xfId="6342" xr:uid="{00000000-0005-0000-0000-0000050E0000}"/>
    <cellStyle name="20% - Énfasis5 3 3 3 3 3" xfId="10118" xr:uid="{00000000-0005-0000-0000-0000060E0000}"/>
    <cellStyle name="20% - Énfasis5 3 3 3 4" xfId="4454" xr:uid="{00000000-0005-0000-0000-0000070E0000}"/>
    <cellStyle name="20% - Énfasis5 3 3 3 5" xfId="8230" xr:uid="{00000000-0005-0000-0000-0000080E0000}"/>
    <cellStyle name="20% - Énfasis5 3 3 4" xfId="1145" xr:uid="{00000000-0005-0000-0000-0000090E0000}"/>
    <cellStyle name="20% - Énfasis5 3 3 4 2" xfId="3035" xr:uid="{00000000-0005-0000-0000-00000A0E0000}"/>
    <cellStyle name="20% - Énfasis5 3 3 4 2 2" xfId="6814" xr:uid="{00000000-0005-0000-0000-00000B0E0000}"/>
    <cellStyle name="20% - Énfasis5 3 3 4 2 3" xfId="10590" xr:uid="{00000000-0005-0000-0000-00000C0E0000}"/>
    <cellStyle name="20% - Énfasis5 3 3 4 3" xfId="4926" xr:uid="{00000000-0005-0000-0000-00000D0E0000}"/>
    <cellStyle name="20% - Énfasis5 3 3 4 4" xfId="8702" xr:uid="{00000000-0005-0000-0000-00000E0E0000}"/>
    <cellStyle name="20% - Énfasis5 3 3 5" xfId="2091" xr:uid="{00000000-0005-0000-0000-00000F0E0000}"/>
    <cellStyle name="20% - Énfasis5 3 3 5 2" xfId="5870" xr:uid="{00000000-0005-0000-0000-0000100E0000}"/>
    <cellStyle name="20% - Énfasis5 3 3 5 3" xfId="9646" xr:uid="{00000000-0005-0000-0000-0000110E0000}"/>
    <cellStyle name="20% - Énfasis5 3 3 6" xfId="3982" xr:uid="{00000000-0005-0000-0000-0000120E0000}"/>
    <cellStyle name="20% - Énfasis5 3 3 7" xfId="7758" xr:uid="{00000000-0005-0000-0000-0000130E0000}"/>
    <cellStyle name="20% - Énfasis5 3 4" xfId="315" xr:uid="{00000000-0005-0000-0000-0000140E0000}"/>
    <cellStyle name="20% - Énfasis5 3 4 2" xfId="789" xr:uid="{00000000-0005-0000-0000-0000150E0000}"/>
    <cellStyle name="20% - Énfasis5 3 4 2 2" xfId="1735" xr:uid="{00000000-0005-0000-0000-0000160E0000}"/>
    <cellStyle name="20% - Énfasis5 3 4 2 2 2" xfId="3625" xr:uid="{00000000-0005-0000-0000-0000170E0000}"/>
    <cellStyle name="20% - Énfasis5 3 4 2 2 2 2" xfId="7404" xr:uid="{00000000-0005-0000-0000-0000180E0000}"/>
    <cellStyle name="20% - Énfasis5 3 4 2 2 2 3" xfId="11180" xr:uid="{00000000-0005-0000-0000-0000190E0000}"/>
    <cellStyle name="20% - Énfasis5 3 4 2 2 3" xfId="5516" xr:uid="{00000000-0005-0000-0000-00001A0E0000}"/>
    <cellStyle name="20% - Énfasis5 3 4 2 2 4" xfId="9292" xr:uid="{00000000-0005-0000-0000-00001B0E0000}"/>
    <cellStyle name="20% - Énfasis5 3 4 2 3" xfId="2681" xr:uid="{00000000-0005-0000-0000-00001C0E0000}"/>
    <cellStyle name="20% - Énfasis5 3 4 2 3 2" xfId="6460" xr:uid="{00000000-0005-0000-0000-00001D0E0000}"/>
    <cellStyle name="20% - Énfasis5 3 4 2 3 3" xfId="10236" xr:uid="{00000000-0005-0000-0000-00001E0E0000}"/>
    <cellStyle name="20% - Énfasis5 3 4 2 4" xfId="4572" xr:uid="{00000000-0005-0000-0000-00001F0E0000}"/>
    <cellStyle name="20% - Énfasis5 3 4 2 5" xfId="8348" xr:uid="{00000000-0005-0000-0000-0000200E0000}"/>
    <cellStyle name="20% - Énfasis5 3 4 3" xfId="1263" xr:uid="{00000000-0005-0000-0000-0000210E0000}"/>
    <cellStyle name="20% - Énfasis5 3 4 3 2" xfId="3153" xr:uid="{00000000-0005-0000-0000-0000220E0000}"/>
    <cellStyle name="20% - Énfasis5 3 4 3 2 2" xfId="6932" xr:uid="{00000000-0005-0000-0000-0000230E0000}"/>
    <cellStyle name="20% - Énfasis5 3 4 3 2 3" xfId="10708" xr:uid="{00000000-0005-0000-0000-0000240E0000}"/>
    <cellStyle name="20% - Énfasis5 3 4 3 3" xfId="5044" xr:uid="{00000000-0005-0000-0000-0000250E0000}"/>
    <cellStyle name="20% - Énfasis5 3 4 3 4" xfId="8820" xr:uid="{00000000-0005-0000-0000-0000260E0000}"/>
    <cellStyle name="20% - Énfasis5 3 4 4" xfId="2209" xr:uid="{00000000-0005-0000-0000-0000270E0000}"/>
    <cellStyle name="20% - Énfasis5 3 4 4 2" xfId="5988" xr:uid="{00000000-0005-0000-0000-0000280E0000}"/>
    <cellStyle name="20% - Énfasis5 3 4 4 3" xfId="9764" xr:uid="{00000000-0005-0000-0000-0000290E0000}"/>
    <cellStyle name="20% - Énfasis5 3 4 5" xfId="4100" xr:uid="{00000000-0005-0000-0000-00002A0E0000}"/>
    <cellStyle name="20% - Énfasis5 3 4 6" xfId="7876" xr:uid="{00000000-0005-0000-0000-00002B0E0000}"/>
    <cellStyle name="20% - Énfasis5 3 5" xfId="553" xr:uid="{00000000-0005-0000-0000-00002C0E0000}"/>
    <cellStyle name="20% - Énfasis5 3 5 2" xfId="1499" xr:uid="{00000000-0005-0000-0000-00002D0E0000}"/>
    <cellStyle name="20% - Énfasis5 3 5 2 2" xfId="3389" xr:uid="{00000000-0005-0000-0000-00002E0E0000}"/>
    <cellStyle name="20% - Énfasis5 3 5 2 2 2" xfId="7168" xr:uid="{00000000-0005-0000-0000-00002F0E0000}"/>
    <cellStyle name="20% - Énfasis5 3 5 2 2 3" xfId="10944" xr:uid="{00000000-0005-0000-0000-0000300E0000}"/>
    <cellStyle name="20% - Énfasis5 3 5 2 3" xfId="5280" xr:uid="{00000000-0005-0000-0000-0000310E0000}"/>
    <cellStyle name="20% - Énfasis5 3 5 2 4" xfId="9056" xr:uid="{00000000-0005-0000-0000-0000320E0000}"/>
    <cellStyle name="20% - Énfasis5 3 5 3" xfId="2445" xr:uid="{00000000-0005-0000-0000-0000330E0000}"/>
    <cellStyle name="20% - Énfasis5 3 5 3 2" xfId="6224" xr:uid="{00000000-0005-0000-0000-0000340E0000}"/>
    <cellStyle name="20% - Énfasis5 3 5 3 3" xfId="10000" xr:uid="{00000000-0005-0000-0000-0000350E0000}"/>
    <cellStyle name="20% - Énfasis5 3 5 4" xfId="4336" xr:uid="{00000000-0005-0000-0000-0000360E0000}"/>
    <cellStyle name="20% - Énfasis5 3 5 5" xfId="8112" xr:uid="{00000000-0005-0000-0000-0000370E0000}"/>
    <cellStyle name="20% - Énfasis5 3 6" xfId="1027" xr:uid="{00000000-0005-0000-0000-0000380E0000}"/>
    <cellStyle name="20% - Énfasis5 3 6 2" xfId="2917" xr:uid="{00000000-0005-0000-0000-0000390E0000}"/>
    <cellStyle name="20% - Énfasis5 3 6 2 2" xfId="6696" xr:uid="{00000000-0005-0000-0000-00003A0E0000}"/>
    <cellStyle name="20% - Énfasis5 3 6 2 3" xfId="10472" xr:uid="{00000000-0005-0000-0000-00003B0E0000}"/>
    <cellStyle name="20% - Énfasis5 3 6 3" xfId="4808" xr:uid="{00000000-0005-0000-0000-00003C0E0000}"/>
    <cellStyle name="20% - Énfasis5 3 6 4" xfId="8584" xr:uid="{00000000-0005-0000-0000-00003D0E0000}"/>
    <cellStyle name="20% - Énfasis5 3 7" xfId="1973" xr:uid="{00000000-0005-0000-0000-00003E0E0000}"/>
    <cellStyle name="20% - Énfasis5 3 7 2" xfId="5752" xr:uid="{00000000-0005-0000-0000-00003F0E0000}"/>
    <cellStyle name="20% - Énfasis5 3 7 3" xfId="9528" xr:uid="{00000000-0005-0000-0000-0000400E0000}"/>
    <cellStyle name="20% - Énfasis5 3 8" xfId="3864" xr:uid="{00000000-0005-0000-0000-0000410E0000}"/>
    <cellStyle name="20% - Énfasis5 3 9" xfId="7640" xr:uid="{00000000-0005-0000-0000-0000420E0000}"/>
    <cellStyle name="20% - Énfasis5 4" xfId="100" xr:uid="{00000000-0005-0000-0000-0000430E0000}"/>
    <cellStyle name="20% - Énfasis5 4 2" xfId="225" xr:uid="{00000000-0005-0000-0000-0000440E0000}"/>
    <cellStyle name="20% - Énfasis5 4 2 2" xfId="463" xr:uid="{00000000-0005-0000-0000-0000450E0000}"/>
    <cellStyle name="20% - Énfasis5 4 2 2 2" xfId="937" xr:uid="{00000000-0005-0000-0000-0000460E0000}"/>
    <cellStyle name="20% - Énfasis5 4 2 2 2 2" xfId="1883" xr:uid="{00000000-0005-0000-0000-0000470E0000}"/>
    <cellStyle name="20% - Énfasis5 4 2 2 2 2 2" xfId="3773" xr:uid="{00000000-0005-0000-0000-0000480E0000}"/>
    <cellStyle name="20% - Énfasis5 4 2 2 2 2 2 2" xfId="7552" xr:uid="{00000000-0005-0000-0000-0000490E0000}"/>
    <cellStyle name="20% - Énfasis5 4 2 2 2 2 2 3" xfId="11328" xr:uid="{00000000-0005-0000-0000-00004A0E0000}"/>
    <cellStyle name="20% - Énfasis5 4 2 2 2 2 3" xfId="5664" xr:uid="{00000000-0005-0000-0000-00004B0E0000}"/>
    <cellStyle name="20% - Énfasis5 4 2 2 2 2 4" xfId="9440" xr:uid="{00000000-0005-0000-0000-00004C0E0000}"/>
    <cellStyle name="20% - Énfasis5 4 2 2 2 3" xfId="2829" xr:uid="{00000000-0005-0000-0000-00004D0E0000}"/>
    <cellStyle name="20% - Énfasis5 4 2 2 2 3 2" xfId="6608" xr:uid="{00000000-0005-0000-0000-00004E0E0000}"/>
    <cellStyle name="20% - Énfasis5 4 2 2 2 3 3" xfId="10384" xr:uid="{00000000-0005-0000-0000-00004F0E0000}"/>
    <cellStyle name="20% - Énfasis5 4 2 2 2 4" xfId="4720" xr:uid="{00000000-0005-0000-0000-0000500E0000}"/>
    <cellStyle name="20% - Énfasis5 4 2 2 2 5" xfId="8496" xr:uid="{00000000-0005-0000-0000-0000510E0000}"/>
    <cellStyle name="20% - Énfasis5 4 2 2 3" xfId="1411" xr:uid="{00000000-0005-0000-0000-0000520E0000}"/>
    <cellStyle name="20% - Énfasis5 4 2 2 3 2" xfId="3301" xr:uid="{00000000-0005-0000-0000-0000530E0000}"/>
    <cellStyle name="20% - Énfasis5 4 2 2 3 2 2" xfId="7080" xr:uid="{00000000-0005-0000-0000-0000540E0000}"/>
    <cellStyle name="20% - Énfasis5 4 2 2 3 2 3" xfId="10856" xr:uid="{00000000-0005-0000-0000-0000550E0000}"/>
    <cellStyle name="20% - Énfasis5 4 2 2 3 3" xfId="5192" xr:uid="{00000000-0005-0000-0000-0000560E0000}"/>
    <cellStyle name="20% - Énfasis5 4 2 2 3 4" xfId="8968" xr:uid="{00000000-0005-0000-0000-0000570E0000}"/>
    <cellStyle name="20% - Énfasis5 4 2 2 4" xfId="2357" xr:uid="{00000000-0005-0000-0000-0000580E0000}"/>
    <cellStyle name="20% - Énfasis5 4 2 2 4 2" xfId="6136" xr:uid="{00000000-0005-0000-0000-0000590E0000}"/>
    <cellStyle name="20% - Énfasis5 4 2 2 4 3" xfId="9912" xr:uid="{00000000-0005-0000-0000-00005A0E0000}"/>
    <cellStyle name="20% - Énfasis5 4 2 2 5" xfId="4248" xr:uid="{00000000-0005-0000-0000-00005B0E0000}"/>
    <cellStyle name="20% - Énfasis5 4 2 2 6" xfId="8024" xr:uid="{00000000-0005-0000-0000-00005C0E0000}"/>
    <cellStyle name="20% - Énfasis5 4 2 3" xfId="701" xr:uid="{00000000-0005-0000-0000-00005D0E0000}"/>
    <cellStyle name="20% - Énfasis5 4 2 3 2" xfId="1647" xr:uid="{00000000-0005-0000-0000-00005E0E0000}"/>
    <cellStyle name="20% - Énfasis5 4 2 3 2 2" xfId="3537" xr:uid="{00000000-0005-0000-0000-00005F0E0000}"/>
    <cellStyle name="20% - Énfasis5 4 2 3 2 2 2" xfId="7316" xr:uid="{00000000-0005-0000-0000-0000600E0000}"/>
    <cellStyle name="20% - Énfasis5 4 2 3 2 2 3" xfId="11092" xr:uid="{00000000-0005-0000-0000-0000610E0000}"/>
    <cellStyle name="20% - Énfasis5 4 2 3 2 3" xfId="5428" xr:uid="{00000000-0005-0000-0000-0000620E0000}"/>
    <cellStyle name="20% - Énfasis5 4 2 3 2 4" xfId="9204" xr:uid="{00000000-0005-0000-0000-0000630E0000}"/>
    <cellStyle name="20% - Énfasis5 4 2 3 3" xfId="2593" xr:uid="{00000000-0005-0000-0000-0000640E0000}"/>
    <cellStyle name="20% - Énfasis5 4 2 3 3 2" xfId="6372" xr:uid="{00000000-0005-0000-0000-0000650E0000}"/>
    <cellStyle name="20% - Énfasis5 4 2 3 3 3" xfId="10148" xr:uid="{00000000-0005-0000-0000-0000660E0000}"/>
    <cellStyle name="20% - Énfasis5 4 2 3 4" xfId="4484" xr:uid="{00000000-0005-0000-0000-0000670E0000}"/>
    <cellStyle name="20% - Énfasis5 4 2 3 5" xfId="8260" xr:uid="{00000000-0005-0000-0000-0000680E0000}"/>
    <cellStyle name="20% - Énfasis5 4 2 4" xfId="1175" xr:uid="{00000000-0005-0000-0000-0000690E0000}"/>
    <cellStyle name="20% - Énfasis5 4 2 4 2" xfId="3065" xr:uid="{00000000-0005-0000-0000-00006A0E0000}"/>
    <cellStyle name="20% - Énfasis5 4 2 4 2 2" xfId="6844" xr:uid="{00000000-0005-0000-0000-00006B0E0000}"/>
    <cellStyle name="20% - Énfasis5 4 2 4 2 3" xfId="10620" xr:uid="{00000000-0005-0000-0000-00006C0E0000}"/>
    <cellStyle name="20% - Énfasis5 4 2 4 3" xfId="4956" xr:uid="{00000000-0005-0000-0000-00006D0E0000}"/>
    <cellStyle name="20% - Énfasis5 4 2 4 4" xfId="8732" xr:uid="{00000000-0005-0000-0000-00006E0E0000}"/>
    <cellStyle name="20% - Énfasis5 4 2 5" xfId="2121" xr:uid="{00000000-0005-0000-0000-00006F0E0000}"/>
    <cellStyle name="20% - Énfasis5 4 2 5 2" xfId="5900" xr:uid="{00000000-0005-0000-0000-0000700E0000}"/>
    <cellStyle name="20% - Énfasis5 4 2 5 3" xfId="9676" xr:uid="{00000000-0005-0000-0000-0000710E0000}"/>
    <cellStyle name="20% - Énfasis5 4 2 6" xfId="4012" xr:uid="{00000000-0005-0000-0000-0000720E0000}"/>
    <cellStyle name="20% - Énfasis5 4 2 7" xfId="7788" xr:uid="{00000000-0005-0000-0000-0000730E0000}"/>
    <cellStyle name="20% - Énfasis5 4 3" xfId="345" xr:uid="{00000000-0005-0000-0000-0000740E0000}"/>
    <cellStyle name="20% - Énfasis5 4 3 2" xfId="819" xr:uid="{00000000-0005-0000-0000-0000750E0000}"/>
    <cellStyle name="20% - Énfasis5 4 3 2 2" xfId="1765" xr:uid="{00000000-0005-0000-0000-0000760E0000}"/>
    <cellStyle name="20% - Énfasis5 4 3 2 2 2" xfId="3655" xr:uid="{00000000-0005-0000-0000-0000770E0000}"/>
    <cellStyle name="20% - Énfasis5 4 3 2 2 2 2" xfId="7434" xr:uid="{00000000-0005-0000-0000-0000780E0000}"/>
    <cellStyle name="20% - Énfasis5 4 3 2 2 2 3" xfId="11210" xr:uid="{00000000-0005-0000-0000-0000790E0000}"/>
    <cellStyle name="20% - Énfasis5 4 3 2 2 3" xfId="5546" xr:uid="{00000000-0005-0000-0000-00007A0E0000}"/>
    <cellStyle name="20% - Énfasis5 4 3 2 2 4" xfId="9322" xr:uid="{00000000-0005-0000-0000-00007B0E0000}"/>
    <cellStyle name="20% - Énfasis5 4 3 2 3" xfId="2711" xr:uid="{00000000-0005-0000-0000-00007C0E0000}"/>
    <cellStyle name="20% - Énfasis5 4 3 2 3 2" xfId="6490" xr:uid="{00000000-0005-0000-0000-00007D0E0000}"/>
    <cellStyle name="20% - Énfasis5 4 3 2 3 3" xfId="10266" xr:uid="{00000000-0005-0000-0000-00007E0E0000}"/>
    <cellStyle name="20% - Énfasis5 4 3 2 4" xfId="4602" xr:uid="{00000000-0005-0000-0000-00007F0E0000}"/>
    <cellStyle name="20% - Énfasis5 4 3 2 5" xfId="8378" xr:uid="{00000000-0005-0000-0000-0000800E0000}"/>
    <cellStyle name="20% - Énfasis5 4 3 3" xfId="1293" xr:uid="{00000000-0005-0000-0000-0000810E0000}"/>
    <cellStyle name="20% - Énfasis5 4 3 3 2" xfId="3183" xr:uid="{00000000-0005-0000-0000-0000820E0000}"/>
    <cellStyle name="20% - Énfasis5 4 3 3 2 2" xfId="6962" xr:uid="{00000000-0005-0000-0000-0000830E0000}"/>
    <cellStyle name="20% - Énfasis5 4 3 3 2 3" xfId="10738" xr:uid="{00000000-0005-0000-0000-0000840E0000}"/>
    <cellStyle name="20% - Énfasis5 4 3 3 3" xfId="5074" xr:uid="{00000000-0005-0000-0000-0000850E0000}"/>
    <cellStyle name="20% - Énfasis5 4 3 3 4" xfId="8850" xr:uid="{00000000-0005-0000-0000-0000860E0000}"/>
    <cellStyle name="20% - Énfasis5 4 3 4" xfId="2239" xr:uid="{00000000-0005-0000-0000-0000870E0000}"/>
    <cellStyle name="20% - Énfasis5 4 3 4 2" xfId="6018" xr:uid="{00000000-0005-0000-0000-0000880E0000}"/>
    <cellStyle name="20% - Énfasis5 4 3 4 3" xfId="9794" xr:uid="{00000000-0005-0000-0000-0000890E0000}"/>
    <cellStyle name="20% - Énfasis5 4 3 5" xfId="4130" xr:uid="{00000000-0005-0000-0000-00008A0E0000}"/>
    <cellStyle name="20% - Énfasis5 4 3 6" xfId="7906" xr:uid="{00000000-0005-0000-0000-00008B0E0000}"/>
    <cellStyle name="20% - Énfasis5 4 4" xfId="583" xr:uid="{00000000-0005-0000-0000-00008C0E0000}"/>
    <cellStyle name="20% - Énfasis5 4 4 2" xfId="1529" xr:uid="{00000000-0005-0000-0000-00008D0E0000}"/>
    <cellStyle name="20% - Énfasis5 4 4 2 2" xfId="3419" xr:uid="{00000000-0005-0000-0000-00008E0E0000}"/>
    <cellStyle name="20% - Énfasis5 4 4 2 2 2" xfId="7198" xr:uid="{00000000-0005-0000-0000-00008F0E0000}"/>
    <cellStyle name="20% - Énfasis5 4 4 2 2 3" xfId="10974" xr:uid="{00000000-0005-0000-0000-0000900E0000}"/>
    <cellStyle name="20% - Énfasis5 4 4 2 3" xfId="5310" xr:uid="{00000000-0005-0000-0000-0000910E0000}"/>
    <cellStyle name="20% - Énfasis5 4 4 2 4" xfId="9086" xr:uid="{00000000-0005-0000-0000-0000920E0000}"/>
    <cellStyle name="20% - Énfasis5 4 4 3" xfId="2475" xr:uid="{00000000-0005-0000-0000-0000930E0000}"/>
    <cellStyle name="20% - Énfasis5 4 4 3 2" xfId="6254" xr:uid="{00000000-0005-0000-0000-0000940E0000}"/>
    <cellStyle name="20% - Énfasis5 4 4 3 3" xfId="10030" xr:uid="{00000000-0005-0000-0000-0000950E0000}"/>
    <cellStyle name="20% - Énfasis5 4 4 4" xfId="4366" xr:uid="{00000000-0005-0000-0000-0000960E0000}"/>
    <cellStyle name="20% - Énfasis5 4 4 5" xfId="8142" xr:uid="{00000000-0005-0000-0000-0000970E0000}"/>
    <cellStyle name="20% - Énfasis5 4 5" xfId="1057" xr:uid="{00000000-0005-0000-0000-0000980E0000}"/>
    <cellStyle name="20% - Énfasis5 4 5 2" xfId="2947" xr:uid="{00000000-0005-0000-0000-0000990E0000}"/>
    <cellStyle name="20% - Énfasis5 4 5 2 2" xfId="6726" xr:uid="{00000000-0005-0000-0000-00009A0E0000}"/>
    <cellStyle name="20% - Énfasis5 4 5 2 3" xfId="10502" xr:uid="{00000000-0005-0000-0000-00009B0E0000}"/>
    <cellStyle name="20% - Énfasis5 4 5 3" xfId="4838" xr:uid="{00000000-0005-0000-0000-00009C0E0000}"/>
    <cellStyle name="20% - Énfasis5 4 5 4" xfId="8614" xr:uid="{00000000-0005-0000-0000-00009D0E0000}"/>
    <cellStyle name="20% - Énfasis5 4 6" xfId="2003" xr:uid="{00000000-0005-0000-0000-00009E0E0000}"/>
    <cellStyle name="20% - Énfasis5 4 6 2" xfId="5782" xr:uid="{00000000-0005-0000-0000-00009F0E0000}"/>
    <cellStyle name="20% - Énfasis5 4 6 3" xfId="9558" xr:uid="{00000000-0005-0000-0000-0000A00E0000}"/>
    <cellStyle name="20% - Énfasis5 4 7" xfId="3894" xr:uid="{00000000-0005-0000-0000-0000A10E0000}"/>
    <cellStyle name="20% - Énfasis5 4 8" xfId="7670" xr:uid="{00000000-0005-0000-0000-0000A20E0000}"/>
    <cellStyle name="20% - Énfasis5 5" xfId="164" xr:uid="{00000000-0005-0000-0000-0000A30E0000}"/>
    <cellStyle name="20% - Énfasis5 5 2" xfId="404" xr:uid="{00000000-0005-0000-0000-0000A40E0000}"/>
    <cellStyle name="20% - Énfasis5 5 2 2" xfId="878" xr:uid="{00000000-0005-0000-0000-0000A50E0000}"/>
    <cellStyle name="20% - Énfasis5 5 2 2 2" xfId="1824" xr:uid="{00000000-0005-0000-0000-0000A60E0000}"/>
    <cellStyle name="20% - Énfasis5 5 2 2 2 2" xfId="3714" xr:uid="{00000000-0005-0000-0000-0000A70E0000}"/>
    <cellStyle name="20% - Énfasis5 5 2 2 2 2 2" xfId="7493" xr:uid="{00000000-0005-0000-0000-0000A80E0000}"/>
    <cellStyle name="20% - Énfasis5 5 2 2 2 2 3" xfId="11269" xr:uid="{00000000-0005-0000-0000-0000A90E0000}"/>
    <cellStyle name="20% - Énfasis5 5 2 2 2 3" xfId="5605" xr:uid="{00000000-0005-0000-0000-0000AA0E0000}"/>
    <cellStyle name="20% - Énfasis5 5 2 2 2 4" xfId="9381" xr:uid="{00000000-0005-0000-0000-0000AB0E0000}"/>
    <cellStyle name="20% - Énfasis5 5 2 2 3" xfId="2770" xr:uid="{00000000-0005-0000-0000-0000AC0E0000}"/>
    <cellStyle name="20% - Énfasis5 5 2 2 3 2" xfId="6549" xr:uid="{00000000-0005-0000-0000-0000AD0E0000}"/>
    <cellStyle name="20% - Énfasis5 5 2 2 3 3" xfId="10325" xr:uid="{00000000-0005-0000-0000-0000AE0E0000}"/>
    <cellStyle name="20% - Énfasis5 5 2 2 4" xfId="4661" xr:uid="{00000000-0005-0000-0000-0000AF0E0000}"/>
    <cellStyle name="20% - Énfasis5 5 2 2 5" xfId="8437" xr:uid="{00000000-0005-0000-0000-0000B00E0000}"/>
    <cellStyle name="20% - Énfasis5 5 2 3" xfId="1352" xr:uid="{00000000-0005-0000-0000-0000B10E0000}"/>
    <cellStyle name="20% - Énfasis5 5 2 3 2" xfId="3242" xr:uid="{00000000-0005-0000-0000-0000B20E0000}"/>
    <cellStyle name="20% - Énfasis5 5 2 3 2 2" xfId="7021" xr:uid="{00000000-0005-0000-0000-0000B30E0000}"/>
    <cellStyle name="20% - Énfasis5 5 2 3 2 3" xfId="10797" xr:uid="{00000000-0005-0000-0000-0000B40E0000}"/>
    <cellStyle name="20% - Énfasis5 5 2 3 3" xfId="5133" xr:uid="{00000000-0005-0000-0000-0000B50E0000}"/>
    <cellStyle name="20% - Énfasis5 5 2 3 4" xfId="8909" xr:uid="{00000000-0005-0000-0000-0000B60E0000}"/>
    <cellStyle name="20% - Énfasis5 5 2 4" xfId="2298" xr:uid="{00000000-0005-0000-0000-0000B70E0000}"/>
    <cellStyle name="20% - Énfasis5 5 2 4 2" xfId="6077" xr:uid="{00000000-0005-0000-0000-0000B80E0000}"/>
    <cellStyle name="20% - Énfasis5 5 2 4 3" xfId="9853" xr:uid="{00000000-0005-0000-0000-0000B90E0000}"/>
    <cellStyle name="20% - Énfasis5 5 2 5" xfId="4189" xr:uid="{00000000-0005-0000-0000-0000BA0E0000}"/>
    <cellStyle name="20% - Énfasis5 5 2 6" xfId="7965" xr:uid="{00000000-0005-0000-0000-0000BB0E0000}"/>
    <cellStyle name="20% - Énfasis5 5 3" xfId="642" xr:uid="{00000000-0005-0000-0000-0000BC0E0000}"/>
    <cellStyle name="20% - Énfasis5 5 3 2" xfId="1588" xr:uid="{00000000-0005-0000-0000-0000BD0E0000}"/>
    <cellStyle name="20% - Énfasis5 5 3 2 2" xfId="3478" xr:uid="{00000000-0005-0000-0000-0000BE0E0000}"/>
    <cellStyle name="20% - Énfasis5 5 3 2 2 2" xfId="7257" xr:uid="{00000000-0005-0000-0000-0000BF0E0000}"/>
    <cellStyle name="20% - Énfasis5 5 3 2 2 3" xfId="11033" xr:uid="{00000000-0005-0000-0000-0000C00E0000}"/>
    <cellStyle name="20% - Énfasis5 5 3 2 3" xfId="5369" xr:uid="{00000000-0005-0000-0000-0000C10E0000}"/>
    <cellStyle name="20% - Énfasis5 5 3 2 4" xfId="9145" xr:uid="{00000000-0005-0000-0000-0000C20E0000}"/>
    <cellStyle name="20% - Énfasis5 5 3 3" xfId="2534" xr:uid="{00000000-0005-0000-0000-0000C30E0000}"/>
    <cellStyle name="20% - Énfasis5 5 3 3 2" xfId="6313" xr:uid="{00000000-0005-0000-0000-0000C40E0000}"/>
    <cellStyle name="20% - Énfasis5 5 3 3 3" xfId="10089" xr:uid="{00000000-0005-0000-0000-0000C50E0000}"/>
    <cellStyle name="20% - Énfasis5 5 3 4" xfId="4425" xr:uid="{00000000-0005-0000-0000-0000C60E0000}"/>
    <cellStyle name="20% - Énfasis5 5 3 5" xfId="8201" xr:uid="{00000000-0005-0000-0000-0000C70E0000}"/>
    <cellStyle name="20% - Énfasis5 5 4" xfId="1116" xr:uid="{00000000-0005-0000-0000-0000C80E0000}"/>
    <cellStyle name="20% - Énfasis5 5 4 2" xfId="3006" xr:uid="{00000000-0005-0000-0000-0000C90E0000}"/>
    <cellStyle name="20% - Énfasis5 5 4 2 2" xfId="6785" xr:uid="{00000000-0005-0000-0000-0000CA0E0000}"/>
    <cellStyle name="20% - Énfasis5 5 4 2 3" xfId="10561" xr:uid="{00000000-0005-0000-0000-0000CB0E0000}"/>
    <cellStyle name="20% - Énfasis5 5 4 3" xfId="4897" xr:uid="{00000000-0005-0000-0000-0000CC0E0000}"/>
    <cellStyle name="20% - Énfasis5 5 4 4" xfId="8673" xr:uid="{00000000-0005-0000-0000-0000CD0E0000}"/>
    <cellStyle name="20% - Énfasis5 5 5" xfId="2062" xr:uid="{00000000-0005-0000-0000-0000CE0E0000}"/>
    <cellStyle name="20% - Énfasis5 5 5 2" xfId="5841" xr:uid="{00000000-0005-0000-0000-0000CF0E0000}"/>
    <cellStyle name="20% - Énfasis5 5 5 3" xfId="9617" xr:uid="{00000000-0005-0000-0000-0000D00E0000}"/>
    <cellStyle name="20% - Énfasis5 5 6" xfId="3953" xr:uid="{00000000-0005-0000-0000-0000D10E0000}"/>
    <cellStyle name="20% - Énfasis5 5 7" xfId="7729" xr:uid="{00000000-0005-0000-0000-0000D20E0000}"/>
    <cellStyle name="20% - Énfasis5 6" xfId="284" xr:uid="{00000000-0005-0000-0000-0000D30E0000}"/>
    <cellStyle name="20% - Énfasis5 6 2" xfId="760" xr:uid="{00000000-0005-0000-0000-0000D40E0000}"/>
    <cellStyle name="20% - Énfasis5 6 2 2" xfId="1706" xr:uid="{00000000-0005-0000-0000-0000D50E0000}"/>
    <cellStyle name="20% - Énfasis5 6 2 2 2" xfId="3596" xr:uid="{00000000-0005-0000-0000-0000D60E0000}"/>
    <cellStyle name="20% - Énfasis5 6 2 2 2 2" xfId="7375" xr:uid="{00000000-0005-0000-0000-0000D70E0000}"/>
    <cellStyle name="20% - Énfasis5 6 2 2 2 3" xfId="11151" xr:uid="{00000000-0005-0000-0000-0000D80E0000}"/>
    <cellStyle name="20% - Énfasis5 6 2 2 3" xfId="5487" xr:uid="{00000000-0005-0000-0000-0000D90E0000}"/>
    <cellStyle name="20% - Énfasis5 6 2 2 4" xfId="9263" xr:uid="{00000000-0005-0000-0000-0000DA0E0000}"/>
    <cellStyle name="20% - Énfasis5 6 2 3" xfId="2652" xr:uid="{00000000-0005-0000-0000-0000DB0E0000}"/>
    <cellStyle name="20% - Énfasis5 6 2 3 2" xfId="6431" xr:uid="{00000000-0005-0000-0000-0000DC0E0000}"/>
    <cellStyle name="20% - Énfasis5 6 2 3 3" xfId="10207" xr:uid="{00000000-0005-0000-0000-0000DD0E0000}"/>
    <cellStyle name="20% - Énfasis5 6 2 4" xfId="4543" xr:uid="{00000000-0005-0000-0000-0000DE0E0000}"/>
    <cellStyle name="20% - Énfasis5 6 2 5" xfId="8319" xr:uid="{00000000-0005-0000-0000-0000DF0E0000}"/>
    <cellStyle name="20% - Énfasis5 6 3" xfId="1234" xr:uid="{00000000-0005-0000-0000-0000E00E0000}"/>
    <cellStyle name="20% - Énfasis5 6 3 2" xfId="3124" xr:uid="{00000000-0005-0000-0000-0000E10E0000}"/>
    <cellStyle name="20% - Énfasis5 6 3 2 2" xfId="6903" xr:uid="{00000000-0005-0000-0000-0000E20E0000}"/>
    <cellStyle name="20% - Énfasis5 6 3 2 3" xfId="10679" xr:uid="{00000000-0005-0000-0000-0000E30E0000}"/>
    <cellStyle name="20% - Énfasis5 6 3 3" xfId="5015" xr:uid="{00000000-0005-0000-0000-0000E40E0000}"/>
    <cellStyle name="20% - Énfasis5 6 3 4" xfId="8791" xr:uid="{00000000-0005-0000-0000-0000E50E0000}"/>
    <cellStyle name="20% - Énfasis5 6 4" xfId="2180" xr:uid="{00000000-0005-0000-0000-0000E60E0000}"/>
    <cellStyle name="20% - Énfasis5 6 4 2" xfId="5959" xr:uid="{00000000-0005-0000-0000-0000E70E0000}"/>
    <cellStyle name="20% - Énfasis5 6 4 3" xfId="9735" xr:uid="{00000000-0005-0000-0000-0000E80E0000}"/>
    <cellStyle name="20% - Énfasis5 6 5" xfId="4071" xr:uid="{00000000-0005-0000-0000-0000E90E0000}"/>
    <cellStyle name="20% - Énfasis5 6 6" xfId="7847" xr:uid="{00000000-0005-0000-0000-0000EA0E0000}"/>
    <cellStyle name="20% - Énfasis5 7" xfId="522" xr:uid="{00000000-0005-0000-0000-0000EB0E0000}"/>
    <cellStyle name="20% - Énfasis5 7 2" xfId="1470" xr:uid="{00000000-0005-0000-0000-0000EC0E0000}"/>
    <cellStyle name="20% - Énfasis5 7 2 2" xfId="3360" xr:uid="{00000000-0005-0000-0000-0000ED0E0000}"/>
    <cellStyle name="20% - Énfasis5 7 2 2 2" xfId="7139" xr:uid="{00000000-0005-0000-0000-0000EE0E0000}"/>
    <cellStyle name="20% - Énfasis5 7 2 2 3" xfId="10915" xr:uid="{00000000-0005-0000-0000-0000EF0E0000}"/>
    <cellStyle name="20% - Énfasis5 7 2 3" xfId="5251" xr:uid="{00000000-0005-0000-0000-0000F00E0000}"/>
    <cellStyle name="20% - Énfasis5 7 2 4" xfId="9027" xr:uid="{00000000-0005-0000-0000-0000F10E0000}"/>
    <cellStyle name="20% - Énfasis5 7 3" xfId="2416" xr:uid="{00000000-0005-0000-0000-0000F20E0000}"/>
    <cellStyle name="20% - Énfasis5 7 3 2" xfId="6195" xr:uid="{00000000-0005-0000-0000-0000F30E0000}"/>
    <cellStyle name="20% - Énfasis5 7 3 3" xfId="9971" xr:uid="{00000000-0005-0000-0000-0000F40E0000}"/>
    <cellStyle name="20% - Énfasis5 7 4" xfId="4307" xr:uid="{00000000-0005-0000-0000-0000F50E0000}"/>
    <cellStyle name="20% - Énfasis5 7 5" xfId="8083" xr:uid="{00000000-0005-0000-0000-0000F60E0000}"/>
    <cellStyle name="20% - Énfasis5 8" xfId="996" xr:uid="{00000000-0005-0000-0000-0000F70E0000}"/>
    <cellStyle name="20% - Énfasis5 8 2" xfId="2888" xr:uid="{00000000-0005-0000-0000-0000F80E0000}"/>
    <cellStyle name="20% - Énfasis5 8 2 2" xfId="6667" xr:uid="{00000000-0005-0000-0000-0000F90E0000}"/>
    <cellStyle name="20% - Énfasis5 8 2 3" xfId="10443" xr:uid="{00000000-0005-0000-0000-0000FA0E0000}"/>
    <cellStyle name="20% - Énfasis5 8 3" xfId="4779" xr:uid="{00000000-0005-0000-0000-0000FB0E0000}"/>
    <cellStyle name="20% - Énfasis5 8 4" xfId="8555" xr:uid="{00000000-0005-0000-0000-0000FC0E0000}"/>
    <cellStyle name="20% - Énfasis5 9" xfId="1942" xr:uid="{00000000-0005-0000-0000-0000FD0E0000}"/>
    <cellStyle name="20% - Énfasis5 9 2" xfId="5723" xr:uid="{00000000-0005-0000-0000-0000FE0E0000}"/>
    <cellStyle name="20% - Énfasis5 9 3" xfId="9499" xr:uid="{00000000-0005-0000-0000-0000FF0E0000}"/>
    <cellStyle name="20% - Énfasis6" xfId="39" builtinId="50" customBuiltin="1"/>
    <cellStyle name="20% - Énfasis6 10" xfId="3835" xr:uid="{00000000-0005-0000-0000-0000010F0000}"/>
    <cellStyle name="20% - Énfasis6 11" xfId="7613" xr:uid="{00000000-0005-0000-0000-0000020F0000}"/>
    <cellStyle name="20% - Énfasis6 2" xfId="56" xr:uid="{00000000-0005-0000-0000-0000030F0000}"/>
    <cellStyle name="20% - Énfasis6 2 10" xfId="7629" xr:uid="{00000000-0005-0000-0000-0000040F0000}"/>
    <cellStyle name="20% - Énfasis6 2 2" xfId="87" xr:uid="{00000000-0005-0000-0000-0000050F0000}"/>
    <cellStyle name="20% - Énfasis6 2 2 2" xfId="150" xr:uid="{00000000-0005-0000-0000-0000060F0000}"/>
    <cellStyle name="20% - Énfasis6 2 2 2 2" xfId="272" xr:uid="{00000000-0005-0000-0000-0000070F0000}"/>
    <cellStyle name="20% - Énfasis6 2 2 2 2 2" xfId="510" xr:uid="{00000000-0005-0000-0000-0000080F0000}"/>
    <cellStyle name="20% - Énfasis6 2 2 2 2 2 2" xfId="984" xr:uid="{00000000-0005-0000-0000-0000090F0000}"/>
    <cellStyle name="20% - Énfasis6 2 2 2 2 2 2 2" xfId="1930" xr:uid="{00000000-0005-0000-0000-00000A0F0000}"/>
    <cellStyle name="20% - Énfasis6 2 2 2 2 2 2 2 2" xfId="3820" xr:uid="{00000000-0005-0000-0000-00000B0F0000}"/>
    <cellStyle name="20% - Énfasis6 2 2 2 2 2 2 2 2 2" xfId="7599" xr:uid="{00000000-0005-0000-0000-00000C0F0000}"/>
    <cellStyle name="20% - Énfasis6 2 2 2 2 2 2 2 2 3" xfId="11375" xr:uid="{00000000-0005-0000-0000-00000D0F0000}"/>
    <cellStyle name="20% - Énfasis6 2 2 2 2 2 2 2 3" xfId="5711" xr:uid="{00000000-0005-0000-0000-00000E0F0000}"/>
    <cellStyle name="20% - Énfasis6 2 2 2 2 2 2 2 4" xfId="9487" xr:uid="{00000000-0005-0000-0000-00000F0F0000}"/>
    <cellStyle name="20% - Énfasis6 2 2 2 2 2 2 3" xfId="2876" xr:uid="{00000000-0005-0000-0000-0000100F0000}"/>
    <cellStyle name="20% - Énfasis6 2 2 2 2 2 2 3 2" xfId="6655" xr:uid="{00000000-0005-0000-0000-0000110F0000}"/>
    <cellStyle name="20% - Énfasis6 2 2 2 2 2 2 3 3" xfId="10431" xr:uid="{00000000-0005-0000-0000-0000120F0000}"/>
    <cellStyle name="20% - Énfasis6 2 2 2 2 2 2 4" xfId="4767" xr:uid="{00000000-0005-0000-0000-0000130F0000}"/>
    <cellStyle name="20% - Énfasis6 2 2 2 2 2 2 5" xfId="8543" xr:uid="{00000000-0005-0000-0000-0000140F0000}"/>
    <cellStyle name="20% - Énfasis6 2 2 2 2 2 3" xfId="1458" xr:uid="{00000000-0005-0000-0000-0000150F0000}"/>
    <cellStyle name="20% - Énfasis6 2 2 2 2 2 3 2" xfId="3348" xr:uid="{00000000-0005-0000-0000-0000160F0000}"/>
    <cellStyle name="20% - Énfasis6 2 2 2 2 2 3 2 2" xfId="7127" xr:uid="{00000000-0005-0000-0000-0000170F0000}"/>
    <cellStyle name="20% - Énfasis6 2 2 2 2 2 3 2 3" xfId="10903" xr:uid="{00000000-0005-0000-0000-0000180F0000}"/>
    <cellStyle name="20% - Énfasis6 2 2 2 2 2 3 3" xfId="5239" xr:uid="{00000000-0005-0000-0000-0000190F0000}"/>
    <cellStyle name="20% - Énfasis6 2 2 2 2 2 3 4" xfId="9015" xr:uid="{00000000-0005-0000-0000-00001A0F0000}"/>
    <cellStyle name="20% - Énfasis6 2 2 2 2 2 4" xfId="2404" xr:uid="{00000000-0005-0000-0000-00001B0F0000}"/>
    <cellStyle name="20% - Énfasis6 2 2 2 2 2 4 2" xfId="6183" xr:uid="{00000000-0005-0000-0000-00001C0F0000}"/>
    <cellStyle name="20% - Énfasis6 2 2 2 2 2 4 3" xfId="9959" xr:uid="{00000000-0005-0000-0000-00001D0F0000}"/>
    <cellStyle name="20% - Énfasis6 2 2 2 2 2 5" xfId="4295" xr:uid="{00000000-0005-0000-0000-00001E0F0000}"/>
    <cellStyle name="20% - Énfasis6 2 2 2 2 2 6" xfId="8071" xr:uid="{00000000-0005-0000-0000-00001F0F0000}"/>
    <cellStyle name="20% - Énfasis6 2 2 2 2 3" xfId="748" xr:uid="{00000000-0005-0000-0000-0000200F0000}"/>
    <cellStyle name="20% - Énfasis6 2 2 2 2 3 2" xfId="1694" xr:uid="{00000000-0005-0000-0000-0000210F0000}"/>
    <cellStyle name="20% - Énfasis6 2 2 2 2 3 2 2" xfId="3584" xr:uid="{00000000-0005-0000-0000-0000220F0000}"/>
    <cellStyle name="20% - Énfasis6 2 2 2 2 3 2 2 2" xfId="7363" xr:uid="{00000000-0005-0000-0000-0000230F0000}"/>
    <cellStyle name="20% - Énfasis6 2 2 2 2 3 2 2 3" xfId="11139" xr:uid="{00000000-0005-0000-0000-0000240F0000}"/>
    <cellStyle name="20% - Énfasis6 2 2 2 2 3 2 3" xfId="5475" xr:uid="{00000000-0005-0000-0000-0000250F0000}"/>
    <cellStyle name="20% - Énfasis6 2 2 2 2 3 2 4" xfId="9251" xr:uid="{00000000-0005-0000-0000-0000260F0000}"/>
    <cellStyle name="20% - Énfasis6 2 2 2 2 3 3" xfId="2640" xr:uid="{00000000-0005-0000-0000-0000270F0000}"/>
    <cellStyle name="20% - Énfasis6 2 2 2 2 3 3 2" xfId="6419" xr:uid="{00000000-0005-0000-0000-0000280F0000}"/>
    <cellStyle name="20% - Énfasis6 2 2 2 2 3 3 3" xfId="10195" xr:uid="{00000000-0005-0000-0000-0000290F0000}"/>
    <cellStyle name="20% - Énfasis6 2 2 2 2 3 4" xfId="4531" xr:uid="{00000000-0005-0000-0000-00002A0F0000}"/>
    <cellStyle name="20% - Énfasis6 2 2 2 2 3 5" xfId="8307" xr:uid="{00000000-0005-0000-0000-00002B0F0000}"/>
    <cellStyle name="20% - Énfasis6 2 2 2 2 4" xfId="1222" xr:uid="{00000000-0005-0000-0000-00002C0F0000}"/>
    <cellStyle name="20% - Énfasis6 2 2 2 2 4 2" xfId="3112" xr:uid="{00000000-0005-0000-0000-00002D0F0000}"/>
    <cellStyle name="20% - Énfasis6 2 2 2 2 4 2 2" xfId="6891" xr:uid="{00000000-0005-0000-0000-00002E0F0000}"/>
    <cellStyle name="20% - Énfasis6 2 2 2 2 4 2 3" xfId="10667" xr:uid="{00000000-0005-0000-0000-00002F0F0000}"/>
    <cellStyle name="20% - Énfasis6 2 2 2 2 4 3" xfId="5003" xr:uid="{00000000-0005-0000-0000-0000300F0000}"/>
    <cellStyle name="20% - Énfasis6 2 2 2 2 4 4" xfId="8779" xr:uid="{00000000-0005-0000-0000-0000310F0000}"/>
    <cellStyle name="20% - Énfasis6 2 2 2 2 5" xfId="2168" xr:uid="{00000000-0005-0000-0000-0000320F0000}"/>
    <cellStyle name="20% - Énfasis6 2 2 2 2 5 2" xfId="5947" xr:uid="{00000000-0005-0000-0000-0000330F0000}"/>
    <cellStyle name="20% - Énfasis6 2 2 2 2 5 3" xfId="9723" xr:uid="{00000000-0005-0000-0000-0000340F0000}"/>
    <cellStyle name="20% - Énfasis6 2 2 2 2 6" xfId="4059" xr:uid="{00000000-0005-0000-0000-0000350F0000}"/>
    <cellStyle name="20% - Énfasis6 2 2 2 2 7" xfId="7835" xr:uid="{00000000-0005-0000-0000-0000360F0000}"/>
    <cellStyle name="20% - Énfasis6 2 2 2 3" xfId="392" xr:uid="{00000000-0005-0000-0000-0000370F0000}"/>
    <cellStyle name="20% - Énfasis6 2 2 2 3 2" xfId="866" xr:uid="{00000000-0005-0000-0000-0000380F0000}"/>
    <cellStyle name="20% - Énfasis6 2 2 2 3 2 2" xfId="1812" xr:uid="{00000000-0005-0000-0000-0000390F0000}"/>
    <cellStyle name="20% - Énfasis6 2 2 2 3 2 2 2" xfId="3702" xr:uid="{00000000-0005-0000-0000-00003A0F0000}"/>
    <cellStyle name="20% - Énfasis6 2 2 2 3 2 2 2 2" xfId="7481" xr:uid="{00000000-0005-0000-0000-00003B0F0000}"/>
    <cellStyle name="20% - Énfasis6 2 2 2 3 2 2 2 3" xfId="11257" xr:uid="{00000000-0005-0000-0000-00003C0F0000}"/>
    <cellStyle name="20% - Énfasis6 2 2 2 3 2 2 3" xfId="5593" xr:uid="{00000000-0005-0000-0000-00003D0F0000}"/>
    <cellStyle name="20% - Énfasis6 2 2 2 3 2 2 4" xfId="9369" xr:uid="{00000000-0005-0000-0000-00003E0F0000}"/>
    <cellStyle name="20% - Énfasis6 2 2 2 3 2 3" xfId="2758" xr:uid="{00000000-0005-0000-0000-00003F0F0000}"/>
    <cellStyle name="20% - Énfasis6 2 2 2 3 2 3 2" xfId="6537" xr:uid="{00000000-0005-0000-0000-0000400F0000}"/>
    <cellStyle name="20% - Énfasis6 2 2 2 3 2 3 3" xfId="10313" xr:uid="{00000000-0005-0000-0000-0000410F0000}"/>
    <cellStyle name="20% - Énfasis6 2 2 2 3 2 4" xfId="4649" xr:uid="{00000000-0005-0000-0000-0000420F0000}"/>
    <cellStyle name="20% - Énfasis6 2 2 2 3 2 5" xfId="8425" xr:uid="{00000000-0005-0000-0000-0000430F0000}"/>
    <cellStyle name="20% - Énfasis6 2 2 2 3 3" xfId="1340" xr:uid="{00000000-0005-0000-0000-0000440F0000}"/>
    <cellStyle name="20% - Énfasis6 2 2 2 3 3 2" xfId="3230" xr:uid="{00000000-0005-0000-0000-0000450F0000}"/>
    <cellStyle name="20% - Énfasis6 2 2 2 3 3 2 2" xfId="7009" xr:uid="{00000000-0005-0000-0000-0000460F0000}"/>
    <cellStyle name="20% - Énfasis6 2 2 2 3 3 2 3" xfId="10785" xr:uid="{00000000-0005-0000-0000-0000470F0000}"/>
    <cellStyle name="20% - Énfasis6 2 2 2 3 3 3" xfId="5121" xr:uid="{00000000-0005-0000-0000-0000480F0000}"/>
    <cellStyle name="20% - Énfasis6 2 2 2 3 3 4" xfId="8897" xr:uid="{00000000-0005-0000-0000-0000490F0000}"/>
    <cellStyle name="20% - Énfasis6 2 2 2 3 4" xfId="2286" xr:uid="{00000000-0005-0000-0000-00004A0F0000}"/>
    <cellStyle name="20% - Énfasis6 2 2 2 3 4 2" xfId="6065" xr:uid="{00000000-0005-0000-0000-00004B0F0000}"/>
    <cellStyle name="20% - Énfasis6 2 2 2 3 4 3" xfId="9841" xr:uid="{00000000-0005-0000-0000-00004C0F0000}"/>
    <cellStyle name="20% - Énfasis6 2 2 2 3 5" xfId="4177" xr:uid="{00000000-0005-0000-0000-00004D0F0000}"/>
    <cellStyle name="20% - Énfasis6 2 2 2 3 6" xfId="7953" xr:uid="{00000000-0005-0000-0000-00004E0F0000}"/>
    <cellStyle name="20% - Énfasis6 2 2 2 4" xfId="630" xr:uid="{00000000-0005-0000-0000-00004F0F0000}"/>
    <cellStyle name="20% - Énfasis6 2 2 2 4 2" xfId="1576" xr:uid="{00000000-0005-0000-0000-0000500F0000}"/>
    <cellStyle name="20% - Énfasis6 2 2 2 4 2 2" xfId="3466" xr:uid="{00000000-0005-0000-0000-0000510F0000}"/>
    <cellStyle name="20% - Énfasis6 2 2 2 4 2 2 2" xfId="7245" xr:uid="{00000000-0005-0000-0000-0000520F0000}"/>
    <cellStyle name="20% - Énfasis6 2 2 2 4 2 2 3" xfId="11021" xr:uid="{00000000-0005-0000-0000-0000530F0000}"/>
    <cellStyle name="20% - Énfasis6 2 2 2 4 2 3" xfId="5357" xr:uid="{00000000-0005-0000-0000-0000540F0000}"/>
    <cellStyle name="20% - Énfasis6 2 2 2 4 2 4" xfId="9133" xr:uid="{00000000-0005-0000-0000-0000550F0000}"/>
    <cellStyle name="20% - Énfasis6 2 2 2 4 3" xfId="2522" xr:uid="{00000000-0005-0000-0000-0000560F0000}"/>
    <cellStyle name="20% - Énfasis6 2 2 2 4 3 2" xfId="6301" xr:uid="{00000000-0005-0000-0000-0000570F0000}"/>
    <cellStyle name="20% - Énfasis6 2 2 2 4 3 3" xfId="10077" xr:uid="{00000000-0005-0000-0000-0000580F0000}"/>
    <cellStyle name="20% - Énfasis6 2 2 2 4 4" xfId="4413" xr:uid="{00000000-0005-0000-0000-0000590F0000}"/>
    <cellStyle name="20% - Énfasis6 2 2 2 4 5" xfId="8189" xr:uid="{00000000-0005-0000-0000-00005A0F0000}"/>
    <cellStyle name="20% - Énfasis6 2 2 2 5" xfId="1104" xr:uid="{00000000-0005-0000-0000-00005B0F0000}"/>
    <cellStyle name="20% - Énfasis6 2 2 2 5 2" xfId="2994" xr:uid="{00000000-0005-0000-0000-00005C0F0000}"/>
    <cellStyle name="20% - Énfasis6 2 2 2 5 2 2" xfId="6773" xr:uid="{00000000-0005-0000-0000-00005D0F0000}"/>
    <cellStyle name="20% - Énfasis6 2 2 2 5 2 3" xfId="10549" xr:uid="{00000000-0005-0000-0000-00005E0F0000}"/>
    <cellStyle name="20% - Énfasis6 2 2 2 5 3" xfId="4885" xr:uid="{00000000-0005-0000-0000-00005F0F0000}"/>
    <cellStyle name="20% - Énfasis6 2 2 2 5 4" xfId="8661" xr:uid="{00000000-0005-0000-0000-0000600F0000}"/>
    <cellStyle name="20% - Énfasis6 2 2 2 6" xfId="2050" xr:uid="{00000000-0005-0000-0000-0000610F0000}"/>
    <cellStyle name="20% - Énfasis6 2 2 2 6 2" xfId="5829" xr:uid="{00000000-0005-0000-0000-0000620F0000}"/>
    <cellStyle name="20% - Énfasis6 2 2 2 6 3" xfId="9605" xr:uid="{00000000-0005-0000-0000-0000630F0000}"/>
    <cellStyle name="20% - Énfasis6 2 2 2 7" xfId="3941" xr:uid="{00000000-0005-0000-0000-0000640F0000}"/>
    <cellStyle name="20% - Énfasis6 2 2 2 8" xfId="7717" xr:uid="{00000000-0005-0000-0000-0000650F0000}"/>
    <cellStyle name="20% - Énfasis6 2 2 3" xfId="213" xr:uid="{00000000-0005-0000-0000-0000660F0000}"/>
    <cellStyle name="20% - Énfasis6 2 2 3 2" xfId="451" xr:uid="{00000000-0005-0000-0000-0000670F0000}"/>
    <cellStyle name="20% - Énfasis6 2 2 3 2 2" xfId="925" xr:uid="{00000000-0005-0000-0000-0000680F0000}"/>
    <cellStyle name="20% - Énfasis6 2 2 3 2 2 2" xfId="1871" xr:uid="{00000000-0005-0000-0000-0000690F0000}"/>
    <cellStyle name="20% - Énfasis6 2 2 3 2 2 2 2" xfId="3761" xr:uid="{00000000-0005-0000-0000-00006A0F0000}"/>
    <cellStyle name="20% - Énfasis6 2 2 3 2 2 2 2 2" xfId="7540" xr:uid="{00000000-0005-0000-0000-00006B0F0000}"/>
    <cellStyle name="20% - Énfasis6 2 2 3 2 2 2 2 3" xfId="11316" xr:uid="{00000000-0005-0000-0000-00006C0F0000}"/>
    <cellStyle name="20% - Énfasis6 2 2 3 2 2 2 3" xfId="5652" xr:uid="{00000000-0005-0000-0000-00006D0F0000}"/>
    <cellStyle name="20% - Énfasis6 2 2 3 2 2 2 4" xfId="9428" xr:uid="{00000000-0005-0000-0000-00006E0F0000}"/>
    <cellStyle name="20% - Énfasis6 2 2 3 2 2 3" xfId="2817" xr:uid="{00000000-0005-0000-0000-00006F0F0000}"/>
    <cellStyle name="20% - Énfasis6 2 2 3 2 2 3 2" xfId="6596" xr:uid="{00000000-0005-0000-0000-0000700F0000}"/>
    <cellStyle name="20% - Énfasis6 2 2 3 2 2 3 3" xfId="10372" xr:uid="{00000000-0005-0000-0000-0000710F0000}"/>
    <cellStyle name="20% - Énfasis6 2 2 3 2 2 4" xfId="4708" xr:uid="{00000000-0005-0000-0000-0000720F0000}"/>
    <cellStyle name="20% - Énfasis6 2 2 3 2 2 5" xfId="8484" xr:uid="{00000000-0005-0000-0000-0000730F0000}"/>
    <cellStyle name="20% - Énfasis6 2 2 3 2 3" xfId="1399" xr:uid="{00000000-0005-0000-0000-0000740F0000}"/>
    <cellStyle name="20% - Énfasis6 2 2 3 2 3 2" xfId="3289" xr:uid="{00000000-0005-0000-0000-0000750F0000}"/>
    <cellStyle name="20% - Énfasis6 2 2 3 2 3 2 2" xfId="7068" xr:uid="{00000000-0005-0000-0000-0000760F0000}"/>
    <cellStyle name="20% - Énfasis6 2 2 3 2 3 2 3" xfId="10844" xr:uid="{00000000-0005-0000-0000-0000770F0000}"/>
    <cellStyle name="20% - Énfasis6 2 2 3 2 3 3" xfId="5180" xr:uid="{00000000-0005-0000-0000-0000780F0000}"/>
    <cellStyle name="20% - Énfasis6 2 2 3 2 3 4" xfId="8956" xr:uid="{00000000-0005-0000-0000-0000790F0000}"/>
    <cellStyle name="20% - Énfasis6 2 2 3 2 4" xfId="2345" xr:uid="{00000000-0005-0000-0000-00007A0F0000}"/>
    <cellStyle name="20% - Énfasis6 2 2 3 2 4 2" xfId="6124" xr:uid="{00000000-0005-0000-0000-00007B0F0000}"/>
    <cellStyle name="20% - Énfasis6 2 2 3 2 4 3" xfId="9900" xr:uid="{00000000-0005-0000-0000-00007C0F0000}"/>
    <cellStyle name="20% - Énfasis6 2 2 3 2 5" xfId="4236" xr:uid="{00000000-0005-0000-0000-00007D0F0000}"/>
    <cellStyle name="20% - Énfasis6 2 2 3 2 6" xfId="8012" xr:uid="{00000000-0005-0000-0000-00007E0F0000}"/>
    <cellStyle name="20% - Énfasis6 2 2 3 3" xfId="689" xr:uid="{00000000-0005-0000-0000-00007F0F0000}"/>
    <cellStyle name="20% - Énfasis6 2 2 3 3 2" xfId="1635" xr:uid="{00000000-0005-0000-0000-0000800F0000}"/>
    <cellStyle name="20% - Énfasis6 2 2 3 3 2 2" xfId="3525" xr:uid="{00000000-0005-0000-0000-0000810F0000}"/>
    <cellStyle name="20% - Énfasis6 2 2 3 3 2 2 2" xfId="7304" xr:uid="{00000000-0005-0000-0000-0000820F0000}"/>
    <cellStyle name="20% - Énfasis6 2 2 3 3 2 2 3" xfId="11080" xr:uid="{00000000-0005-0000-0000-0000830F0000}"/>
    <cellStyle name="20% - Énfasis6 2 2 3 3 2 3" xfId="5416" xr:uid="{00000000-0005-0000-0000-0000840F0000}"/>
    <cellStyle name="20% - Énfasis6 2 2 3 3 2 4" xfId="9192" xr:uid="{00000000-0005-0000-0000-0000850F0000}"/>
    <cellStyle name="20% - Énfasis6 2 2 3 3 3" xfId="2581" xr:uid="{00000000-0005-0000-0000-0000860F0000}"/>
    <cellStyle name="20% - Énfasis6 2 2 3 3 3 2" xfId="6360" xr:uid="{00000000-0005-0000-0000-0000870F0000}"/>
    <cellStyle name="20% - Énfasis6 2 2 3 3 3 3" xfId="10136" xr:uid="{00000000-0005-0000-0000-0000880F0000}"/>
    <cellStyle name="20% - Énfasis6 2 2 3 3 4" xfId="4472" xr:uid="{00000000-0005-0000-0000-0000890F0000}"/>
    <cellStyle name="20% - Énfasis6 2 2 3 3 5" xfId="8248" xr:uid="{00000000-0005-0000-0000-00008A0F0000}"/>
    <cellStyle name="20% - Énfasis6 2 2 3 4" xfId="1163" xr:uid="{00000000-0005-0000-0000-00008B0F0000}"/>
    <cellStyle name="20% - Énfasis6 2 2 3 4 2" xfId="3053" xr:uid="{00000000-0005-0000-0000-00008C0F0000}"/>
    <cellStyle name="20% - Énfasis6 2 2 3 4 2 2" xfId="6832" xr:uid="{00000000-0005-0000-0000-00008D0F0000}"/>
    <cellStyle name="20% - Énfasis6 2 2 3 4 2 3" xfId="10608" xr:uid="{00000000-0005-0000-0000-00008E0F0000}"/>
    <cellStyle name="20% - Énfasis6 2 2 3 4 3" xfId="4944" xr:uid="{00000000-0005-0000-0000-00008F0F0000}"/>
    <cellStyle name="20% - Énfasis6 2 2 3 4 4" xfId="8720" xr:uid="{00000000-0005-0000-0000-0000900F0000}"/>
    <cellStyle name="20% - Énfasis6 2 2 3 5" xfId="2109" xr:uid="{00000000-0005-0000-0000-0000910F0000}"/>
    <cellStyle name="20% - Énfasis6 2 2 3 5 2" xfId="5888" xr:uid="{00000000-0005-0000-0000-0000920F0000}"/>
    <cellStyle name="20% - Énfasis6 2 2 3 5 3" xfId="9664" xr:uid="{00000000-0005-0000-0000-0000930F0000}"/>
    <cellStyle name="20% - Énfasis6 2 2 3 6" xfId="4000" xr:uid="{00000000-0005-0000-0000-0000940F0000}"/>
    <cellStyle name="20% - Énfasis6 2 2 3 7" xfId="7776" xr:uid="{00000000-0005-0000-0000-0000950F0000}"/>
    <cellStyle name="20% - Énfasis6 2 2 4" xfId="333" xr:uid="{00000000-0005-0000-0000-0000960F0000}"/>
    <cellStyle name="20% - Énfasis6 2 2 4 2" xfId="807" xr:uid="{00000000-0005-0000-0000-0000970F0000}"/>
    <cellStyle name="20% - Énfasis6 2 2 4 2 2" xfId="1753" xr:uid="{00000000-0005-0000-0000-0000980F0000}"/>
    <cellStyle name="20% - Énfasis6 2 2 4 2 2 2" xfId="3643" xr:uid="{00000000-0005-0000-0000-0000990F0000}"/>
    <cellStyle name="20% - Énfasis6 2 2 4 2 2 2 2" xfId="7422" xr:uid="{00000000-0005-0000-0000-00009A0F0000}"/>
    <cellStyle name="20% - Énfasis6 2 2 4 2 2 2 3" xfId="11198" xr:uid="{00000000-0005-0000-0000-00009B0F0000}"/>
    <cellStyle name="20% - Énfasis6 2 2 4 2 2 3" xfId="5534" xr:uid="{00000000-0005-0000-0000-00009C0F0000}"/>
    <cellStyle name="20% - Énfasis6 2 2 4 2 2 4" xfId="9310" xr:uid="{00000000-0005-0000-0000-00009D0F0000}"/>
    <cellStyle name="20% - Énfasis6 2 2 4 2 3" xfId="2699" xr:uid="{00000000-0005-0000-0000-00009E0F0000}"/>
    <cellStyle name="20% - Énfasis6 2 2 4 2 3 2" xfId="6478" xr:uid="{00000000-0005-0000-0000-00009F0F0000}"/>
    <cellStyle name="20% - Énfasis6 2 2 4 2 3 3" xfId="10254" xr:uid="{00000000-0005-0000-0000-0000A00F0000}"/>
    <cellStyle name="20% - Énfasis6 2 2 4 2 4" xfId="4590" xr:uid="{00000000-0005-0000-0000-0000A10F0000}"/>
    <cellStyle name="20% - Énfasis6 2 2 4 2 5" xfId="8366" xr:uid="{00000000-0005-0000-0000-0000A20F0000}"/>
    <cellStyle name="20% - Énfasis6 2 2 4 3" xfId="1281" xr:uid="{00000000-0005-0000-0000-0000A30F0000}"/>
    <cellStyle name="20% - Énfasis6 2 2 4 3 2" xfId="3171" xr:uid="{00000000-0005-0000-0000-0000A40F0000}"/>
    <cellStyle name="20% - Énfasis6 2 2 4 3 2 2" xfId="6950" xr:uid="{00000000-0005-0000-0000-0000A50F0000}"/>
    <cellStyle name="20% - Énfasis6 2 2 4 3 2 3" xfId="10726" xr:uid="{00000000-0005-0000-0000-0000A60F0000}"/>
    <cellStyle name="20% - Énfasis6 2 2 4 3 3" xfId="5062" xr:uid="{00000000-0005-0000-0000-0000A70F0000}"/>
    <cellStyle name="20% - Énfasis6 2 2 4 3 4" xfId="8838" xr:uid="{00000000-0005-0000-0000-0000A80F0000}"/>
    <cellStyle name="20% - Énfasis6 2 2 4 4" xfId="2227" xr:uid="{00000000-0005-0000-0000-0000A90F0000}"/>
    <cellStyle name="20% - Énfasis6 2 2 4 4 2" xfId="6006" xr:uid="{00000000-0005-0000-0000-0000AA0F0000}"/>
    <cellStyle name="20% - Énfasis6 2 2 4 4 3" xfId="9782" xr:uid="{00000000-0005-0000-0000-0000AB0F0000}"/>
    <cellStyle name="20% - Énfasis6 2 2 4 5" xfId="4118" xr:uid="{00000000-0005-0000-0000-0000AC0F0000}"/>
    <cellStyle name="20% - Énfasis6 2 2 4 6" xfId="7894" xr:uid="{00000000-0005-0000-0000-0000AD0F0000}"/>
    <cellStyle name="20% - Énfasis6 2 2 5" xfId="571" xr:uid="{00000000-0005-0000-0000-0000AE0F0000}"/>
    <cellStyle name="20% - Énfasis6 2 2 5 2" xfId="1517" xr:uid="{00000000-0005-0000-0000-0000AF0F0000}"/>
    <cellStyle name="20% - Énfasis6 2 2 5 2 2" xfId="3407" xr:uid="{00000000-0005-0000-0000-0000B00F0000}"/>
    <cellStyle name="20% - Énfasis6 2 2 5 2 2 2" xfId="7186" xr:uid="{00000000-0005-0000-0000-0000B10F0000}"/>
    <cellStyle name="20% - Énfasis6 2 2 5 2 2 3" xfId="10962" xr:uid="{00000000-0005-0000-0000-0000B20F0000}"/>
    <cellStyle name="20% - Énfasis6 2 2 5 2 3" xfId="5298" xr:uid="{00000000-0005-0000-0000-0000B30F0000}"/>
    <cellStyle name="20% - Énfasis6 2 2 5 2 4" xfId="9074" xr:uid="{00000000-0005-0000-0000-0000B40F0000}"/>
    <cellStyle name="20% - Énfasis6 2 2 5 3" xfId="2463" xr:uid="{00000000-0005-0000-0000-0000B50F0000}"/>
    <cellStyle name="20% - Énfasis6 2 2 5 3 2" xfId="6242" xr:uid="{00000000-0005-0000-0000-0000B60F0000}"/>
    <cellStyle name="20% - Énfasis6 2 2 5 3 3" xfId="10018" xr:uid="{00000000-0005-0000-0000-0000B70F0000}"/>
    <cellStyle name="20% - Énfasis6 2 2 5 4" xfId="4354" xr:uid="{00000000-0005-0000-0000-0000B80F0000}"/>
    <cellStyle name="20% - Énfasis6 2 2 5 5" xfId="8130" xr:uid="{00000000-0005-0000-0000-0000B90F0000}"/>
    <cellStyle name="20% - Énfasis6 2 2 6" xfId="1045" xr:uid="{00000000-0005-0000-0000-0000BA0F0000}"/>
    <cellStyle name="20% - Énfasis6 2 2 6 2" xfId="2935" xr:uid="{00000000-0005-0000-0000-0000BB0F0000}"/>
    <cellStyle name="20% - Énfasis6 2 2 6 2 2" xfId="6714" xr:uid="{00000000-0005-0000-0000-0000BC0F0000}"/>
    <cellStyle name="20% - Énfasis6 2 2 6 2 3" xfId="10490" xr:uid="{00000000-0005-0000-0000-0000BD0F0000}"/>
    <cellStyle name="20% - Énfasis6 2 2 6 3" xfId="4826" xr:uid="{00000000-0005-0000-0000-0000BE0F0000}"/>
    <cellStyle name="20% - Énfasis6 2 2 6 4" xfId="8602" xr:uid="{00000000-0005-0000-0000-0000BF0F0000}"/>
    <cellStyle name="20% - Énfasis6 2 2 7" xfId="1991" xr:uid="{00000000-0005-0000-0000-0000C00F0000}"/>
    <cellStyle name="20% - Énfasis6 2 2 7 2" xfId="5770" xr:uid="{00000000-0005-0000-0000-0000C10F0000}"/>
    <cellStyle name="20% - Énfasis6 2 2 7 3" xfId="9546" xr:uid="{00000000-0005-0000-0000-0000C20F0000}"/>
    <cellStyle name="20% - Énfasis6 2 2 8" xfId="3882" xr:uid="{00000000-0005-0000-0000-0000C30F0000}"/>
    <cellStyle name="20% - Énfasis6 2 2 9" xfId="7658" xr:uid="{00000000-0005-0000-0000-0000C40F0000}"/>
    <cellStyle name="20% - Énfasis6 2 3" xfId="120" xr:uid="{00000000-0005-0000-0000-0000C50F0000}"/>
    <cellStyle name="20% - Énfasis6 2 3 2" xfId="243" xr:uid="{00000000-0005-0000-0000-0000C60F0000}"/>
    <cellStyle name="20% - Énfasis6 2 3 2 2" xfId="481" xr:uid="{00000000-0005-0000-0000-0000C70F0000}"/>
    <cellStyle name="20% - Énfasis6 2 3 2 2 2" xfId="955" xr:uid="{00000000-0005-0000-0000-0000C80F0000}"/>
    <cellStyle name="20% - Énfasis6 2 3 2 2 2 2" xfId="1901" xr:uid="{00000000-0005-0000-0000-0000C90F0000}"/>
    <cellStyle name="20% - Énfasis6 2 3 2 2 2 2 2" xfId="3791" xr:uid="{00000000-0005-0000-0000-0000CA0F0000}"/>
    <cellStyle name="20% - Énfasis6 2 3 2 2 2 2 2 2" xfId="7570" xr:uid="{00000000-0005-0000-0000-0000CB0F0000}"/>
    <cellStyle name="20% - Énfasis6 2 3 2 2 2 2 2 3" xfId="11346" xr:uid="{00000000-0005-0000-0000-0000CC0F0000}"/>
    <cellStyle name="20% - Énfasis6 2 3 2 2 2 2 3" xfId="5682" xr:uid="{00000000-0005-0000-0000-0000CD0F0000}"/>
    <cellStyle name="20% - Énfasis6 2 3 2 2 2 2 4" xfId="9458" xr:uid="{00000000-0005-0000-0000-0000CE0F0000}"/>
    <cellStyle name="20% - Énfasis6 2 3 2 2 2 3" xfId="2847" xr:uid="{00000000-0005-0000-0000-0000CF0F0000}"/>
    <cellStyle name="20% - Énfasis6 2 3 2 2 2 3 2" xfId="6626" xr:uid="{00000000-0005-0000-0000-0000D00F0000}"/>
    <cellStyle name="20% - Énfasis6 2 3 2 2 2 3 3" xfId="10402" xr:uid="{00000000-0005-0000-0000-0000D10F0000}"/>
    <cellStyle name="20% - Énfasis6 2 3 2 2 2 4" xfId="4738" xr:uid="{00000000-0005-0000-0000-0000D20F0000}"/>
    <cellStyle name="20% - Énfasis6 2 3 2 2 2 5" xfId="8514" xr:uid="{00000000-0005-0000-0000-0000D30F0000}"/>
    <cellStyle name="20% - Énfasis6 2 3 2 2 3" xfId="1429" xr:uid="{00000000-0005-0000-0000-0000D40F0000}"/>
    <cellStyle name="20% - Énfasis6 2 3 2 2 3 2" xfId="3319" xr:uid="{00000000-0005-0000-0000-0000D50F0000}"/>
    <cellStyle name="20% - Énfasis6 2 3 2 2 3 2 2" xfId="7098" xr:uid="{00000000-0005-0000-0000-0000D60F0000}"/>
    <cellStyle name="20% - Énfasis6 2 3 2 2 3 2 3" xfId="10874" xr:uid="{00000000-0005-0000-0000-0000D70F0000}"/>
    <cellStyle name="20% - Énfasis6 2 3 2 2 3 3" xfId="5210" xr:uid="{00000000-0005-0000-0000-0000D80F0000}"/>
    <cellStyle name="20% - Énfasis6 2 3 2 2 3 4" xfId="8986" xr:uid="{00000000-0005-0000-0000-0000D90F0000}"/>
    <cellStyle name="20% - Énfasis6 2 3 2 2 4" xfId="2375" xr:uid="{00000000-0005-0000-0000-0000DA0F0000}"/>
    <cellStyle name="20% - Énfasis6 2 3 2 2 4 2" xfId="6154" xr:uid="{00000000-0005-0000-0000-0000DB0F0000}"/>
    <cellStyle name="20% - Énfasis6 2 3 2 2 4 3" xfId="9930" xr:uid="{00000000-0005-0000-0000-0000DC0F0000}"/>
    <cellStyle name="20% - Énfasis6 2 3 2 2 5" xfId="4266" xr:uid="{00000000-0005-0000-0000-0000DD0F0000}"/>
    <cellStyle name="20% - Énfasis6 2 3 2 2 6" xfId="8042" xr:uid="{00000000-0005-0000-0000-0000DE0F0000}"/>
    <cellStyle name="20% - Énfasis6 2 3 2 3" xfId="719" xr:uid="{00000000-0005-0000-0000-0000DF0F0000}"/>
    <cellStyle name="20% - Énfasis6 2 3 2 3 2" xfId="1665" xr:uid="{00000000-0005-0000-0000-0000E00F0000}"/>
    <cellStyle name="20% - Énfasis6 2 3 2 3 2 2" xfId="3555" xr:uid="{00000000-0005-0000-0000-0000E10F0000}"/>
    <cellStyle name="20% - Énfasis6 2 3 2 3 2 2 2" xfId="7334" xr:uid="{00000000-0005-0000-0000-0000E20F0000}"/>
    <cellStyle name="20% - Énfasis6 2 3 2 3 2 2 3" xfId="11110" xr:uid="{00000000-0005-0000-0000-0000E30F0000}"/>
    <cellStyle name="20% - Énfasis6 2 3 2 3 2 3" xfId="5446" xr:uid="{00000000-0005-0000-0000-0000E40F0000}"/>
    <cellStyle name="20% - Énfasis6 2 3 2 3 2 4" xfId="9222" xr:uid="{00000000-0005-0000-0000-0000E50F0000}"/>
    <cellStyle name="20% - Énfasis6 2 3 2 3 3" xfId="2611" xr:uid="{00000000-0005-0000-0000-0000E60F0000}"/>
    <cellStyle name="20% - Énfasis6 2 3 2 3 3 2" xfId="6390" xr:uid="{00000000-0005-0000-0000-0000E70F0000}"/>
    <cellStyle name="20% - Énfasis6 2 3 2 3 3 3" xfId="10166" xr:uid="{00000000-0005-0000-0000-0000E80F0000}"/>
    <cellStyle name="20% - Énfasis6 2 3 2 3 4" xfId="4502" xr:uid="{00000000-0005-0000-0000-0000E90F0000}"/>
    <cellStyle name="20% - Énfasis6 2 3 2 3 5" xfId="8278" xr:uid="{00000000-0005-0000-0000-0000EA0F0000}"/>
    <cellStyle name="20% - Énfasis6 2 3 2 4" xfId="1193" xr:uid="{00000000-0005-0000-0000-0000EB0F0000}"/>
    <cellStyle name="20% - Énfasis6 2 3 2 4 2" xfId="3083" xr:uid="{00000000-0005-0000-0000-0000EC0F0000}"/>
    <cellStyle name="20% - Énfasis6 2 3 2 4 2 2" xfId="6862" xr:uid="{00000000-0005-0000-0000-0000ED0F0000}"/>
    <cellStyle name="20% - Énfasis6 2 3 2 4 2 3" xfId="10638" xr:uid="{00000000-0005-0000-0000-0000EE0F0000}"/>
    <cellStyle name="20% - Énfasis6 2 3 2 4 3" xfId="4974" xr:uid="{00000000-0005-0000-0000-0000EF0F0000}"/>
    <cellStyle name="20% - Énfasis6 2 3 2 4 4" xfId="8750" xr:uid="{00000000-0005-0000-0000-0000F00F0000}"/>
    <cellStyle name="20% - Énfasis6 2 3 2 5" xfId="2139" xr:uid="{00000000-0005-0000-0000-0000F10F0000}"/>
    <cellStyle name="20% - Énfasis6 2 3 2 5 2" xfId="5918" xr:uid="{00000000-0005-0000-0000-0000F20F0000}"/>
    <cellStyle name="20% - Énfasis6 2 3 2 5 3" xfId="9694" xr:uid="{00000000-0005-0000-0000-0000F30F0000}"/>
    <cellStyle name="20% - Énfasis6 2 3 2 6" xfId="4030" xr:uid="{00000000-0005-0000-0000-0000F40F0000}"/>
    <cellStyle name="20% - Énfasis6 2 3 2 7" xfId="7806" xr:uid="{00000000-0005-0000-0000-0000F50F0000}"/>
    <cellStyle name="20% - Énfasis6 2 3 3" xfId="363" xr:uid="{00000000-0005-0000-0000-0000F60F0000}"/>
    <cellStyle name="20% - Énfasis6 2 3 3 2" xfId="837" xr:uid="{00000000-0005-0000-0000-0000F70F0000}"/>
    <cellStyle name="20% - Énfasis6 2 3 3 2 2" xfId="1783" xr:uid="{00000000-0005-0000-0000-0000F80F0000}"/>
    <cellStyle name="20% - Énfasis6 2 3 3 2 2 2" xfId="3673" xr:uid="{00000000-0005-0000-0000-0000F90F0000}"/>
    <cellStyle name="20% - Énfasis6 2 3 3 2 2 2 2" xfId="7452" xr:uid="{00000000-0005-0000-0000-0000FA0F0000}"/>
    <cellStyle name="20% - Énfasis6 2 3 3 2 2 2 3" xfId="11228" xr:uid="{00000000-0005-0000-0000-0000FB0F0000}"/>
    <cellStyle name="20% - Énfasis6 2 3 3 2 2 3" xfId="5564" xr:uid="{00000000-0005-0000-0000-0000FC0F0000}"/>
    <cellStyle name="20% - Énfasis6 2 3 3 2 2 4" xfId="9340" xr:uid="{00000000-0005-0000-0000-0000FD0F0000}"/>
    <cellStyle name="20% - Énfasis6 2 3 3 2 3" xfId="2729" xr:uid="{00000000-0005-0000-0000-0000FE0F0000}"/>
    <cellStyle name="20% - Énfasis6 2 3 3 2 3 2" xfId="6508" xr:uid="{00000000-0005-0000-0000-0000FF0F0000}"/>
    <cellStyle name="20% - Énfasis6 2 3 3 2 3 3" xfId="10284" xr:uid="{00000000-0005-0000-0000-000000100000}"/>
    <cellStyle name="20% - Énfasis6 2 3 3 2 4" xfId="4620" xr:uid="{00000000-0005-0000-0000-000001100000}"/>
    <cellStyle name="20% - Énfasis6 2 3 3 2 5" xfId="8396" xr:uid="{00000000-0005-0000-0000-000002100000}"/>
    <cellStyle name="20% - Énfasis6 2 3 3 3" xfId="1311" xr:uid="{00000000-0005-0000-0000-000003100000}"/>
    <cellStyle name="20% - Énfasis6 2 3 3 3 2" xfId="3201" xr:uid="{00000000-0005-0000-0000-000004100000}"/>
    <cellStyle name="20% - Énfasis6 2 3 3 3 2 2" xfId="6980" xr:uid="{00000000-0005-0000-0000-000005100000}"/>
    <cellStyle name="20% - Énfasis6 2 3 3 3 2 3" xfId="10756" xr:uid="{00000000-0005-0000-0000-000006100000}"/>
    <cellStyle name="20% - Énfasis6 2 3 3 3 3" xfId="5092" xr:uid="{00000000-0005-0000-0000-000007100000}"/>
    <cellStyle name="20% - Énfasis6 2 3 3 3 4" xfId="8868" xr:uid="{00000000-0005-0000-0000-000008100000}"/>
    <cellStyle name="20% - Énfasis6 2 3 3 4" xfId="2257" xr:uid="{00000000-0005-0000-0000-000009100000}"/>
    <cellStyle name="20% - Énfasis6 2 3 3 4 2" xfId="6036" xr:uid="{00000000-0005-0000-0000-00000A100000}"/>
    <cellStyle name="20% - Énfasis6 2 3 3 4 3" xfId="9812" xr:uid="{00000000-0005-0000-0000-00000B100000}"/>
    <cellStyle name="20% - Énfasis6 2 3 3 5" xfId="4148" xr:uid="{00000000-0005-0000-0000-00000C100000}"/>
    <cellStyle name="20% - Énfasis6 2 3 3 6" xfId="7924" xr:uid="{00000000-0005-0000-0000-00000D100000}"/>
    <cellStyle name="20% - Énfasis6 2 3 4" xfId="601" xr:uid="{00000000-0005-0000-0000-00000E100000}"/>
    <cellStyle name="20% - Énfasis6 2 3 4 2" xfId="1547" xr:uid="{00000000-0005-0000-0000-00000F100000}"/>
    <cellStyle name="20% - Énfasis6 2 3 4 2 2" xfId="3437" xr:uid="{00000000-0005-0000-0000-000010100000}"/>
    <cellStyle name="20% - Énfasis6 2 3 4 2 2 2" xfId="7216" xr:uid="{00000000-0005-0000-0000-000011100000}"/>
    <cellStyle name="20% - Énfasis6 2 3 4 2 2 3" xfId="10992" xr:uid="{00000000-0005-0000-0000-000012100000}"/>
    <cellStyle name="20% - Énfasis6 2 3 4 2 3" xfId="5328" xr:uid="{00000000-0005-0000-0000-000013100000}"/>
    <cellStyle name="20% - Énfasis6 2 3 4 2 4" xfId="9104" xr:uid="{00000000-0005-0000-0000-000014100000}"/>
    <cellStyle name="20% - Énfasis6 2 3 4 3" xfId="2493" xr:uid="{00000000-0005-0000-0000-000015100000}"/>
    <cellStyle name="20% - Énfasis6 2 3 4 3 2" xfId="6272" xr:uid="{00000000-0005-0000-0000-000016100000}"/>
    <cellStyle name="20% - Énfasis6 2 3 4 3 3" xfId="10048" xr:uid="{00000000-0005-0000-0000-000017100000}"/>
    <cellStyle name="20% - Énfasis6 2 3 4 4" xfId="4384" xr:uid="{00000000-0005-0000-0000-000018100000}"/>
    <cellStyle name="20% - Énfasis6 2 3 4 5" xfId="8160" xr:uid="{00000000-0005-0000-0000-000019100000}"/>
    <cellStyle name="20% - Énfasis6 2 3 5" xfId="1075" xr:uid="{00000000-0005-0000-0000-00001A100000}"/>
    <cellStyle name="20% - Énfasis6 2 3 5 2" xfId="2965" xr:uid="{00000000-0005-0000-0000-00001B100000}"/>
    <cellStyle name="20% - Énfasis6 2 3 5 2 2" xfId="6744" xr:uid="{00000000-0005-0000-0000-00001C100000}"/>
    <cellStyle name="20% - Énfasis6 2 3 5 2 3" xfId="10520" xr:uid="{00000000-0005-0000-0000-00001D100000}"/>
    <cellStyle name="20% - Énfasis6 2 3 5 3" xfId="4856" xr:uid="{00000000-0005-0000-0000-00001E100000}"/>
    <cellStyle name="20% - Énfasis6 2 3 5 4" xfId="8632" xr:uid="{00000000-0005-0000-0000-00001F100000}"/>
    <cellStyle name="20% - Énfasis6 2 3 6" xfId="2021" xr:uid="{00000000-0005-0000-0000-000020100000}"/>
    <cellStyle name="20% - Énfasis6 2 3 6 2" xfId="5800" xr:uid="{00000000-0005-0000-0000-000021100000}"/>
    <cellStyle name="20% - Énfasis6 2 3 6 3" xfId="9576" xr:uid="{00000000-0005-0000-0000-000022100000}"/>
    <cellStyle name="20% - Énfasis6 2 3 7" xfId="3912" xr:uid="{00000000-0005-0000-0000-000023100000}"/>
    <cellStyle name="20% - Énfasis6 2 3 8" xfId="7688" xr:uid="{00000000-0005-0000-0000-000024100000}"/>
    <cellStyle name="20% - Énfasis6 2 4" xfId="184" xr:uid="{00000000-0005-0000-0000-000025100000}"/>
    <cellStyle name="20% - Énfasis6 2 4 2" xfId="422" xr:uid="{00000000-0005-0000-0000-000026100000}"/>
    <cellStyle name="20% - Énfasis6 2 4 2 2" xfId="896" xr:uid="{00000000-0005-0000-0000-000027100000}"/>
    <cellStyle name="20% - Énfasis6 2 4 2 2 2" xfId="1842" xr:uid="{00000000-0005-0000-0000-000028100000}"/>
    <cellStyle name="20% - Énfasis6 2 4 2 2 2 2" xfId="3732" xr:uid="{00000000-0005-0000-0000-000029100000}"/>
    <cellStyle name="20% - Énfasis6 2 4 2 2 2 2 2" xfId="7511" xr:uid="{00000000-0005-0000-0000-00002A100000}"/>
    <cellStyle name="20% - Énfasis6 2 4 2 2 2 2 3" xfId="11287" xr:uid="{00000000-0005-0000-0000-00002B100000}"/>
    <cellStyle name="20% - Énfasis6 2 4 2 2 2 3" xfId="5623" xr:uid="{00000000-0005-0000-0000-00002C100000}"/>
    <cellStyle name="20% - Énfasis6 2 4 2 2 2 4" xfId="9399" xr:uid="{00000000-0005-0000-0000-00002D100000}"/>
    <cellStyle name="20% - Énfasis6 2 4 2 2 3" xfId="2788" xr:uid="{00000000-0005-0000-0000-00002E100000}"/>
    <cellStyle name="20% - Énfasis6 2 4 2 2 3 2" xfId="6567" xr:uid="{00000000-0005-0000-0000-00002F100000}"/>
    <cellStyle name="20% - Énfasis6 2 4 2 2 3 3" xfId="10343" xr:uid="{00000000-0005-0000-0000-000030100000}"/>
    <cellStyle name="20% - Énfasis6 2 4 2 2 4" xfId="4679" xr:uid="{00000000-0005-0000-0000-000031100000}"/>
    <cellStyle name="20% - Énfasis6 2 4 2 2 5" xfId="8455" xr:uid="{00000000-0005-0000-0000-000032100000}"/>
    <cellStyle name="20% - Énfasis6 2 4 2 3" xfId="1370" xr:uid="{00000000-0005-0000-0000-000033100000}"/>
    <cellStyle name="20% - Énfasis6 2 4 2 3 2" xfId="3260" xr:uid="{00000000-0005-0000-0000-000034100000}"/>
    <cellStyle name="20% - Énfasis6 2 4 2 3 2 2" xfId="7039" xr:uid="{00000000-0005-0000-0000-000035100000}"/>
    <cellStyle name="20% - Énfasis6 2 4 2 3 2 3" xfId="10815" xr:uid="{00000000-0005-0000-0000-000036100000}"/>
    <cellStyle name="20% - Énfasis6 2 4 2 3 3" xfId="5151" xr:uid="{00000000-0005-0000-0000-000037100000}"/>
    <cellStyle name="20% - Énfasis6 2 4 2 3 4" xfId="8927" xr:uid="{00000000-0005-0000-0000-000038100000}"/>
    <cellStyle name="20% - Énfasis6 2 4 2 4" xfId="2316" xr:uid="{00000000-0005-0000-0000-000039100000}"/>
    <cellStyle name="20% - Énfasis6 2 4 2 4 2" xfId="6095" xr:uid="{00000000-0005-0000-0000-00003A100000}"/>
    <cellStyle name="20% - Énfasis6 2 4 2 4 3" xfId="9871" xr:uid="{00000000-0005-0000-0000-00003B100000}"/>
    <cellStyle name="20% - Énfasis6 2 4 2 5" xfId="4207" xr:uid="{00000000-0005-0000-0000-00003C100000}"/>
    <cellStyle name="20% - Énfasis6 2 4 2 6" xfId="7983" xr:uid="{00000000-0005-0000-0000-00003D100000}"/>
    <cellStyle name="20% - Énfasis6 2 4 3" xfId="660" xr:uid="{00000000-0005-0000-0000-00003E100000}"/>
    <cellStyle name="20% - Énfasis6 2 4 3 2" xfId="1606" xr:uid="{00000000-0005-0000-0000-00003F100000}"/>
    <cellStyle name="20% - Énfasis6 2 4 3 2 2" xfId="3496" xr:uid="{00000000-0005-0000-0000-000040100000}"/>
    <cellStyle name="20% - Énfasis6 2 4 3 2 2 2" xfId="7275" xr:uid="{00000000-0005-0000-0000-000041100000}"/>
    <cellStyle name="20% - Énfasis6 2 4 3 2 2 3" xfId="11051" xr:uid="{00000000-0005-0000-0000-000042100000}"/>
    <cellStyle name="20% - Énfasis6 2 4 3 2 3" xfId="5387" xr:uid="{00000000-0005-0000-0000-000043100000}"/>
    <cellStyle name="20% - Énfasis6 2 4 3 2 4" xfId="9163" xr:uid="{00000000-0005-0000-0000-000044100000}"/>
    <cellStyle name="20% - Énfasis6 2 4 3 3" xfId="2552" xr:uid="{00000000-0005-0000-0000-000045100000}"/>
    <cellStyle name="20% - Énfasis6 2 4 3 3 2" xfId="6331" xr:uid="{00000000-0005-0000-0000-000046100000}"/>
    <cellStyle name="20% - Énfasis6 2 4 3 3 3" xfId="10107" xr:uid="{00000000-0005-0000-0000-000047100000}"/>
    <cellStyle name="20% - Énfasis6 2 4 3 4" xfId="4443" xr:uid="{00000000-0005-0000-0000-000048100000}"/>
    <cellStyle name="20% - Énfasis6 2 4 3 5" xfId="8219" xr:uid="{00000000-0005-0000-0000-000049100000}"/>
    <cellStyle name="20% - Énfasis6 2 4 4" xfId="1134" xr:uid="{00000000-0005-0000-0000-00004A100000}"/>
    <cellStyle name="20% - Énfasis6 2 4 4 2" xfId="3024" xr:uid="{00000000-0005-0000-0000-00004B100000}"/>
    <cellStyle name="20% - Énfasis6 2 4 4 2 2" xfId="6803" xr:uid="{00000000-0005-0000-0000-00004C100000}"/>
    <cellStyle name="20% - Énfasis6 2 4 4 2 3" xfId="10579" xr:uid="{00000000-0005-0000-0000-00004D100000}"/>
    <cellStyle name="20% - Énfasis6 2 4 4 3" xfId="4915" xr:uid="{00000000-0005-0000-0000-00004E100000}"/>
    <cellStyle name="20% - Énfasis6 2 4 4 4" xfId="8691" xr:uid="{00000000-0005-0000-0000-00004F100000}"/>
    <cellStyle name="20% - Énfasis6 2 4 5" xfId="2080" xr:uid="{00000000-0005-0000-0000-000050100000}"/>
    <cellStyle name="20% - Énfasis6 2 4 5 2" xfId="5859" xr:uid="{00000000-0005-0000-0000-000051100000}"/>
    <cellStyle name="20% - Énfasis6 2 4 5 3" xfId="9635" xr:uid="{00000000-0005-0000-0000-000052100000}"/>
    <cellStyle name="20% - Énfasis6 2 4 6" xfId="3971" xr:uid="{00000000-0005-0000-0000-000053100000}"/>
    <cellStyle name="20% - Énfasis6 2 4 7" xfId="7747" xr:uid="{00000000-0005-0000-0000-000054100000}"/>
    <cellStyle name="20% - Énfasis6 2 5" xfId="304" xr:uid="{00000000-0005-0000-0000-000055100000}"/>
    <cellStyle name="20% - Énfasis6 2 5 2" xfId="778" xr:uid="{00000000-0005-0000-0000-000056100000}"/>
    <cellStyle name="20% - Énfasis6 2 5 2 2" xfId="1724" xr:uid="{00000000-0005-0000-0000-000057100000}"/>
    <cellStyle name="20% - Énfasis6 2 5 2 2 2" xfId="3614" xr:uid="{00000000-0005-0000-0000-000058100000}"/>
    <cellStyle name="20% - Énfasis6 2 5 2 2 2 2" xfId="7393" xr:uid="{00000000-0005-0000-0000-000059100000}"/>
    <cellStyle name="20% - Énfasis6 2 5 2 2 2 3" xfId="11169" xr:uid="{00000000-0005-0000-0000-00005A100000}"/>
    <cellStyle name="20% - Énfasis6 2 5 2 2 3" xfId="5505" xr:uid="{00000000-0005-0000-0000-00005B100000}"/>
    <cellStyle name="20% - Énfasis6 2 5 2 2 4" xfId="9281" xr:uid="{00000000-0005-0000-0000-00005C100000}"/>
    <cellStyle name="20% - Énfasis6 2 5 2 3" xfId="2670" xr:uid="{00000000-0005-0000-0000-00005D100000}"/>
    <cellStyle name="20% - Énfasis6 2 5 2 3 2" xfId="6449" xr:uid="{00000000-0005-0000-0000-00005E100000}"/>
    <cellStyle name="20% - Énfasis6 2 5 2 3 3" xfId="10225" xr:uid="{00000000-0005-0000-0000-00005F100000}"/>
    <cellStyle name="20% - Énfasis6 2 5 2 4" xfId="4561" xr:uid="{00000000-0005-0000-0000-000060100000}"/>
    <cellStyle name="20% - Énfasis6 2 5 2 5" xfId="8337" xr:uid="{00000000-0005-0000-0000-000061100000}"/>
    <cellStyle name="20% - Énfasis6 2 5 3" xfId="1252" xr:uid="{00000000-0005-0000-0000-000062100000}"/>
    <cellStyle name="20% - Énfasis6 2 5 3 2" xfId="3142" xr:uid="{00000000-0005-0000-0000-000063100000}"/>
    <cellStyle name="20% - Énfasis6 2 5 3 2 2" xfId="6921" xr:uid="{00000000-0005-0000-0000-000064100000}"/>
    <cellStyle name="20% - Énfasis6 2 5 3 2 3" xfId="10697" xr:uid="{00000000-0005-0000-0000-000065100000}"/>
    <cellStyle name="20% - Énfasis6 2 5 3 3" xfId="5033" xr:uid="{00000000-0005-0000-0000-000066100000}"/>
    <cellStyle name="20% - Énfasis6 2 5 3 4" xfId="8809" xr:uid="{00000000-0005-0000-0000-000067100000}"/>
    <cellStyle name="20% - Énfasis6 2 5 4" xfId="2198" xr:uid="{00000000-0005-0000-0000-000068100000}"/>
    <cellStyle name="20% - Énfasis6 2 5 4 2" xfId="5977" xr:uid="{00000000-0005-0000-0000-000069100000}"/>
    <cellStyle name="20% - Énfasis6 2 5 4 3" xfId="9753" xr:uid="{00000000-0005-0000-0000-00006A100000}"/>
    <cellStyle name="20% - Énfasis6 2 5 5" xfId="4089" xr:uid="{00000000-0005-0000-0000-00006B100000}"/>
    <cellStyle name="20% - Énfasis6 2 5 6" xfId="7865" xr:uid="{00000000-0005-0000-0000-00006C100000}"/>
    <cellStyle name="20% - Énfasis6 2 6" xfId="542" xr:uid="{00000000-0005-0000-0000-00006D100000}"/>
    <cellStyle name="20% - Énfasis6 2 6 2" xfId="1488" xr:uid="{00000000-0005-0000-0000-00006E100000}"/>
    <cellStyle name="20% - Énfasis6 2 6 2 2" xfId="3378" xr:uid="{00000000-0005-0000-0000-00006F100000}"/>
    <cellStyle name="20% - Énfasis6 2 6 2 2 2" xfId="7157" xr:uid="{00000000-0005-0000-0000-000070100000}"/>
    <cellStyle name="20% - Énfasis6 2 6 2 2 3" xfId="10933" xr:uid="{00000000-0005-0000-0000-000071100000}"/>
    <cellStyle name="20% - Énfasis6 2 6 2 3" xfId="5269" xr:uid="{00000000-0005-0000-0000-000072100000}"/>
    <cellStyle name="20% - Énfasis6 2 6 2 4" xfId="9045" xr:uid="{00000000-0005-0000-0000-000073100000}"/>
    <cellStyle name="20% - Énfasis6 2 6 3" xfId="2434" xr:uid="{00000000-0005-0000-0000-000074100000}"/>
    <cellStyle name="20% - Énfasis6 2 6 3 2" xfId="6213" xr:uid="{00000000-0005-0000-0000-000075100000}"/>
    <cellStyle name="20% - Énfasis6 2 6 3 3" xfId="9989" xr:uid="{00000000-0005-0000-0000-000076100000}"/>
    <cellStyle name="20% - Énfasis6 2 6 4" xfId="4325" xr:uid="{00000000-0005-0000-0000-000077100000}"/>
    <cellStyle name="20% - Énfasis6 2 6 5" xfId="8101" xr:uid="{00000000-0005-0000-0000-000078100000}"/>
    <cellStyle name="20% - Énfasis6 2 7" xfId="1016" xr:uid="{00000000-0005-0000-0000-000079100000}"/>
    <cellStyle name="20% - Énfasis6 2 7 2" xfId="2906" xr:uid="{00000000-0005-0000-0000-00007A100000}"/>
    <cellStyle name="20% - Énfasis6 2 7 2 2" xfId="6685" xr:uid="{00000000-0005-0000-0000-00007B100000}"/>
    <cellStyle name="20% - Énfasis6 2 7 2 3" xfId="10461" xr:uid="{00000000-0005-0000-0000-00007C100000}"/>
    <cellStyle name="20% - Énfasis6 2 7 3" xfId="4797" xr:uid="{00000000-0005-0000-0000-00007D100000}"/>
    <cellStyle name="20% - Énfasis6 2 7 4" xfId="8573" xr:uid="{00000000-0005-0000-0000-00007E100000}"/>
    <cellStyle name="20% - Énfasis6 2 8" xfId="1962" xr:uid="{00000000-0005-0000-0000-00007F100000}"/>
    <cellStyle name="20% - Énfasis6 2 8 2" xfId="5741" xr:uid="{00000000-0005-0000-0000-000080100000}"/>
    <cellStyle name="20% - Énfasis6 2 8 3" xfId="9517" xr:uid="{00000000-0005-0000-0000-000081100000}"/>
    <cellStyle name="20% - Énfasis6 2 9" xfId="3853" xr:uid="{00000000-0005-0000-0000-000082100000}"/>
    <cellStyle name="20% - Énfasis6 3" xfId="69" xr:uid="{00000000-0005-0000-0000-000083100000}"/>
    <cellStyle name="20% - Énfasis6 3 2" xfId="133" xr:uid="{00000000-0005-0000-0000-000084100000}"/>
    <cellStyle name="20% - Énfasis6 3 2 2" xfId="256" xr:uid="{00000000-0005-0000-0000-000085100000}"/>
    <cellStyle name="20% - Énfasis6 3 2 2 2" xfId="494" xr:uid="{00000000-0005-0000-0000-000086100000}"/>
    <cellStyle name="20% - Énfasis6 3 2 2 2 2" xfId="968" xr:uid="{00000000-0005-0000-0000-000087100000}"/>
    <cellStyle name="20% - Énfasis6 3 2 2 2 2 2" xfId="1914" xr:uid="{00000000-0005-0000-0000-000088100000}"/>
    <cellStyle name="20% - Énfasis6 3 2 2 2 2 2 2" xfId="3804" xr:uid="{00000000-0005-0000-0000-000089100000}"/>
    <cellStyle name="20% - Énfasis6 3 2 2 2 2 2 2 2" xfId="7583" xr:uid="{00000000-0005-0000-0000-00008A100000}"/>
    <cellStyle name="20% - Énfasis6 3 2 2 2 2 2 2 3" xfId="11359" xr:uid="{00000000-0005-0000-0000-00008B100000}"/>
    <cellStyle name="20% - Énfasis6 3 2 2 2 2 2 3" xfId="5695" xr:uid="{00000000-0005-0000-0000-00008C100000}"/>
    <cellStyle name="20% - Énfasis6 3 2 2 2 2 2 4" xfId="9471" xr:uid="{00000000-0005-0000-0000-00008D100000}"/>
    <cellStyle name="20% - Énfasis6 3 2 2 2 2 3" xfId="2860" xr:uid="{00000000-0005-0000-0000-00008E100000}"/>
    <cellStyle name="20% - Énfasis6 3 2 2 2 2 3 2" xfId="6639" xr:uid="{00000000-0005-0000-0000-00008F100000}"/>
    <cellStyle name="20% - Énfasis6 3 2 2 2 2 3 3" xfId="10415" xr:uid="{00000000-0005-0000-0000-000090100000}"/>
    <cellStyle name="20% - Énfasis6 3 2 2 2 2 4" xfId="4751" xr:uid="{00000000-0005-0000-0000-000091100000}"/>
    <cellStyle name="20% - Énfasis6 3 2 2 2 2 5" xfId="8527" xr:uid="{00000000-0005-0000-0000-000092100000}"/>
    <cellStyle name="20% - Énfasis6 3 2 2 2 3" xfId="1442" xr:uid="{00000000-0005-0000-0000-000093100000}"/>
    <cellStyle name="20% - Énfasis6 3 2 2 2 3 2" xfId="3332" xr:uid="{00000000-0005-0000-0000-000094100000}"/>
    <cellStyle name="20% - Énfasis6 3 2 2 2 3 2 2" xfId="7111" xr:uid="{00000000-0005-0000-0000-000095100000}"/>
    <cellStyle name="20% - Énfasis6 3 2 2 2 3 2 3" xfId="10887" xr:uid="{00000000-0005-0000-0000-000096100000}"/>
    <cellStyle name="20% - Énfasis6 3 2 2 2 3 3" xfId="5223" xr:uid="{00000000-0005-0000-0000-000097100000}"/>
    <cellStyle name="20% - Énfasis6 3 2 2 2 3 4" xfId="8999" xr:uid="{00000000-0005-0000-0000-000098100000}"/>
    <cellStyle name="20% - Énfasis6 3 2 2 2 4" xfId="2388" xr:uid="{00000000-0005-0000-0000-000099100000}"/>
    <cellStyle name="20% - Énfasis6 3 2 2 2 4 2" xfId="6167" xr:uid="{00000000-0005-0000-0000-00009A100000}"/>
    <cellStyle name="20% - Énfasis6 3 2 2 2 4 3" xfId="9943" xr:uid="{00000000-0005-0000-0000-00009B100000}"/>
    <cellStyle name="20% - Énfasis6 3 2 2 2 5" xfId="4279" xr:uid="{00000000-0005-0000-0000-00009C100000}"/>
    <cellStyle name="20% - Énfasis6 3 2 2 2 6" xfId="8055" xr:uid="{00000000-0005-0000-0000-00009D100000}"/>
    <cellStyle name="20% - Énfasis6 3 2 2 3" xfId="732" xr:uid="{00000000-0005-0000-0000-00009E100000}"/>
    <cellStyle name="20% - Énfasis6 3 2 2 3 2" xfId="1678" xr:uid="{00000000-0005-0000-0000-00009F100000}"/>
    <cellStyle name="20% - Énfasis6 3 2 2 3 2 2" xfId="3568" xr:uid="{00000000-0005-0000-0000-0000A0100000}"/>
    <cellStyle name="20% - Énfasis6 3 2 2 3 2 2 2" xfId="7347" xr:uid="{00000000-0005-0000-0000-0000A1100000}"/>
    <cellStyle name="20% - Énfasis6 3 2 2 3 2 2 3" xfId="11123" xr:uid="{00000000-0005-0000-0000-0000A2100000}"/>
    <cellStyle name="20% - Énfasis6 3 2 2 3 2 3" xfId="5459" xr:uid="{00000000-0005-0000-0000-0000A3100000}"/>
    <cellStyle name="20% - Énfasis6 3 2 2 3 2 4" xfId="9235" xr:uid="{00000000-0005-0000-0000-0000A4100000}"/>
    <cellStyle name="20% - Énfasis6 3 2 2 3 3" xfId="2624" xr:uid="{00000000-0005-0000-0000-0000A5100000}"/>
    <cellStyle name="20% - Énfasis6 3 2 2 3 3 2" xfId="6403" xr:uid="{00000000-0005-0000-0000-0000A6100000}"/>
    <cellStyle name="20% - Énfasis6 3 2 2 3 3 3" xfId="10179" xr:uid="{00000000-0005-0000-0000-0000A7100000}"/>
    <cellStyle name="20% - Énfasis6 3 2 2 3 4" xfId="4515" xr:uid="{00000000-0005-0000-0000-0000A8100000}"/>
    <cellStyle name="20% - Énfasis6 3 2 2 3 5" xfId="8291" xr:uid="{00000000-0005-0000-0000-0000A9100000}"/>
    <cellStyle name="20% - Énfasis6 3 2 2 4" xfId="1206" xr:uid="{00000000-0005-0000-0000-0000AA100000}"/>
    <cellStyle name="20% - Énfasis6 3 2 2 4 2" xfId="3096" xr:uid="{00000000-0005-0000-0000-0000AB100000}"/>
    <cellStyle name="20% - Énfasis6 3 2 2 4 2 2" xfId="6875" xr:uid="{00000000-0005-0000-0000-0000AC100000}"/>
    <cellStyle name="20% - Énfasis6 3 2 2 4 2 3" xfId="10651" xr:uid="{00000000-0005-0000-0000-0000AD100000}"/>
    <cellStyle name="20% - Énfasis6 3 2 2 4 3" xfId="4987" xr:uid="{00000000-0005-0000-0000-0000AE100000}"/>
    <cellStyle name="20% - Énfasis6 3 2 2 4 4" xfId="8763" xr:uid="{00000000-0005-0000-0000-0000AF100000}"/>
    <cellStyle name="20% - Énfasis6 3 2 2 5" xfId="2152" xr:uid="{00000000-0005-0000-0000-0000B0100000}"/>
    <cellStyle name="20% - Énfasis6 3 2 2 5 2" xfId="5931" xr:uid="{00000000-0005-0000-0000-0000B1100000}"/>
    <cellStyle name="20% - Énfasis6 3 2 2 5 3" xfId="9707" xr:uid="{00000000-0005-0000-0000-0000B2100000}"/>
    <cellStyle name="20% - Énfasis6 3 2 2 6" xfId="4043" xr:uid="{00000000-0005-0000-0000-0000B3100000}"/>
    <cellStyle name="20% - Énfasis6 3 2 2 7" xfId="7819" xr:uid="{00000000-0005-0000-0000-0000B4100000}"/>
    <cellStyle name="20% - Énfasis6 3 2 3" xfId="376" xr:uid="{00000000-0005-0000-0000-0000B5100000}"/>
    <cellStyle name="20% - Énfasis6 3 2 3 2" xfId="850" xr:uid="{00000000-0005-0000-0000-0000B6100000}"/>
    <cellStyle name="20% - Énfasis6 3 2 3 2 2" xfId="1796" xr:uid="{00000000-0005-0000-0000-0000B7100000}"/>
    <cellStyle name="20% - Énfasis6 3 2 3 2 2 2" xfId="3686" xr:uid="{00000000-0005-0000-0000-0000B8100000}"/>
    <cellStyle name="20% - Énfasis6 3 2 3 2 2 2 2" xfId="7465" xr:uid="{00000000-0005-0000-0000-0000B9100000}"/>
    <cellStyle name="20% - Énfasis6 3 2 3 2 2 2 3" xfId="11241" xr:uid="{00000000-0005-0000-0000-0000BA100000}"/>
    <cellStyle name="20% - Énfasis6 3 2 3 2 2 3" xfId="5577" xr:uid="{00000000-0005-0000-0000-0000BB100000}"/>
    <cellStyle name="20% - Énfasis6 3 2 3 2 2 4" xfId="9353" xr:uid="{00000000-0005-0000-0000-0000BC100000}"/>
    <cellStyle name="20% - Énfasis6 3 2 3 2 3" xfId="2742" xr:uid="{00000000-0005-0000-0000-0000BD100000}"/>
    <cellStyle name="20% - Énfasis6 3 2 3 2 3 2" xfId="6521" xr:uid="{00000000-0005-0000-0000-0000BE100000}"/>
    <cellStyle name="20% - Énfasis6 3 2 3 2 3 3" xfId="10297" xr:uid="{00000000-0005-0000-0000-0000BF100000}"/>
    <cellStyle name="20% - Énfasis6 3 2 3 2 4" xfId="4633" xr:uid="{00000000-0005-0000-0000-0000C0100000}"/>
    <cellStyle name="20% - Énfasis6 3 2 3 2 5" xfId="8409" xr:uid="{00000000-0005-0000-0000-0000C1100000}"/>
    <cellStyle name="20% - Énfasis6 3 2 3 3" xfId="1324" xr:uid="{00000000-0005-0000-0000-0000C2100000}"/>
    <cellStyle name="20% - Énfasis6 3 2 3 3 2" xfId="3214" xr:uid="{00000000-0005-0000-0000-0000C3100000}"/>
    <cellStyle name="20% - Énfasis6 3 2 3 3 2 2" xfId="6993" xr:uid="{00000000-0005-0000-0000-0000C4100000}"/>
    <cellStyle name="20% - Énfasis6 3 2 3 3 2 3" xfId="10769" xr:uid="{00000000-0005-0000-0000-0000C5100000}"/>
    <cellStyle name="20% - Énfasis6 3 2 3 3 3" xfId="5105" xr:uid="{00000000-0005-0000-0000-0000C6100000}"/>
    <cellStyle name="20% - Énfasis6 3 2 3 3 4" xfId="8881" xr:uid="{00000000-0005-0000-0000-0000C7100000}"/>
    <cellStyle name="20% - Énfasis6 3 2 3 4" xfId="2270" xr:uid="{00000000-0005-0000-0000-0000C8100000}"/>
    <cellStyle name="20% - Énfasis6 3 2 3 4 2" xfId="6049" xr:uid="{00000000-0005-0000-0000-0000C9100000}"/>
    <cellStyle name="20% - Énfasis6 3 2 3 4 3" xfId="9825" xr:uid="{00000000-0005-0000-0000-0000CA100000}"/>
    <cellStyle name="20% - Énfasis6 3 2 3 5" xfId="4161" xr:uid="{00000000-0005-0000-0000-0000CB100000}"/>
    <cellStyle name="20% - Énfasis6 3 2 3 6" xfId="7937" xr:uid="{00000000-0005-0000-0000-0000CC100000}"/>
    <cellStyle name="20% - Énfasis6 3 2 4" xfId="614" xr:uid="{00000000-0005-0000-0000-0000CD100000}"/>
    <cellStyle name="20% - Énfasis6 3 2 4 2" xfId="1560" xr:uid="{00000000-0005-0000-0000-0000CE100000}"/>
    <cellStyle name="20% - Énfasis6 3 2 4 2 2" xfId="3450" xr:uid="{00000000-0005-0000-0000-0000CF100000}"/>
    <cellStyle name="20% - Énfasis6 3 2 4 2 2 2" xfId="7229" xr:uid="{00000000-0005-0000-0000-0000D0100000}"/>
    <cellStyle name="20% - Énfasis6 3 2 4 2 2 3" xfId="11005" xr:uid="{00000000-0005-0000-0000-0000D1100000}"/>
    <cellStyle name="20% - Énfasis6 3 2 4 2 3" xfId="5341" xr:uid="{00000000-0005-0000-0000-0000D2100000}"/>
    <cellStyle name="20% - Énfasis6 3 2 4 2 4" xfId="9117" xr:uid="{00000000-0005-0000-0000-0000D3100000}"/>
    <cellStyle name="20% - Énfasis6 3 2 4 3" xfId="2506" xr:uid="{00000000-0005-0000-0000-0000D4100000}"/>
    <cellStyle name="20% - Énfasis6 3 2 4 3 2" xfId="6285" xr:uid="{00000000-0005-0000-0000-0000D5100000}"/>
    <cellStyle name="20% - Énfasis6 3 2 4 3 3" xfId="10061" xr:uid="{00000000-0005-0000-0000-0000D6100000}"/>
    <cellStyle name="20% - Énfasis6 3 2 4 4" xfId="4397" xr:uid="{00000000-0005-0000-0000-0000D7100000}"/>
    <cellStyle name="20% - Énfasis6 3 2 4 5" xfId="8173" xr:uid="{00000000-0005-0000-0000-0000D8100000}"/>
    <cellStyle name="20% - Énfasis6 3 2 5" xfId="1088" xr:uid="{00000000-0005-0000-0000-0000D9100000}"/>
    <cellStyle name="20% - Énfasis6 3 2 5 2" xfId="2978" xr:uid="{00000000-0005-0000-0000-0000DA100000}"/>
    <cellStyle name="20% - Énfasis6 3 2 5 2 2" xfId="6757" xr:uid="{00000000-0005-0000-0000-0000DB100000}"/>
    <cellStyle name="20% - Énfasis6 3 2 5 2 3" xfId="10533" xr:uid="{00000000-0005-0000-0000-0000DC100000}"/>
    <cellStyle name="20% - Énfasis6 3 2 5 3" xfId="4869" xr:uid="{00000000-0005-0000-0000-0000DD100000}"/>
    <cellStyle name="20% - Énfasis6 3 2 5 4" xfId="8645" xr:uid="{00000000-0005-0000-0000-0000DE100000}"/>
    <cellStyle name="20% - Énfasis6 3 2 6" xfId="2034" xr:uid="{00000000-0005-0000-0000-0000DF100000}"/>
    <cellStyle name="20% - Énfasis6 3 2 6 2" xfId="5813" xr:uid="{00000000-0005-0000-0000-0000E0100000}"/>
    <cellStyle name="20% - Énfasis6 3 2 6 3" xfId="9589" xr:uid="{00000000-0005-0000-0000-0000E1100000}"/>
    <cellStyle name="20% - Énfasis6 3 2 7" xfId="3925" xr:uid="{00000000-0005-0000-0000-0000E2100000}"/>
    <cellStyle name="20% - Énfasis6 3 2 8" xfId="7701" xr:uid="{00000000-0005-0000-0000-0000E3100000}"/>
    <cellStyle name="20% - Énfasis6 3 3" xfId="197" xr:uid="{00000000-0005-0000-0000-0000E4100000}"/>
    <cellStyle name="20% - Énfasis6 3 3 2" xfId="435" xr:uid="{00000000-0005-0000-0000-0000E5100000}"/>
    <cellStyle name="20% - Énfasis6 3 3 2 2" xfId="909" xr:uid="{00000000-0005-0000-0000-0000E6100000}"/>
    <cellStyle name="20% - Énfasis6 3 3 2 2 2" xfId="1855" xr:uid="{00000000-0005-0000-0000-0000E7100000}"/>
    <cellStyle name="20% - Énfasis6 3 3 2 2 2 2" xfId="3745" xr:uid="{00000000-0005-0000-0000-0000E8100000}"/>
    <cellStyle name="20% - Énfasis6 3 3 2 2 2 2 2" xfId="7524" xr:uid="{00000000-0005-0000-0000-0000E9100000}"/>
    <cellStyle name="20% - Énfasis6 3 3 2 2 2 2 3" xfId="11300" xr:uid="{00000000-0005-0000-0000-0000EA100000}"/>
    <cellStyle name="20% - Énfasis6 3 3 2 2 2 3" xfId="5636" xr:uid="{00000000-0005-0000-0000-0000EB100000}"/>
    <cellStyle name="20% - Énfasis6 3 3 2 2 2 4" xfId="9412" xr:uid="{00000000-0005-0000-0000-0000EC100000}"/>
    <cellStyle name="20% - Énfasis6 3 3 2 2 3" xfId="2801" xr:uid="{00000000-0005-0000-0000-0000ED100000}"/>
    <cellStyle name="20% - Énfasis6 3 3 2 2 3 2" xfId="6580" xr:uid="{00000000-0005-0000-0000-0000EE100000}"/>
    <cellStyle name="20% - Énfasis6 3 3 2 2 3 3" xfId="10356" xr:uid="{00000000-0005-0000-0000-0000EF100000}"/>
    <cellStyle name="20% - Énfasis6 3 3 2 2 4" xfId="4692" xr:uid="{00000000-0005-0000-0000-0000F0100000}"/>
    <cellStyle name="20% - Énfasis6 3 3 2 2 5" xfId="8468" xr:uid="{00000000-0005-0000-0000-0000F1100000}"/>
    <cellStyle name="20% - Énfasis6 3 3 2 3" xfId="1383" xr:uid="{00000000-0005-0000-0000-0000F2100000}"/>
    <cellStyle name="20% - Énfasis6 3 3 2 3 2" xfId="3273" xr:uid="{00000000-0005-0000-0000-0000F3100000}"/>
    <cellStyle name="20% - Énfasis6 3 3 2 3 2 2" xfId="7052" xr:uid="{00000000-0005-0000-0000-0000F4100000}"/>
    <cellStyle name="20% - Énfasis6 3 3 2 3 2 3" xfId="10828" xr:uid="{00000000-0005-0000-0000-0000F5100000}"/>
    <cellStyle name="20% - Énfasis6 3 3 2 3 3" xfId="5164" xr:uid="{00000000-0005-0000-0000-0000F6100000}"/>
    <cellStyle name="20% - Énfasis6 3 3 2 3 4" xfId="8940" xr:uid="{00000000-0005-0000-0000-0000F7100000}"/>
    <cellStyle name="20% - Énfasis6 3 3 2 4" xfId="2329" xr:uid="{00000000-0005-0000-0000-0000F8100000}"/>
    <cellStyle name="20% - Énfasis6 3 3 2 4 2" xfId="6108" xr:uid="{00000000-0005-0000-0000-0000F9100000}"/>
    <cellStyle name="20% - Énfasis6 3 3 2 4 3" xfId="9884" xr:uid="{00000000-0005-0000-0000-0000FA100000}"/>
    <cellStyle name="20% - Énfasis6 3 3 2 5" xfId="4220" xr:uid="{00000000-0005-0000-0000-0000FB100000}"/>
    <cellStyle name="20% - Énfasis6 3 3 2 6" xfId="7996" xr:uid="{00000000-0005-0000-0000-0000FC100000}"/>
    <cellStyle name="20% - Énfasis6 3 3 3" xfId="673" xr:uid="{00000000-0005-0000-0000-0000FD100000}"/>
    <cellStyle name="20% - Énfasis6 3 3 3 2" xfId="1619" xr:uid="{00000000-0005-0000-0000-0000FE100000}"/>
    <cellStyle name="20% - Énfasis6 3 3 3 2 2" xfId="3509" xr:uid="{00000000-0005-0000-0000-0000FF100000}"/>
    <cellStyle name="20% - Énfasis6 3 3 3 2 2 2" xfId="7288" xr:uid="{00000000-0005-0000-0000-000000110000}"/>
    <cellStyle name="20% - Énfasis6 3 3 3 2 2 3" xfId="11064" xr:uid="{00000000-0005-0000-0000-000001110000}"/>
    <cellStyle name="20% - Énfasis6 3 3 3 2 3" xfId="5400" xr:uid="{00000000-0005-0000-0000-000002110000}"/>
    <cellStyle name="20% - Énfasis6 3 3 3 2 4" xfId="9176" xr:uid="{00000000-0005-0000-0000-000003110000}"/>
    <cellStyle name="20% - Énfasis6 3 3 3 3" xfId="2565" xr:uid="{00000000-0005-0000-0000-000004110000}"/>
    <cellStyle name="20% - Énfasis6 3 3 3 3 2" xfId="6344" xr:uid="{00000000-0005-0000-0000-000005110000}"/>
    <cellStyle name="20% - Énfasis6 3 3 3 3 3" xfId="10120" xr:uid="{00000000-0005-0000-0000-000006110000}"/>
    <cellStyle name="20% - Énfasis6 3 3 3 4" xfId="4456" xr:uid="{00000000-0005-0000-0000-000007110000}"/>
    <cellStyle name="20% - Énfasis6 3 3 3 5" xfId="8232" xr:uid="{00000000-0005-0000-0000-000008110000}"/>
    <cellStyle name="20% - Énfasis6 3 3 4" xfId="1147" xr:uid="{00000000-0005-0000-0000-000009110000}"/>
    <cellStyle name="20% - Énfasis6 3 3 4 2" xfId="3037" xr:uid="{00000000-0005-0000-0000-00000A110000}"/>
    <cellStyle name="20% - Énfasis6 3 3 4 2 2" xfId="6816" xr:uid="{00000000-0005-0000-0000-00000B110000}"/>
    <cellStyle name="20% - Énfasis6 3 3 4 2 3" xfId="10592" xr:uid="{00000000-0005-0000-0000-00000C110000}"/>
    <cellStyle name="20% - Énfasis6 3 3 4 3" xfId="4928" xr:uid="{00000000-0005-0000-0000-00000D110000}"/>
    <cellStyle name="20% - Énfasis6 3 3 4 4" xfId="8704" xr:uid="{00000000-0005-0000-0000-00000E110000}"/>
    <cellStyle name="20% - Énfasis6 3 3 5" xfId="2093" xr:uid="{00000000-0005-0000-0000-00000F110000}"/>
    <cellStyle name="20% - Énfasis6 3 3 5 2" xfId="5872" xr:uid="{00000000-0005-0000-0000-000010110000}"/>
    <cellStyle name="20% - Énfasis6 3 3 5 3" xfId="9648" xr:uid="{00000000-0005-0000-0000-000011110000}"/>
    <cellStyle name="20% - Énfasis6 3 3 6" xfId="3984" xr:uid="{00000000-0005-0000-0000-000012110000}"/>
    <cellStyle name="20% - Énfasis6 3 3 7" xfId="7760" xr:uid="{00000000-0005-0000-0000-000013110000}"/>
    <cellStyle name="20% - Énfasis6 3 4" xfId="317" xr:uid="{00000000-0005-0000-0000-000014110000}"/>
    <cellStyle name="20% - Énfasis6 3 4 2" xfId="791" xr:uid="{00000000-0005-0000-0000-000015110000}"/>
    <cellStyle name="20% - Énfasis6 3 4 2 2" xfId="1737" xr:uid="{00000000-0005-0000-0000-000016110000}"/>
    <cellStyle name="20% - Énfasis6 3 4 2 2 2" xfId="3627" xr:uid="{00000000-0005-0000-0000-000017110000}"/>
    <cellStyle name="20% - Énfasis6 3 4 2 2 2 2" xfId="7406" xr:uid="{00000000-0005-0000-0000-000018110000}"/>
    <cellStyle name="20% - Énfasis6 3 4 2 2 2 3" xfId="11182" xr:uid="{00000000-0005-0000-0000-000019110000}"/>
    <cellStyle name="20% - Énfasis6 3 4 2 2 3" xfId="5518" xr:uid="{00000000-0005-0000-0000-00001A110000}"/>
    <cellStyle name="20% - Énfasis6 3 4 2 2 4" xfId="9294" xr:uid="{00000000-0005-0000-0000-00001B110000}"/>
    <cellStyle name="20% - Énfasis6 3 4 2 3" xfId="2683" xr:uid="{00000000-0005-0000-0000-00001C110000}"/>
    <cellStyle name="20% - Énfasis6 3 4 2 3 2" xfId="6462" xr:uid="{00000000-0005-0000-0000-00001D110000}"/>
    <cellStyle name="20% - Énfasis6 3 4 2 3 3" xfId="10238" xr:uid="{00000000-0005-0000-0000-00001E110000}"/>
    <cellStyle name="20% - Énfasis6 3 4 2 4" xfId="4574" xr:uid="{00000000-0005-0000-0000-00001F110000}"/>
    <cellStyle name="20% - Énfasis6 3 4 2 5" xfId="8350" xr:uid="{00000000-0005-0000-0000-000020110000}"/>
    <cellStyle name="20% - Énfasis6 3 4 3" xfId="1265" xr:uid="{00000000-0005-0000-0000-000021110000}"/>
    <cellStyle name="20% - Énfasis6 3 4 3 2" xfId="3155" xr:uid="{00000000-0005-0000-0000-000022110000}"/>
    <cellStyle name="20% - Énfasis6 3 4 3 2 2" xfId="6934" xr:uid="{00000000-0005-0000-0000-000023110000}"/>
    <cellStyle name="20% - Énfasis6 3 4 3 2 3" xfId="10710" xr:uid="{00000000-0005-0000-0000-000024110000}"/>
    <cellStyle name="20% - Énfasis6 3 4 3 3" xfId="5046" xr:uid="{00000000-0005-0000-0000-000025110000}"/>
    <cellStyle name="20% - Énfasis6 3 4 3 4" xfId="8822" xr:uid="{00000000-0005-0000-0000-000026110000}"/>
    <cellStyle name="20% - Énfasis6 3 4 4" xfId="2211" xr:uid="{00000000-0005-0000-0000-000027110000}"/>
    <cellStyle name="20% - Énfasis6 3 4 4 2" xfId="5990" xr:uid="{00000000-0005-0000-0000-000028110000}"/>
    <cellStyle name="20% - Énfasis6 3 4 4 3" xfId="9766" xr:uid="{00000000-0005-0000-0000-000029110000}"/>
    <cellStyle name="20% - Énfasis6 3 4 5" xfId="4102" xr:uid="{00000000-0005-0000-0000-00002A110000}"/>
    <cellStyle name="20% - Énfasis6 3 4 6" xfId="7878" xr:uid="{00000000-0005-0000-0000-00002B110000}"/>
    <cellStyle name="20% - Énfasis6 3 5" xfId="555" xr:uid="{00000000-0005-0000-0000-00002C110000}"/>
    <cellStyle name="20% - Énfasis6 3 5 2" xfId="1501" xr:uid="{00000000-0005-0000-0000-00002D110000}"/>
    <cellStyle name="20% - Énfasis6 3 5 2 2" xfId="3391" xr:uid="{00000000-0005-0000-0000-00002E110000}"/>
    <cellStyle name="20% - Énfasis6 3 5 2 2 2" xfId="7170" xr:uid="{00000000-0005-0000-0000-00002F110000}"/>
    <cellStyle name="20% - Énfasis6 3 5 2 2 3" xfId="10946" xr:uid="{00000000-0005-0000-0000-000030110000}"/>
    <cellStyle name="20% - Énfasis6 3 5 2 3" xfId="5282" xr:uid="{00000000-0005-0000-0000-000031110000}"/>
    <cellStyle name="20% - Énfasis6 3 5 2 4" xfId="9058" xr:uid="{00000000-0005-0000-0000-000032110000}"/>
    <cellStyle name="20% - Énfasis6 3 5 3" xfId="2447" xr:uid="{00000000-0005-0000-0000-000033110000}"/>
    <cellStyle name="20% - Énfasis6 3 5 3 2" xfId="6226" xr:uid="{00000000-0005-0000-0000-000034110000}"/>
    <cellStyle name="20% - Énfasis6 3 5 3 3" xfId="10002" xr:uid="{00000000-0005-0000-0000-000035110000}"/>
    <cellStyle name="20% - Énfasis6 3 5 4" xfId="4338" xr:uid="{00000000-0005-0000-0000-000036110000}"/>
    <cellStyle name="20% - Énfasis6 3 5 5" xfId="8114" xr:uid="{00000000-0005-0000-0000-000037110000}"/>
    <cellStyle name="20% - Énfasis6 3 6" xfId="1029" xr:uid="{00000000-0005-0000-0000-000038110000}"/>
    <cellStyle name="20% - Énfasis6 3 6 2" xfId="2919" xr:uid="{00000000-0005-0000-0000-000039110000}"/>
    <cellStyle name="20% - Énfasis6 3 6 2 2" xfId="6698" xr:uid="{00000000-0005-0000-0000-00003A110000}"/>
    <cellStyle name="20% - Énfasis6 3 6 2 3" xfId="10474" xr:uid="{00000000-0005-0000-0000-00003B110000}"/>
    <cellStyle name="20% - Énfasis6 3 6 3" xfId="4810" xr:uid="{00000000-0005-0000-0000-00003C110000}"/>
    <cellStyle name="20% - Énfasis6 3 6 4" xfId="8586" xr:uid="{00000000-0005-0000-0000-00003D110000}"/>
    <cellStyle name="20% - Énfasis6 3 7" xfId="1975" xr:uid="{00000000-0005-0000-0000-00003E110000}"/>
    <cellStyle name="20% - Énfasis6 3 7 2" xfId="5754" xr:uid="{00000000-0005-0000-0000-00003F110000}"/>
    <cellStyle name="20% - Énfasis6 3 7 3" xfId="9530" xr:uid="{00000000-0005-0000-0000-000040110000}"/>
    <cellStyle name="20% - Énfasis6 3 8" xfId="3866" xr:uid="{00000000-0005-0000-0000-000041110000}"/>
    <cellStyle name="20% - Énfasis6 3 9" xfId="7642" xr:uid="{00000000-0005-0000-0000-000042110000}"/>
    <cellStyle name="20% - Énfasis6 4" xfId="102" xr:uid="{00000000-0005-0000-0000-000043110000}"/>
    <cellStyle name="20% - Énfasis6 4 2" xfId="227" xr:uid="{00000000-0005-0000-0000-000044110000}"/>
    <cellStyle name="20% - Énfasis6 4 2 2" xfId="465" xr:uid="{00000000-0005-0000-0000-000045110000}"/>
    <cellStyle name="20% - Énfasis6 4 2 2 2" xfId="939" xr:uid="{00000000-0005-0000-0000-000046110000}"/>
    <cellStyle name="20% - Énfasis6 4 2 2 2 2" xfId="1885" xr:uid="{00000000-0005-0000-0000-000047110000}"/>
    <cellStyle name="20% - Énfasis6 4 2 2 2 2 2" xfId="3775" xr:uid="{00000000-0005-0000-0000-000048110000}"/>
    <cellStyle name="20% - Énfasis6 4 2 2 2 2 2 2" xfId="7554" xr:uid="{00000000-0005-0000-0000-000049110000}"/>
    <cellStyle name="20% - Énfasis6 4 2 2 2 2 2 3" xfId="11330" xr:uid="{00000000-0005-0000-0000-00004A110000}"/>
    <cellStyle name="20% - Énfasis6 4 2 2 2 2 3" xfId="5666" xr:uid="{00000000-0005-0000-0000-00004B110000}"/>
    <cellStyle name="20% - Énfasis6 4 2 2 2 2 4" xfId="9442" xr:uid="{00000000-0005-0000-0000-00004C110000}"/>
    <cellStyle name="20% - Énfasis6 4 2 2 2 3" xfId="2831" xr:uid="{00000000-0005-0000-0000-00004D110000}"/>
    <cellStyle name="20% - Énfasis6 4 2 2 2 3 2" xfId="6610" xr:uid="{00000000-0005-0000-0000-00004E110000}"/>
    <cellStyle name="20% - Énfasis6 4 2 2 2 3 3" xfId="10386" xr:uid="{00000000-0005-0000-0000-00004F110000}"/>
    <cellStyle name="20% - Énfasis6 4 2 2 2 4" xfId="4722" xr:uid="{00000000-0005-0000-0000-000050110000}"/>
    <cellStyle name="20% - Énfasis6 4 2 2 2 5" xfId="8498" xr:uid="{00000000-0005-0000-0000-000051110000}"/>
    <cellStyle name="20% - Énfasis6 4 2 2 3" xfId="1413" xr:uid="{00000000-0005-0000-0000-000052110000}"/>
    <cellStyle name="20% - Énfasis6 4 2 2 3 2" xfId="3303" xr:uid="{00000000-0005-0000-0000-000053110000}"/>
    <cellStyle name="20% - Énfasis6 4 2 2 3 2 2" xfId="7082" xr:uid="{00000000-0005-0000-0000-000054110000}"/>
    <cellStyle name="20% - Énfasis6 4 2 2 3 2 3" xfId="10858" xr:uid="{00000000-0005-0000-0000-000055110000}"/>
    <cellStyle name="20% - Énfasis6 4 2 2 3 3" xfId="5194" xr:uid="{00000000-0005-0000-0000-000056110000}"/>
    <cellStyle name="20% - Énfasis6 4 2 2 3 4" xfId="8970" xr:uid="{00000000-0005-0000-0000-000057110000}"/>
    <cellStyle name="20% - Énfasis6 4 2 2 4" xfId="2359" xr:uid="{00000000-0005-0000-0000-000058110000}"/>
    <cellStyle name="20% - Énfasis6 4 2 2 4 2" xfId="6138" xr:uid="{00000000-0005-0000-0000-000059110000}"/>
    <cellStyle name="20% - Énfasis6 4 2 2 4 3" xfId="9914" xr:uid="{00000000-0005-0000-0000-00005A110000}"/>
    <cellStyle name="20% - Énfasis6 4 2 2 5" xfId="4250" xr:uid="{00000000-0005-0000-0000-00005B110000}"/>
    <cellStyle name="20% - Énfasis6 4 2 2 6" xfId="8026" xr:uid="{00000000-0005-0000-0000-00005C110000}"/>
    <cellStyle name="20% - Énfasis6 4 2 3" xfId="703" xr:uid="{00000000-0005-0000-0000-00005D110000}"/>
    <cellStyle name="20% - Énfasis6 4 2 3 2" xfId="1649" xr:uid="{00000000-0005-0000-0000-00005E110000}"/>
    <cellStyle name="20% - Énfasis6 4 2 3 2 2" xfId="3539" xr:uid="{00000000-0005-0000-0000-00005F110000}"/>
    <cellStyle name="20% - Énfasis6 4 2 3 2 2 2" xfId="7318" xr:uid="{00000000-0005-0000-0000-000060110000}"/>
    <cellStyle name="20% - Énfasis6 4 2 3 2 2 3" xfId="11094" xr:uid="{00000000-0005-0000-0000-000061110000}"/>
    <cellStyle name="20% - Énfasis6 4 2 3 2 3" xfId="5430" xr:uid="{00000000-0005-0000-0000-000062110000}"/>
    <cellStyle name="20% - Énfasis6 4 2 3 2 4" xfId="9206" xr:uid="{00000000-0005-0000-0000-000063110000}"/>
    <cellStyle name="20% - Énfasis6 4 2 3 3" xfId="2595" xr:uid="{00000000-0005-0000-0000-000064110000}"/>
    <cellStyle name="20% - Énfasis6 4 2 3 3 2" xfId="6374" xr:uid="{00000000-0005-0000-0000-000065110000}"/>
    <cellStyle name="20% - Énfasis6 4 2 3 3 3" xfId="10150" xr:uid="{00000000-0005-0000-0000-000066110000}"/>
    <cellStyle name="20% - Énfasis6 4 2 3 4" xfId="4486" xr:uid="{00000000-0005-0000-0000-000067110000}"/>
    <cellStyle name="20% - Énfasis6 4 2 3 5" xfId="8262" xr:uid="{00000000-0005-0000-0000-000068110000}"/>
    <cellStyle name="20% - Énfasis6 4 2 4" xfId="1177" xr:uid="{00000000-0005-0000-0000-000069110000}"/>
    <cellStyle name="20% - Énfasis6 4 2 4 2" xfId="3067" xr:uid="{00000000-0005-0000-0000-00006A110000}"/>
    <cellStyle name="20% - Énfasis6 4 2 4 2 2" xfId="6846" xr:uid="{00000000-0005-0000-0000-00006B110000}"/>
    <cellStyle name="20% - Énfasis6 4 2 4 2 3" xfId="10622" xr:uid="{00000000-0005-0000-0000-00006C110000}"/>
    <cellStyle name="20% - Énfasis6 4 2 4 3" xfId="4958" xr:uid="{00000000-0005-0000-0000-00006D110000}"/>
    <cellStyle name="20% - Énfasis6 4 2 4 4" xfId="8734" xr:uid="{00000000-0005-0000-0000-00006E110000}"/>
    <cellStyle name="20% - Énfasis6 4 2 5" xfId="2123" xr:uid="{00000000-0005-0000-0000-00006F110000}"/>
    <cellStyle name="20% - Énfasis6 4 2 5 2" xfId="5902" xr:uid="{00000000-0005-0000-0000-000070110000}"/>
    <cellStyle name="20% - Énfasis6 4 2 5 3" xfId="9678" xr:uid="{00000000-0005-0000-0000-000071110000}"/>
    <cellStyle name="20% - Énfasis6 4 2 6" xfId="4014" xr:uid="{00000000-0005-0000-0000-000072110000}"/>
    <cellStyle name="20% - Énfasis6 4 2 7" xfId="7790" xr:uid="{00000000-0005-0000-0000-000073110000}"/>
    <cellStyle name="20% - Énfasis6 4 3" xfId="347" xr:uid="{00000000-0005-0000-0000-000074110000}"/>
    <cellStyle name="20% - Énfasis6 4 3 2" xfId="821" xr:uid="{00000000-0005-0000-0000-000075110000}"/>
    <cellStyle name="20% - Énfasis6 4 3 2 2" xfId="1767" xr:uid="{00000000-0005-0000-0000-000076110000}"/>
    <cellStyle name="20% - Énfasis6 4 3 2 2 2" xfId="3657" xr:uid="{00000000-0005-0000-0000-000077110000}"/>
    <cellStyle name="20% - Énfasis6 4 3 2 2 2 2" xfId="7436" xr:uid="{00000000-0005-0000-0000-000078110000}"/>
    <cellStyle name="20% - Énfasis6 4 3 2 2 2 3" xfId="11212" xr:uid="{00000000-0005-0000-0000-000079110000}"/>
    <cellStyle name="20% - Énfasis6 4 3 2 2 3" xfId="5548" xr:uid="{00000000-0005-0000-0000-00007A110000}"/>
    <cellStyle name="20% - Énfasis6 4 3 2 2 4" xfId="9324" xr:uid="{00000000-0005-0000-0000-00007B110000}"/>
    <cellStyle name="20% - Énfasis6 4 3 2 3" xfId="2713" xr:uid="{00000000-0005-0000-0000-00007C110000}"/>
    <cellStyle name="20% - Énfasis6 4 3 2 3 2" xfId="6492" xr:uid="{00000000-0005-0000-0000-00007D110000}"/>
    <cellStyle name="20% - Énfasis6 4 3 2 3 3" xfId="10268" xr:uid="{00000000-0005-0000-0000-00007E110000}"/>
    <cellStyle name="20% - Énfasis6 4 3 2 4" xfId="4604" xr:uid="{00000000-0005-0000-0000-00007F110000}"/>
    <cellStyle name="20% - Énfasis6 4 3 2 5" xfId="8380" xr:uid="{00000000-0005-0000-0000-000080110000}"/>
    <cellStyle name="20% - Énfasis6 4 3 3" xfId="1295" xr:uid="{00000000-0005-0000-0000-000081110000}"/>
    <cellStyle name="20% - Énfasis6 4 3 3 2" xfId="3185" xr:uid="{00000000-0005-0000-0000-000082110000}"/>
    <cellStyle name="20% - Énfasis6 4 3 3 2 2" xfId="6964" xr:uid="{00000000-0005-0000-0000-000083110000}"/>
    <cellStyle name="20% - Énfasis6 4 3 3 2 3" xfId="10740" xr:uid="{00000000-0005-0000-0000-000084110000}"/>
    <cellStyle name="20% - Énfasis6 4 3 3 3" xfId="5076" xr:uid="{00000000-0005-0000-0000-000085110000}"/>
    <cellStyle name="20% - Énfasis6 4 3 3 4" xfId="8852" xr:uid="{00000000-0005-0000-0000-000086110000}"/>
    <cellStyle name="20% - Énfasis6 4 3 4" xfId="2241" xr:uid="{00000000-0005-0000-0000-000087110000}"/>
    <cellStyle name="20% - Énfasis6 4 3 4 2" xfId="6020" xr:uid="{00000000-0005-0000-0000-000088110000}"/>
    <cellStyle name="20% - Énfasis6 4 3 4 3" xfId="9796" xr:uid="{00000000-0005-0000-0000-000089110000}"/>
    <cellStyle name="20% - Énfasis6 4 3 5" xfId="4132" xr:uid="{00000000-0005-0000-0000-00008A110000}"/>
    <cellStyle name="20% - Énfasis6 4 3 6" xfId="7908" xr:uid="{00000000-0005-0000-0000-00008B110000}"/>
    <cellStyle name="20% - Énfasis6 4 4" xfId="585" xr:uid="{00000000-0005-0000-0000-00008C110000}"/>
    <cellStyle name="20% - Énfasis6 4 4 2" xfId="1531" xr:uid="{00000000-0005-0000-0000-00008D110000}"/>
    <cellStyle name="20% - Énfasis6 4 4 2 2" xfId="3421" xr:uid="{00000000-0005-0000-0000-00008E110000}"/>
    <cellStyle name="20% - Énfasis6 4 4 2 2 2" xfId="7200" xr:uid="{00000000-0005-0000-0000-00008F110000}"/>
    <cellStyle name="20% - Énfasis6 4 4 2 2 3" xfId="10976" xr:uid="{00000000-0005-0000-0000-000090110000}"/>
    <cellStyle name="20% - Énfasis6 4 4 2 3" xfId="5312" xr:uid="{00000000-0005-0000-0000-000091110000}"/>
    <cellStyle name="20% - Énfasis6 4 4 2 4" xfId="9088" xr:uid="{00000000-0005-0000-0000-000092110000}"/>
    <cellStyle name="20% - Énfasis6 4 4 3" xfId="2477" xr:uid="{00000000-0005-0000-0000-000093110000}"/>
    <cellStyle name="20% - Énfasis6 4 4 3 2" xfId="6256" xr:uid="{00000000-0005-0000-0000-000094110000}"/>
    <cellStyle name="20% - Énfasis6 4 4 3 3" xfId="10032" xr:uid="{00000000-0005-0000-0000-000095110000}"/>
    <cellStyle name="20% - Énfasis6 4 4 4" xfId="4368" xr:uid="{00000000-0005-0000-0000-000096110000}"/>
    <cellStyle name="20% - Énfasis6 4 4 5" xfId="8144" xr:uid="{00000000-0005-0000-0000-000097110000}"/>
    <cellStyle name="20% - Énfasis6 4 5" xfId="1059" xr:uid="{00000000-0005-0000-0000-000098110000}"/>
    <cellStyle name="20% - Énfasis6 4 5 2" xfId="2949" xr:uid="{00000000-0005-0000-0000-000099110000}"/>
    <cellStyle name="20% - Énfasis6 4 5 2 2" xfId="6728" xr:uid="{00000000-0005-0000-0000-00009A110000}"/>
    <cellStyle name="20% - Énfasis6 4 5 2 3" xfId="10504" xr:uid="{00000000-0005-0000-0000-00009B110000}"/>
    <cellStyle name="20% - Énfasis6 4 5 3" xfId="4840" xr:uid="{00000000-0005-0000-0000-00009C110000}"/>
    <cellStyle name="20% - Énfasis6 4 5 4" xfId="8616" xr:uid="{00000000-0005-0000-0000-00009D110000}"/>
    <cellStyle name="20% - Énfasis6 4 6" xfId="2005" xr:uid="{00000000-0005-0000-0000-00009E110000}"/>
    <cellStyle name="20% - Énfasis6 4 6 2" xfId="5784" xr:uid="{00000000-0005-0000-0000-00009F110000}"/>
    <cellStyle name="20% - Énfasis6 4 6 3" xfId="9560" xr:uid="{00000000-0005-0000-0000-0000A0110000}"/>
    <cellStyle name="20% - Énfasis6 4 7" xfId="3896" xr:uid="{00000000-0005-0000-0000-0000A1110000}"/>
    <cellStyle name="20% - Énfasis6 4 8" xfId="7672" xr:uid="{00000000-0005-0000-0000-0000A2110000}"/>
    <cellStyle name="20% - Énfasis6 5" xfId="166" xr:uid="{00000000-0005-0000-0000-0000A3110000}"/>
    <cellStyle name="20% - Énfasis6 5 2" xfId="406" xr:uid="{00000000-0005-0000-0000-0000A4110000}"/>
    <cellStyle name="20% - Énfasis6 5 2 2" xfId="880" xr:uid="{00000000-0005-0000-0000-0000A5110000}"/>
    <cellStyle name="20% - Énfasis6 5 2 2 2" xfId="1826" xr:uid="{00000000-0005-0000-0000-0000A6110000}"/>
    <cellStyle name="20% - Énfasis6 5 2 2 2 2" xfId="3716" xr:uid="{00000000-0005-0000-0000-0000A7110000}"/>
    <cellStyle name="20% - Énfasis6 5 2 2 2 2 2" xfId="7495" xr:uid="{00000000-0005-0000-0000-0000A8110000}"/>
    <cellStyle name="20% - Énfasis6 5 2 2 2 2 3" xfId="11271" xr:uid="{00000000-0005-0000-0000-0000A9110000}"/>
    <cellStyle name="20% - Énfasis6 5 2 2 2 3" xfId="5607" xr:uid="{00000000-0005-0000-0000-0000AA110000}"/>
    <cellStyle name="20% - Énfasis6 5 2 2 2 4" xfId="9383" xr:uid="{00000000-0005-0000-0000-0000AB110000}"/>
    <cellStyle name="20% - Énfasis6 5 2 2 3" xfId="2772" xr:uid="{00000000-0005-0000-0000-0000AC110000}"/>
    <cellStyle name="20% - Énfasis6 5 2 2 3 2" xfId="6551" xr:uid="{00000000-0005-0000-0000-0000AD110000}"/>
    <cellStyle name="20% - Énfasis6 5 2 2 3 3" xfId="10327" xr:uid="{00000000-0005-0000-0000-0000AE110000}"/>
    <cellStyle name="20% - Énfasis6 5 2 2 4" xfId="4663" xr:uid="{00000000-0005-0000-0000-0000AF110000}"/>
    <cellStyle name="20% - Énfasis6 5 2 2 5" xfId="8439" xr:uid="{00000000-0005-0000-0000-0000B0110000}"/>
    <cellStyle name="20% - Énfasis6 5 2 3" xfId="1354" xr:uid="{00000000-0005-0000-0000-0000B1110000}"/>
    <cellStyle name="20% - Énfasis6 5 2 3 2" xfId="3244" xr:uid="{00000000-0005-0000-0000-0000B2110000}"/>
    <cellStyle name="20% - Énfasis6 5 2 3 2 2" xfId="7023" xr:uid="{00000000-0005-0000-0000-0000B3110000}"/>
    <cellStyle name="20% - Énfasis6 5 2 3 2 3" xfId="10799" xr:uid="{00000000-0005-0000-0000-0000B4110000}"/>
    <cellStyle name="20% - Énfasis6 5 2 3 3" xfId="5135" xr:uid="{00000000-0005-0000-0000-0000B5110000}"/>
    <cellStyle name="20% - Énfasis6 5 2 3 4" xfId="8911" xr:uid="{00000000-0005-0000-0000-0000B6110000}"/>
    <cellStyle name="20% - Énfasis6 5 2 4" xfId="2300" xr:uid="{00000000-0005-0000-0000-0000B7110000}"/>
    <cellStyle name="20% - Énfasis6 5 2 4 2" xfId="6079" xr:uid="{00000000-0005-0000-0000-0000B8110000}"/>
    <cellStyle name="20% - Énfasis6 5 2 4 3" xfId="9855" xr:uid="{00000000-0005-0000-0000-0000B9110000}"/>
    <cellStyle name="20% - Énfasis6 5 2 5" xfId="4191" xr:uid="{00000000-0005-0000-0000-0000BA110000}"/>
    <cellStyle name="20% - Énfasis6 5 2 6" xfId="7967" xr:uid="{00000000-0005-0000-0000-0000BB110000}"/>
    <cellStyle name="20% - Énfasis6 5 3" xfId="644" xr:uid="{00000000-0005-0000-0000-0000BC110000}"/>
    <cellStyle name="20% - Énfasis6 5 3 2" xfId="1590" xr:uid="{00000000-0005-0000-0000-0000BD110000}"/>
    <cellStyle name="20% - Énfasis6 5 3 2 2" xfId="3480" xr:uid="{00000000-0005-0000-0000-0000BE110000}"/>
    <cellStyle name="20% - Énfasis6 5 3 2 2 2" xfId="7259" xr:uid="{00000000-0005-0000-0000-0000BF110000}"/>
    <cellStyle name="20% - Énfasis6 5 3 2 2 3" xfId="11035" xr:uid="{00000000-0005-0000-0000-0000C0110000}"/>
    <cellStyle name="20% - Énfasis6 5 3 2 3" xfId="5371" xr:uid="{00000000-0005-0000-0000-0000C1110000}"/>
    <cellStyle name="20% - Énfasis6 5 3 2 4" xfId="9147" xr:uid="{00000000-0005-0000-0000-0000C2110000}"/>
    <cellStyle name="20% - Énfasis6 5 3 3" xfId="2536" xr:uid="{00000000-0005-0000-0000-0000C3110000}"/>
    <cellStyle name="20% - Énfasis6 5 3 3 2" xfId="6315" xr:uid="{00000000-0005-0000-0000-0000C4110000}"/>
    <cellStyle name="20% - Énfasis6 5 3 3 3" xfId="10091" xr:uid="{00000000-0005-0000-0000-0000C5110000}"/>
    <cellStyle name="20% - Énfasis6 5 3 4" xfId="4427" xr:uid="{00000000-0005-0000-0000-0000C6110000}"/>
    <cellStyle name="20% - Énfasis6 5 3 5" xfId="8203" xr:uid="{00000000-0005-0000-0000-0000C7110000}"/>
    <cellStyle name="20% - Énfasis6 5 4" xfId="1118" xr:uid="{00000000-0005-0000-0000-0000C8110000}"/>
    <cellStyle name="20% - Énfasis6 5 4 2" xfId="3008" xr:uid="{00000000-0005-0000-0000-0000C9110000}"/>
    <cellStyle name="20% - Énfasis6 5 4 2 2" xfId="6787" xr:uid="{00000000-0005-0000-0000-0000CA110000}"/>
    <cellStyle name="20% - Énfasis6 5 4 2 3" xfId="10563" xr:uid="{00000000-0005-0000-0000-0000CB110000}"/>
    <cellStyle name="20% - Énfasis6 5 4 3" xfId="4899" xr:uid="{00000000-0005-0000-0000-0000CC110000}"/>
    <cellStyle name="20% - Énfasis6 5 4 4" xfId="8675" xr:uid="{00000000-0005-0000-0000-0000CD110000}"/>
    <cellStyle name="20% - Énfasis6 5 5" xfId="2064" xr:uid="{00000000-0005-0000-0000-0000CE110000}"/>
    <cellStyle name="20% - Énfasis6 5 5 2" xfId="5843" xr:uid="{00000000-0005-0000-0000-0000CF110000}"/>
    <cellStyle name="20% - Énfasis6 5 5 3" xfId="9619" xr:uid="{00000000-0005-0000-0000-0000D0110000}"/>
    <cellStyle name="20% - Énfasis6 5 6" xfId="3955" xr:uid="{00000000-0005-0000-0000-0000D1110000}"/>
    <cellStyle name="20% - Énfasis6 5 7" xfId="7731" xr:uid="{00000000-0005-0000-0000-0000D2110000}"/>
    <cellStyle name="20% - Énfasis6 6" xfId="286" xr:uid="{00000000-0005-0000-0000-0000D3110000}"/>
    <cellStyle name="20% - Énfasis6 6 2" xfId="762" xr:uid="{00000000-0005-0000-0000-0000D4110000}"/>
    <cellStyle name="20% - Énfasis6 6 2 2" xfId="1708" xr:uid="{00000000-0005-0000-0000-0000D5110000}"/>
    <cellStyle name="20% - Énfasis6 6 2 2 2" xfId="3598" xr:uid="{00000000-0005-0000-0000-0000D6110000}"/>
    <cellStyle name="20% - Énfasis6 6 2 2 2 2" xfId="7377" xr:uid="{00000000-0005-0000-0000-0000D7110000}"/>
    <cellStyle name="20% - Énfasis6 6 2 2 2 3" xfId="11153" xr:uid="{00000000-0005-0000-0000-0000D8110000}"/>
    <cellStyle name="20% - Énfasis6 6 2 2 3" xfId="5489" xr:uid="{00000000-0005-0000-0000-0000D9110000}"/>
    <cellStyle name="20% - Énfasis6 6 2 2 4" xfId="9265" xr:uid="{00000000-0005-0000-0000-0000DA110000}"/>
    <cellStyle name="20% - Énfasis6 6 2 3" xfId="2654" xr:uid="{00000000-0005-0000-0000-0000DB110000}"/>
    <cellStyle name="20% - Énfasis6 6 2 3 2" xfId="6433" xr:uid="{00000000-0005-0000-0000-0000DC110000}"/>
    <cellStyle name="20% - Énfasis6 6 2 3 3" xfId="10209" xr:uid="{00000000-0005-0000-0000-0000DD110000}"/>
    <cellStyle name="20% - Énfasis6 6 2 4" xfId="4545" xr:uid="{00000000-0005-0000-0000-0000DE110000}"/>
    <cellStyle name="20% - Énfasis6 6 2 5" xfId="8321" xr:uid="{00000000-0005-0000-0000-0000DF110000}"/>
    <cellStyle name="20% - Énfasis6 6 3" xfId="1236" xr:uid="{00000000-0005-0000-0000-0000E0110000}"/>
    <cellStyle name="20% - Énfasis6 6 3 2" xfId="3126" xr:uid="{00000000-0005-0000-0000-0000E1110000}"/>
    <cellStyle name="20% - Énfasis6 6 3 2 2" xfId="6905" xr:uid="{00000000-0005-0000-0000-0000E2110000}"/>
    <cellStyle name="20% - Énfasis6 6 3 2 3" xfId="10681" xr:uid="{00000000-0005-0000-0000-0000E3110000}"/>
    <cellStyle name="20% - Énfasis6 6 3 3" xfId="5017" xr:uid="{00000000-0005-0000-0000-0000E4110000}"/>
    <cellStyle name="20% - Énfasis6 6 3 4" xfId="8793" xr:uid="{00000000-0005-0000-0000-0000E5110000}"/>
    <cellStyle name="20% - Énfasis6 6 4" xfId="2182" xr:uid="{00000000-0005-0000-0000-0000E6110000}"/>
    <cellStyle name="20% - Énfasis6 6 4 2" xfId="5961" xr:uid="{00000000-0005-0000-0000-0000E7110000}"/>
    <cellStyle name="20% - Énfasis6 6 4 3" xfId="9737" xr:uid="{00000000-0005-0000-0000-0000E8110000}"/>
    <cellStyle name="20% - Énfasis6 6 5" xfId="4073" xr:uid="{00000000-0005-0000-0000-0000E9110000}"/>
    <cellStyle name="20% - Énfasis6 6 6" xfId="7849" xr:uid="{00000000-0005-0000-0000-0000EA110000}"/>
    <cellStyle name="20% - Énfasis6 7" xfId="524" xr:uid="{00000000-0005-0000-0000-0000EB110000}"/>
    <cellStyle name="20% - Énfasis6 7 2" xfId="1472" xr:uid="{00000000-0005-0000-0000-0000EC110000}"/>
    <cellStyle name="20% - Énfasis6 7 2 2" xfId="3362" xr:uid="{00000000-0005-0000-0000-0000ED110000}"/>
    <cellStyle name="20% - Énfasis6 7 2 2 2" xfId="7141" xr:uid="{00000000-0005-0000-0000-0000EE110000}"/>
    <cellStyle name="20% - Énfasis6 7 2 2 3" xfId="10917" xr:uid="{00000000-0005-0000-0000-0000EF110000}"/>
    <cellStyle name="20% - Énfasis6 7 2 3" xfId="5253" xr:uid="{00000000-0005-0000-0000-0000F0110000}"/>
    <cellStyle name="20% - Énfasis6 7 2 4" xfId="9029" xr:uid="{00000000-0005-0000-0000-0000F1110000}"/>
    <cellStyle name="20% - Énfasis6 7 3" xfId="2418" xr:uid="{00000000-0005-0000-0000-0000F2110000}"/>
    <cellStyle name="20% - Énfasis6 7 3 2" xfId="6197" xr:uid="{00000000-0005-0000-0000-0000F3110000}"/>
    <cellStyle name="20% - Énfasis6 7 3 3" xfId="9973" xr:uid="{00000000-0005-0000-0000-0000F4110000}"/>
    <cellStyle name="20% - Énfasis6 7 4" xfId="4309" xr:uid="{00000000-0005-0000-0000-0000F5110000}"/>
    <cellStyle name="20% - Énfasis6 7 5" xfId="8085" xr:uid="{00000000-0005-0000-0000-0000F6110000}"/>
    <cellStyle name="20% - Énfasis6 8" xfId="998" xr:uid="{00000000-0005-0000-0000-0000F7110000}"/>
    <cellStyle name="20% - Énfasis6 8 2" xfId="2890" xr:uid="{00000000-0005-0000-0000-0000F8110000}"/>
    <cellStyle name="20% - Énfasis6 8 2 2" xfId="6669" xr:uid="{00000000-0005-0000-0000-0000F9110000}"/>
    <cellStyle name="20% - Énfasis6 8 2 3" xfId="10445" xr:uid="{00000000-0005-0000-0000-0000FA110000}"/>
    <cellStyle name="20% - Énfasis6 8 3" xfId="4781" xr:uid="{00000000-0005-0000-0000-0000FB110000}"/>
    <cellStyle name="20% - Énfasis6 8 4" xfId="8557" xr:uid="{00000000-0005-0000-0000-0000FC110000}"/>
    <cellStyle name="20% - Énfasis6 9" xfId="1944" xr:uid="{00000000-0005-0000-0000-0000FD110000}"/>
    <cellStyle name="20% - Énfasis6 9 2" xfId="5725" xr:uid="{00000000-0005-0000-0000-0000FE110000}"/>
    <cellStyle name="20% - Énfasis6 9 3" xfId="9501" xr:uid="{00000000-0005-0000-0000-0000FF110000}"/>
    <cellStyle name="40% - Énfasis1" xfId="20" builtinId="31" customBuiltin="1"/>
    <cellStyle name="40% - Énfasis1 10" xfId="3826" xr:uid="{00000000-0005-0000-0000-000001120000}"/>
    <cellStyle name="40% - Énfasis1 11" xfId="7604" xr:uid="{00000000-0005-0000-0000-000002120000}"/>
    <cellStyle name="40% - Énfasis1 2" xfId="47" xr:uid="{00000000-0005-0000-0000-000003120000}"/>
    <cellStyle name="40% - Énfasis1 2 10" xfId="7620" xr:uid="{00000000-0005-0000-0000-000004120000}"/>
    <cellStyle name="40% - Énfasis1 2 2" xfId="78" xr:uid="{00000000-0005-0000-0000-000005120000}"/>
    <cellStyle name="40% - Énfasis1 2 2 2" xfId="141" xr:uid="{00000000-0005-0000-0000-000006120000}"/>
    <cellStyle name="40% - Énfasis1 2 2 2 2" xfId="263" xr:uid="{00000000-0005-0000-0000-000007120000}"/>
    <cellStyle name="40% - Énfasis1 2 2 2 2 2" xfId="501" xr:uid="{00000000-0005-0000-0000-000008120000}"/>
    <cellStyle name="40% - Énfasis1 2 2 2 2 2 2" xfId="975" xr:uid="{00000000-0005-0000-0000-000009120000}"/>
    <cellStyle name="40% - Énfasis1 2 2 2 2 2 2 2" xfId="1921" xr:uid="{00000000-0005-0000-0000-00000A120000}"/>
    <cellStyle name="40% - Énfasis1 2 2 2 2 2 2 2 2" xfId="3811" xr:uid="{00000000-0005-0000-0000-00000B120000}"/>
    <cellStyle name="40% - Énfasis1 2 2 2 2 2 2 2 2 2" xfId="7590" xr:uid="{00000000-0005-0000-0000-00000C120000}"/>
    <cellStyle name="40% - Énfasis1 2 2 2 2 2 2 2 2 3" xfId="11366" xr:uid="{00000000-0005-0000-0000-00000D120000}"/>
    <cellStyle name="40% - Énfasis1 2 2 2 2 2 2 2 3" xfId="5702" xr:uid="{00000000-0005-0000-0000-00000E120000}"/>
    <cellStyle name="40% - Énfasis1 2 2 2 2 2 2 2 4" xfId="9478" xr:uid="{00000000-0005-0000-0000-00000F120000}"/>
    <cellStyle name="40% - Énfasis1 2 2 2 2 2 2 3" xfId="2867" xr:uid="{00000000-0005-0000-0000-000010120000}"/>
    <cellStyle name="40% - Énfasis1 2 2 2 2 2 2 3 2" xfId="6646" xr:uid="{00000000-0005-0000-0000-000011120000}"/>
    <cellStyle name="40% - Énfasis1 2 2 2 2 2 2 3 3" xfId="10422" xr:uid="{00000000-0005-0000-0000-000012120000}"/>
    <cellStyle name="40% - Énfasis1 2 2 2 2 2 2 4" xfId="4758" xr:uid="{00000000-0005-0000-0000-000013120000}"/>
    <cellStyle name="40% - Énfasis1 2 2 2 2 2 2 5" xfId="8534" xr:uid="{00000000-0005-0000-0000-000014120000}"/>
    <cellStyle name="40% - Énfasis1 2 2 2 2 2 3" xfId="1449" xr:uid="{00000000-0005-0000-0000-000015120000}"/>
    <cellStyle name="40% - Énfasis1 2 2 2 2 2 3 2" xfId="3339" xr:uid="{00000000-0005-0000-0000-000016120000}"/>
    <cellStyle name="40% - Énfasis1 2 2 2 2 2 3 2 2" xfId="7118" xr:uid="{00000000-0005-0000-0000-000017120000}"/>
    <cellStyle name="40% - Énfasis1 2 2 2 2 2 3 2 3" xfId="10894" xr:uid="{00000000-0005-0000-0000-000018120000}"/>
    <cellStyle name="40% - Énfasis1 2 2 2 2 2 3 3" xfId="5230" xr:uid="{00000000-0005-0000-0000-000019120000}"/>
    <cellStyle name="40% - Énfasis1 2 2 2 2 2 3 4" xfId="9006" xr:uid="{00000000-0005-0000-0000-00001A120000}"/>
    <cellStyle name="40% - Énfasis1 2 2 2 2 2 4" xfId="2395" xr:uid="{00000000-0005-0000-0000-00001B120000}"/>
    <cellStyle name="40% - Énfasis1 2 2 2 2 2 4 2" xfId="6174" xr:uid="{00000000-0005-0000-0000-00001C120000}"/>
    <cellStyle name="40% - Énfasis1 2 2 2 2 2 4 3" xfId="9950" xr:uid="{00000000-0005-0000-0000-00001D120000}"/>
    <cellStyle name="40% - Énfasis1 2 2 2 2 2 5" xfId="4286" xr:uid="{00000000-0005-0000-0000-00001E120000}"/>
    <cellStyle name="40% - Énfasis1 2 2 2 2 2 6" xfId="8062" xr:uid="{00000000-0005-0000-0000-00001F120000}"/>
    <cellStyle name="40% - Énfasis1 2 2 2 2 3" xfId="739" xr:uid="{00000000-0005-0000-0000-000020120000}"/>
    <cellStyle name="40% - Énfasis1 2 2 2 2 3 2" xfId="1685" xr:uid="{00000000-0005-0000-0000-000021120000}"/>
    <cellStyle name="40% - Énfasis1 2 2 2 2 3 2 2" xfId="3575" xr:uid="{00000000-0005-0000-0000-000022120000}"/>
    <cellStyle name="40% - Énfasis1 2 2 2 2 3 2 2 2" xfId="7354" xr:uid="{00000000-0005-0000-0000-000023120000}"/>
    <cellStyle name="40% - Énfasis1 2 2 2 2 3 2 2 3" xfId="11130" xr:uid="{00000000-0005-0000-0000-000024120000}"/>
    <cellStyle name="40% - Énfasis1 2 2 2 2 3 2 3" xfId="5466" xr:uid="{00000000-0005-0000-0000-000025120000}"/>
    <cellStyle name="40% - Énfasis1 2 2 2 2 3 2 4" xfId="9242" xr:uid="{00000000-0005-0000-0000-000026120000}"/>
    <cellStyle name="40% - Énfasis1 2 2 2 2 3 3" xfId="2631" xr:uid="{00000000-0005-0000-0000-000027120000}"/>
    <cellStyle name="40% - Énfasis1 2 2 2 2 3 3 2" xfId="6410" xr:uid="{00000000-0005-0000-0000-000028120000}"/>
    <cellStyle name="40% - Énfasis1 2 2 2 2 3 3 3" xfId="10186" xr:uid="{00000000-0005-0000-0000-000029120000}"/>
    <cellStyle name="40% - Énfasis1 2 2 2 2 3 4" xfId="4522" xr:uid="{00000000-0005-0000-0000-00002A120000}"/>
    <cellStyle name="40% - Énfasis1 2 2 2 2 3 5" xfId="8298" xr:uid="{00000000-0005-0000-0000-00002B120000}"/>
    <cellStyle name="40% - Énfasis1 2 2 2 2 4" xfId="1213" xr:uid="{00000000-0005-0000-0000-00002C120000}"/>
    <cellStyle name="40% - Énfasis1 2 2 2 2 4 2" xfId="3103" xr:uid="{00000000-0005-0000-0000-00002D120000}"/>
    <cellStyle name="40% - Énfasis1 2 2 2 2 4 2 2" xfId="6882" xr:uid="{00000000-0005-0000-0000-00002E120000}"/>
    <cellStyle name="40% - Énfasis1 2 2 2 2 4 2 3" xfId="10658" xr:uid="{00000000-0005-0000-0000-00002F120000}"/>
    <cellStyle name="40% - Énfasis1 2 2 2 2 4 3" xfId="4994" xr:uid="{00000000-0005-0000-0000-000030120000}"/>
    <cellStyle name="40% - Énfasis1 2 2 2 2 4 4" xfId="8770" xr:uid="{00000000-0005-0000-0000-000031120000}"/>
    <cellStyle name="40% - Énfasis1 2 2 2 2 5" xfId="2159" xr:uid="{00000000-0005-0000-0000-000032120000}"/>
    <cellStyle name="40% - Énfasis1 2 2 2 2 5 2" xfId="5938" xr:uid="{00000000-0005-0000-0000-000033120000}"/>
    <cellStyle name="40% - Énfasis1 2 2 2 2 5 3" xfId="9714" xr:uid="{00000000-0005-0000-0000-000034120000}"/>
    <cellStyle name="40% - Énfasis1 2 2 2 2 6" xfId="4050" xr:uid="{00000000-0005-0000-0000-000035120000}"/>
    <cellStyle name="40% - Énfasis1 2 2 2 2 7" xfId="7826" xr:uid="{00000000-0005-0000-0000-000036120000}"/>
    <cellStyle name="40% - Énfasis1 2 2 2 3" xfId="383" xr:uid="{00000000-0005-0000-0000-000037120000}"/>
    <cellStyle name="40% - Énfasis1 2 2 2 3 2" xfId="857" xr:uid="{00000000-0005-0000-0000-000038120000}"/>
    <cellStyle name="40% - Énfasis1 2 2 2 3 2 2" xfId="1803" xr:uid="{00000000-0005-0000-0000-000039120000}"/>
    <cellStyle name="40% - Énfasis1 2 2 2 3 2 2 2" xfId="3693" xr:uid="{00000000-0005-0000-0000-00003A120000}"/>
    <cellStyle name="40% - Énfasis1 2 2 2 3 2 2 2 2" xfId="7472" xr:uid="{00000000-0005-0000-0000-00003B120000}"/>
    <cellStyle name="40% - Énfasis1 2 2 2 3 2 2 2 3" xfId="11248" xr:uid="{00000000-0005-0000-0000-00003C120000}"/>
    <cellStyle name="40% - Énfasis1 2 2 2 3 2 2 3" xfId="5584" xr:uid="{00000000-0005-0000-0000-00003D120000}"/>
    <cellStyle name="40% - Énfasis1 2 2 2 3 2 2 4" xfId="9360" xr:uid="{00000000-0005-0000-0000-00003E120000}"/>
    <cellStyle name="40% - Énfasis1 2 2 2 3 2 3" xfId="2749" xr:uid="{00000000-0005-0000-0000-00003F120000}"/>
    <cellStyle name="40% - Énfasis1 2 2 2 3 2 3 2" xfId="6528" xr:uid="{00000000-0005-0000-0000-000040120000}"/>
    <cellStyle name="40% - Énfasis1 2 2 2 3 2 3 3" xfId="10304" xr:uid="{00000000-0005-0000-0000-000041120000}"/>
    <cellStyle name="40% - Énfasis1 2 2 2 3 2 4" xfId="4640" xr:uid="{00000000-0005-0000-0000-000042120000}"/>
    <cellStyle name="40% - Énfasis1 2 2 2 3 2 5" xfId="8416" xr:uid="{00000000-0005-0000-0000-000043120000}"/>
    <cellStyle name="40% - Énfasis1 2 2 2 3 3" xfId="1331" xr:uid="{00000000-0005-0000-0000-000044120000}"/>
    <cellStyle name="40% - Énfasis1 2 2 2 3 3 2" xfId="3221" xr:uid="{00000000-0005-0000-0000-000045120000}"/>
    <cellStyle name="40% - Énfasis1 2 2 2 3 3 2 2" xfId="7000" xr:uid="{00000000-0005-0000-0000-000046120000}"/>
    <cellStyle name="40% - Énfasis1 2 2 2 3 3 2 3" xfId="10776" xr:uid="{00000000-0005-0000-0000-000047120000}"/>
    <cellStyle name="40% - Énfasis1 2 2 2 3 3 3" xfId="5112" xr:uid="{00000000-0005-0000-0000-000048120000}"/>
    <cellStyle name="40% - Énfasis1 2 2 2 3 3 4" xfId="8888" xr:uid="{00000000-0005-0000-0000-000049120000}"/>
    <cellStyle name="40% - Énfasis1 2 2 2 3 4" xfId="2277" xr:uid="{00000000-0005-0000-0000-00004A120000}"/>
    <cellStyle name="40% - Énfasis1 2 2 2 3 4 2" xfId="6056" xr:uid="{00000000-0005-0000-0000-00004B120000}"/>
    <cellStyle name="40% - Énfasis1 2 2 2 3 4 3" xfId="9832" xr:uid="{00000000-0005-0000-0000-00004C120000}"/>
    <cellStyle name="40% - Énfasis1 2 2 2 3 5" xfId="4168" xr:uid="{00000000-0005-0000-0000-00004D120000}"/>
    <cellStyle name="40% - Énfasis1 2 2 2 3 6" xfId="7944" xr:uid="{00000000-0005-0000-0000-00004E120000}"/>
    <cellStyle name="40% - Énfasis1 2 2 2 4" xfId="621" xr:uid="{00000000-0005-0000-0000-00004F120000}"/>
    <cellStyle name="40% - Énfasis1 2 2 2 4 2" xfId="1567" xr:uid="{00000000-0005-0000-0000-000050120000}"/>
    <cellStyle name="40% - Énfasis1 2 2 2 4 2 2" xfId="3457" xr:uid="{00000000-0005-0000-0000-000051120000}"/>
    <cellStyle name="40% - Énfasis1 2 2 2 4 2 2 2" xfId="7236" xr:uid="{00000000-0005-0000-0000-000052120000}"/>
    <cellStyle name="40% - Énfasis1 2 2 2 4 2 2 3" xfId="11012" xr:uid="{00000000-0005-0000-0000-000053120000}"/>
    <cellStyle name="40% - Énfasis1 2 2 2 4 2 3" xfId="5348" xr:uid="{00000000-0005-0000-0000-000054120000}"/>
    <cellStyle name="40% - Énfasis1 2 2 2 4 2 4" xfId="9124" xr:uid="{00000000-0005-0000-0000-000055120000}"/>
    <cellStyle name="40% - Énfasis1 2 2 2 4 3" xfId="2513" xr:uid="{00000000-0005-0000-0000-000056120000}"/>
    <cellStyle name="40% - Énfasis1 2 2 2 4 3 2" xfId="6292" xr:uid="{00000000-0005-0000-0000-000057120000}"/>
    <cellStyle name="40% - Énfasis1 2 2 2 4 3 3" xfId="10068" xr:uid="{00000000-0005-0000-0000-000058120000}"/>
    <cellStyle name="40% - Énfasis1 2 2 2 4 4" xfId="4404" xr:uid="{00000000-0005-0000-0000-000059120000}"/>
    <cellStyle name="40% - Énfasis1 2 2 2 4 5" xfId="8180" xr:uid="{00000000-0005-0000-0000-00005A120000}"/>
    <cellStyle name="40% - Énfasis1 2 2 2 5" xfId="1095" xr:uid="{00000000-0005-0000-0000-00005B120000}"/>
    <cellStyle name="40% - Énfasis1 2 2 2 5 2" xfId="2985" xr:uid="{00000000-0005-0000-0000-00005C120000}"/>
    <cellStyle name="40% - Énfasis1 2 2 2 5 2 2" xfId="6764" xr:uid="{00000000-0005-0000-0000-00005D120000}"/>
    <cellStyle name="40% - Énfasis1 2 2 2 5 2 3" xfId="10540" xr:uid="{00000000-0005-0000-0000-00005E120000}"/>
    <cellStyle name="40% - Énfasis1 2 2 2 5 3" xfId="4876" xr:uid="{00000000-0005-0000-0000-00005F120000}"/>
    <cellStyle name="40% - Énfasis1 2 2 2 5 4" xfId="8652" xr:uid="{00000000-0005-0000-0000-000060120000}"/>
    <cellStyle name="40% - Énfasis1 2 2 2 6" xfId="2041" xr:uid="{00000000-0005-0000-0000-000061120000}"/>
    <cellStyle name="40% - Énfasis1 2 2 2 6 2" xfId="5820" xr:uid="{00000000-0005-0000-0000-000062120000}"/>
    <cellStyle name="40% - Énfasis1 2 2 2 6 3" xfId="9596" xr:uid="{00000000-0005-0000-0000-000063120000}"/>
    <cellStyle name="40% - Énfasis1 2 2 2 7" xfId="3932" xr:uid="{00000000-0005-0000-0000-000064120000}"/>
    <cellStyle name="40% - Énfasis1 2 2 2 8" xfId="7708" xr:uid="{00000000-0005-0000-0000-000065120000}"/>
    <cellStyle name="40% - Énfasis1 2 2 3" xfId="204" xr:uid="{00000000-0005-0000-0000-000066120000}"/>
    <cellStyle name="40% - Énfasis1 2 2 3 2" xfId="442" xr:uid="{00000000-0005-0000-0000-000067120000}"/>
    <cellStyle name="40% - Énfasis1 2 2 3 2 2" xfId="916" xr:uid="{00000000-0005-0000-0000-000068120000}"/>
    <cellStyle name="40% - Énfasis1 2 2 3 2 2 2" xfId="1862" xr:uid="{00000000-0005-0000-0000-000069120000}"/>
    <cellStyle name="40% - Énfasis1 2 2 3 2 2 2 2" xfId="3752" xr:uid="{00000000-0005-0000-0000-00006A120000}"/>
    <cellStyle name="40% - Énfasis1 2 2 3 2 2 2 2 2" xfId="7531" xr:uid="{00000000-0005-0000-0000-00006B120000}"/>
    <cellStyle name="40% - Énfasis1 2 2 3 2 2 2 2 3" xfId="11307" xr:uid="{00000000-0005-0000-0000-00006C120000}"/>
    <cellStyle name="40% - Énfasis1 2 2 3 2 2 2 3" xfId="5643" xr:uid="{00000000-0005-0000-0000-00006D120000}"/>
    <cellStyle name="40% - Énfasis1 2 2 3 2 2 2 4" xfId="9419" xr:uid="{00000000-0005-0000-0000-00006E120000}"/>
    <cellStyle name="40% - Énfasis1 2 2 3 2 2 3" xfId="2808" xr:uid="{00000000-0005-0000-0000-00006F120000}"/>
    <cellStyle name="40% - Énfasis1 2 2 3 2 2 3 2" xfId="6587" xr:uid="{00000000-0005-0000-0000-000070120000}"/>
    <cellStyle name="40% - Énfasis1 2 2 3 2 2 3 3" xfId="10363" xr:uid="{00000000-0005-0000-0000-000071120000}"/>
    <cellStyle name="40% - Énfasis1 2 2 3 2 2 4" xfId="4699" xr:uid="{00000000-0005-0000-0000-000072120000}"/>
    <cellStyle name="40% - Énfasis1 2 2 3 2 2 5" xfId="8475" xr:uid="{00000000-0005-0000-0000-000073120000}"/>
    <cellStyle name="40% - Énfasis1 2 2 3 2 3" xfId="1390" xr:uid="{00000000-0005-0000-0000-000074120000}"/>
    <cellStyle name="40% - Énfasis1 2 2 3 2 3 2" xfId="3280" xr:uid="{00000000-0005-0000-0000-000075120000}"/>
    <cellStyle name="40% - Énfasis1 2 2 3 2 3 2 2" xfId="7059" xr:uid="{00000000-0005-0000-0000-000076120000}"/>
    <cellStyle name="40% - Énfasis1 2 2 3 2 3 2 3" xfId="10835" xr:uid="{00000000-0005-0000-0000-000077120000}"/>
    <cellStyle name="40% - Énfasis1 2 2 3 2 3 3" xfId="5171" xr:uid="{00000000-0005-0000-0000-000078120000}"/>
    <cellStyle name="40% - Énfasis1 2 2 3 2 3 4" xfId="8947" xr:uid="{00000000-0005-0000-0000-000079120000}"/>
    <cellStyle name="40% - Énfasis1 2 2 3 2 4" xfId="2336" xr:uid="{00000000-0005-0000-0000-00007A120000}"/>
    <cellStyle name="40% - Énfasis1 2 2 3 2 4 2" xfId="6115" xr:uid="{00000000-0005-0000-0000-00007B120000}"/>
    <cellStyle name="40% - Énfasis1 2 2 3 2 4 3" xfId="9891" xr:uid="{00000000-0005-0000-0000-00007C120000}"/>
    <cellStyle name="40% - Énfasis1 2 2 3 2 5" xfId="4227" xr:uid="{00000000-0005-0000-0000-00007D120000}"/>
    <cellStyle name="40% - Énfasis1 2 2 3 2 6" xfId="8003" xr:uid="{00000000-0005-0000-0000-00007E120000}"/>
    <cellStyle name="40% - Énfasis1 2 2 3 3" xfId="680" xr:uid="{00000000-0005-0000-0000-00007F120000}"/>
    <cellStyle name="40% - Énfasis1 2 2 3 3 2" xfId="1626" xr:uid="{00000000-0005-0000-0000-000080120000}"/>
    <cellStyle name="40% - Énfasis1 2 2 3 3 2 2" xfId="3516" xr:uid="{00000000-0005-0000-0000-000081120000}"/>
    <cellStyle name="40% - Énfasis1 2 2 3 3 2 2 2" xfId="7295" xr:uid="{00000000-0005-0000-0000-000082120000}"/>
    <cellStyle name="40% - Énfasis1 2 2 3 3 2 2 3" xfId="11071" xr:uid="{00000000-0005-0000-0000-000083120000}"/>
    <cellStyle name="40% - Énfasis1 2 2 3 3 2 3" xfId="5407" xr:uid="{00000000-0005-0000-0000-000084120000}"/>
    <cellStyle name="40% - Énfasis1 2 2 3 3 2 4" xfId="9183" xr:uid="{00000000-0005-0000-0000-000085120000}"/>
    <cellStyle name="40% - Énfasis1 2 2 3 3 3" xfId="2572" xr:uid="{00000000-0005-0000-0000-000086120000}"/>
    <cellStyle name="40% - Énfasis1 2 2 3 3 3 2" xfId="6351" xr:uid="{00000000-0005-0000-0000-000087120000}"/>
    <cellStyle name="40% - Énfasis1 2 2 3 3 3 3" xfId="10127" xr:uid="{00000000-0005-0000-0000-000088120000}"/>
    <cellStyle name="40% - Énfasis1 2 2 3 3 4" xfId="4463" xr:uid="{00000000-0005-0000-0000-000089120000}"/>
    <cellStyle name="40% - Énfasis1 2 2 3 3 5" xfId="8239" xr:uid="{00000000-0005-0000-0000-00008A120000}"/>
    <cellStyle name="40% - Énfasis1 2 2 3 4" xfId="1154" xr:uid="{00000000-0005-0000-0000-00008B120000}"/>
    <cellStyle name="40% - Énfasis1 2 2 3 4 2" xfId="3044" xr:uid="{00000000-0005-0000-0000-00008C120000}"/>
    <cellStyle name="40% - Énfasis1 2 2 3 4 2 2" xfId="6823" xr:uid="{00000000-0005-0000-0000-00008D120000}"/>
    <cellStyle name="40% - Énfasis1 2 2 3 4 2 3" xfId="10599" xr:uid="{00000000-0005-0000-0000-00008E120000}"/>
    <cellStyle name="40% - Énfasis1 2 2 3 4 3" xfId="4935" xr:uid="{00000000-0005-0000-0000-00008F120000}"/>
    <cellStyle name="40% - Énfasis1 2 2 3 4 4" xfId="8711" xr:uid="{00000000-0005-0000-0000-000090120000}"/>
    <cellStyle name="40% - Énfasis1 2 2 3 5" xfId="2100" xr:uid="{00000000-0005-0000-0000-000091120000}"/>
    <cellStyle name="40% - Énfasis1 2 2 3 5 2" xfId="5879" xr:uid="{00000000-0005-0000-0000-000092120000}"/>
    <cellStyle name="40% - Énfasis1 2 2 3 5 3" xfId="9655" xr:uid="{00000000-0005-0000-0000-000093120000}"/>
    <cellStyle name="40% - Énfasis1 2 2 3 6" xfId="3991" xr:uid="{00000000-0005-0000-0000-000094120000}"/>
    <cellStyle name="40% - Énfasis1 2 2 3 7" xfId="7767" xr:uid="{00000000-0005-0000-0000-000095120000}"/>
    <cellStyle name="40% - Énfasis1 2 2 4" xfId="324" xr:uid="{00000000-0005-0000-0000-000096120000}"/>
    <cellStyle name="40% - Énfasis1 2 2 4 2" xfId="798" xr:uid="{00000000-0005-0000-0000-000097120000}"/>
    <cellStyle name="40% - Énfasis1 2 2 4 2 2" xfId="1744" xr:uid="{00000000-0005-0000-0000-000098120000}"/>
    <cellStyle name="40% - Énfasis1 2 2 4 2 2 2" xfId="3634" xr:uid="{00000000-0005-0000-0000-000099120000}"/>
    <cellStyle name="40% - Énfasis1 2 2 4 2 2 2 2" xfId="7413" xr:uid="{00000000-0005-0000-0000-00009A120000}"/>
    <cellStyle name="40% - Énfasis1 2 2 4 2 2 2 3" xfId="11189" xr:uid="{00000000-0005-0000-0000-00009B120000}"/>
    <cellStyle name="40% - Énfasis1 2 2 4 2 2 3" xfId="5525" xr:uid="{00000000-0005-0000-0000-00009C120000}"/>
    <cellStyle name="40% - Énfasis1 2 2 4 2 2 4" xfId="9301" xr:uid="{00000000-0005-0000-0000-00009D120000}"/>
    <cellStyle name="40% - Énfasis1 2 2 4 2 3" xfId="2690" xr:uid="{00000000-0005-0000-0000-00009E120000}"/>
    <cellStyle name="40% - Énfasis1 2 2 4 2 3 2" xfId="6469" xr:uid="{00000000-0005-0000-0000-00009F120000}"/>
    <cellStyle name="40% - Énfasis1 2 2 4 2 3 3" xfId="10245" xr:uid="{00000000-0005-0000-0000-0000A0120000}"/>
    <cellStyle name="40% - Énfasis1 2 2 4 2 4" xfId="4581" xr:uid="{00000000-0005-0000-0000-0000A1120000}"/>
    <cellStyle name="40% - Énfasis1 2 2 4 2 5" xfId="8357" xr:uid="{00000000-0005-0000-0000-0000A2120000}"/>
    <cellStyle name="40% - Énfasis1 2 2 4 3" xfId="1272" xr:uid="{00000000-0005-0000-0000-0000A3120000}"/>
    <cellStyle name="40% - Énfasis1 2 2 4 3 2" xfId="3162" xr:uid="{00000000-0005-0000-0000-0000A4120000}"/>
    <cellStyle name="40% - Énfasis1 2 2 4 3 2 2" xfId="6941" xr:uid="{00000000-0005-0000-0000-0000A5120000}"/>
    <cellStyle name="40% - Énfasis1 2 2 4 3 2 3" xfId="10717" xr:uid="{00000000-0005-0000-0000-0000A6120000}"/>
    <cellStyle name="40% - Énfasis1 2 2 4 3 3" xfId="5053" xr:uid="{00000000-0005-0000-0000-0000A7120000}"/>
    <cellStyle name="40% - Énfasis1 2 2 4 3 4" xfId="8829" xr:uid="{00000000-0005-0000-0000-0000A8120000}"/>
    <cellStyle name="40% - Énfasis1 2 2 4 4" xfId="2218" xr:uid="{00000000-0005-0000-0000-0000A9120000}"/>
    <cellStyle name="40% - Énfasis1 2 2 4 4 2" xfId="5997" xr:uid="{00000000-0005-0000-0000-0000AA120000}"/>
    <cellStyle name="40% - Énfasis1 2 2 4 4 3" xfId="9773" xr:uid="{00000000-0005-0000-0000-0000AB120000}"/>
    <cellStyle name="40% - Énfasis1 2 2 4 5" xfId="4109" xr:uid="{00000000-0005-0000-0000-0000AC120000}"/>
    <cellStyle name="40% - Énfasis1 2 2 4 6" xfId="7885" xr:uid="{00000000-0005-0000-0000-0000AD120000}"/>
    <cellStyle name="40% - Énfasis1 2 2 5" xfId="562" xr:uid="{00000000-0005-0000-0000-0000AE120000}"/>
    <cellStyle name="40% - Énfasis1 2 2 5 2" xfId="1508" xr:uid="{00000000-0005-0000-0000-0000AF120000}"/>
    <cellStyle name="40% - Énfasis1 2 2 5 2 2" xfId="3398" xr:uid="{00000000-0005-0000-0000-0000B0120000}"/>
    <cellStyle name="40% - Énfasis1 2 2 5 2 2 2" xfId="7177" xr:uid="{00000000-0005-0000-0000-0000B1120000}"/>
    <cellStyle name="40% - Énfasis1 2 2 5 2 2 3" xfId="10953" xr:uid="{00000000-0005-0000-0000-0000B2120000}"/>
    <cellStyle name="40% - Énfasis1 2 2 5 2 3" xfId="5289" xr:uid="{00000000-0005-0000-0000-0000B3120000}"/>
    <cellStyle name="40% - Énfasis1 2 2 5 2 4" xfId="9065" xr:uid="{00000000-0005-0000-0000-0000B4120000}"/>
    <cellStyle name="40% - Énfasis1 2 2 5 3" xfId="2454" xr:uid="{00000000-0005-0000-0000-0000B5120000}"/>
    <cellStyle name="40% - Énfasis1 2 2 5 3 2" xfId="6233" xr:uid="{00000000-0005-0000-0000-0000B6120000}"/>
    <cellStyle name="40% - Énfasis1 2 2 5 3 3" xfId="10009" xr:uid="{00000000-0005-0000-0000-0000B7120000}"/>
    <cellStyle name="40% - Énfasis1 2 2 5 4" xfId="4345" xr:uid="{00000000-0005-0000-0000-0000B8120000}"/>
    <cellStyle name="40% - Énfasis1 2 2 5 5" xfId="8121" xr:uid="{00000000-0005-0000-0000-0000B9120000}"/>
    <cellStyle name="40% - Énfasis1 2 2 6" xfId="1036" xr:uid="{00000000-0005-0000-0000-0000BA120000}"/>
    <cellStyle name="40% - Énfasis1 2 2 6 2" xfId="2926" xr:uid="{00000000-0005-0000-0000-0000BB120000}"/>
    <cellStyle name="40% - Énfasis1 2 2 6 2 2" xfId="6705" xr:uid="{00000000-0005-0000-0000-0000BC120000}"/>
    <cellStyle name="40% - Énfasis1 2 2 6 2 3" xfId="10481" xr:uid="{00000000-0005-0000-0000-0000BD120000}"/>
    <cellStyle name="40% - Énfasis1 2 2 6 3" xfId="4817" xr:uid="{00000000-0005-0000-0000-0000BE120000}"/>
    <cellStyle name="40% - Énfasis1 2 2 6 4" xfId="8593" xr:uid="{00000000-0005-0000-0000-0000BF120000}"/>
    <cellStyle name="40% - Énfasis1 2 2 7" xfId="1982" xr:uid="{00000000-0005-0000-0000-0000C0120000}"/>
    <cellStyle name="40% - Énfasis1 2 2 7 2" xfId="5761" xr:uid="{00000000-0005-0000-0000-0000C1120000}"/>
    <cellStyle name="40% - Énfasis1 2 2 7 3" xfId="9537" xr:uid="{00000000-0005-0000-0000-0000C2120000}"/>
    <cellStyle name="40% - Énfasis1 2 2 8" xfId="3873" xr:uid="{00000000-0005-0000-0000-0000C3120000}"/>
    <cellStyle name="40% - Énfasis1 2 2 9" xfId="7649" xr:uid="{00000000-0005-0000-0000-0000C4120000}"/>
    <cellStyle name="40% - Énfasis1 2 3" xfId="111" xr:uid="{00000000-0005-0000-0000-0000C5120000}"/>
    <cellStyle name="40% - Énfasis1 2 3 2" xfId="234" xr:uid="{00000000-0005-0000-0000-0000C6120000}"/>
    <cellStyle name="40% - Énfasis1 2 3 2 2" xfId="472" xr:uid="{00000000-0005-0000-0000-0000C7120000}"/>
    <cellStyle name="40% - Énfasis1 2 3 2 2 2" xfId="946" xr:uid="{00000000-0005-0000-0000-0000C8120000}"/>
    <cellStyle name="40% - Énfasis1 2 3 2 2 2 2" xfId="1892" xr:uid="{00000000-0005-0000-0000-0000C9120000}"/>
    <cellStyle name="40% - Énfasis1 2 3 2 2 2 2 2" xfId="3782" xr:uid="{00000000-0005-0000-0000-0000CA120000}"/>
    <cellStyle name="40% - Énfasis1 2 3 2 2 2 2 2 2" xfId="7561" xr:uid="{00000000-0005-0000-0000-0000CB120000}"/>
    <cellStyle name="40% - Énfasis1 2 3 2 2 2 2 2 3" xfId="11337" xr:uid="{00000000-0005-0000-0000-0000CC120000}"/>
    <cellStyle name="40% - Énfasis1 2 3 2 2 2 2 3" xfId="5673" xr:uid="{00000000-0005-0000-0000-0000CD120000}"/>
    <cellStyle name="40% - Énfasis1 2 3 2 2 2 2 4" xfId="9449" xr:uid="{00000000-0005-0000-0000-0000CE120000}"/>
    <cellStyle name="40% - Énfasis1 2 3 2 2 2 3" xfId="2838" xr:uid="{00000000-0005-0000-0000-0000CF120000}"/>
    <cellStyle name="40% - Énfasis1 2 3 2 2 2 3 2" xfId="6617" xr:uid="{00000000-0005-0000-0000-0000D0120000}"/>
    <cellStyle name="40% - Énfasis1 2 3 2 2 2 3 3" xfId="10393" xr:uid="{00000000-0005-0000-0000-0000D1120000}"/>
    <cellStyle name="40% - Énfasis1 2 3 2 2 2 4" xfId="4729" xr:uid="{00000000-0005-0000-0000-0000D2120000}"/>
    <cellStyle name="40% - Énfasis1 2 3 2 2 2 5" xfId="8505" xr:uid="{00000000-0005-0000-0000-0000D3120000}"/>
    <cellStyle name="40% - Énfasis1 2 3 2 2 3" xfId="1420" xr:uid="{00000000-0005-0000-0000-0000D4120000}"/>
    <cellStyle name="40% - Énfasis1 2 3 2 2 3 2" xfId="3310" xr:uid="{00000000-0005-0000-0000-0000D5120000}"/>
    <cellStyle name="40% - Énfasis1 2 3 2 2 3 2 2" xfId="7089" xr:uid="{00000000-0005-0000-0000-0000D6120000}"/>
    <cellStyle name="40% - Énfasis1 2 3 2 2 3 2 3" xfId="10865" xr:uid="{00000000-0005-0000-0000-0000D7120000}"/>
    <cellStyle name="40% - Énfasis1 2 3 2 2 3 3" xfId="5201" xr:uid="{00000000-0005-0000-0000-0000D8120000}"/>
    <cellStyle name="40% - Énfasis1 2 3 2 2 3 4" xfId="8977" xr:uid="{00000000-0005-0000-0000-0000D9120000}"/>
    <cellStyle name="40% - Énfasis1 2 3 2 2 4" xfId="2366" xr:uid="{00000000-0005-0000-0000-0000DA120000}"/>
    <cellStyle name="40% - Énfasis1 2 3 2 2 4 2" xfId="6145" xr:uid="{00000000-0005-0000-0000-0000DB120000}"/>
    <cellStyle name="40% - Énfasis1 2 3 2 2 4 3" xfId="9921" xr:uid="{00000000-0005-0000-0000-0000DC120000}"/>
    <cellStyle name="40% - Énfasis1 2 3 2 2 5" xfId="4257" xr:uid="{00000000-0005-0000-0000-0000DD120000}"/>
    <cellStyle name="40% - Énfasis1 2 3 2 2 6" xfId="8033" xr:uid="{00000000-0005-0000-0000-0000DE120000}"/>
    <cellStyle name="40% - Énfasis1 2 3 2 3" xfId="710" xr:uid="{00000000-0005-0000-0000-0000DF120000}"/>
    <cellStyle name="40% - Énfasis1 2 3 2 3 2" xfId="1656" xr:uid="{00000000-0005-0000-0000-0000E0120000}"/>
    <cellStyle name="40% - Énfasis1 2 3 2 3 2 2" xfId="3546" xr:uid="{00000000-0005-0000-0000-0000E1120000}"/>
    <cellStyle name="40% - Énfasis1 2 3 2 3 2 2 2" xfId="7325" xr:uid="{00000000-0005-0000-0000-0000E2120000}"/>
    <cellStyle name="40% - Énfasis1 2 3 2 3 2 2 3" xfId="11101" xr:uid="{00000000-0005-0000-0000-0000E3120000}"/>
    <cellStyle name="40% - Énfasis1 2 3 2 3 2 3" xfId="5437" xr:uid="{00000000-0005-0000-0000-0000E4120000}"/>
    <cellStyle name="40% - Énfasis1 2 3 2 3 2 4" xfId="9213" xr:uid="{00000000-0005-0000-0000-0000E5120000}"/>
    <cellStyle name="40% - Énfasis1 2 3 2 3 3" xfId="2602" xr:uid="{00000000-0005-0000-0000-0000E6120000}"/>
    <cellStyle name="40% - Énfasis1 2 3 2 3 3 2" xfId="6381" xr:uid="{00000000-0005-0000-0000-0000E7120000}"/>
    <cellStyle name="40% - Énfasis1 2 3 2 3 3 3" xfId="10157" xr:uid="{00000000-0005-0000-0000-0000E8120000}"/>
    <cellStyle name="40% - Énfasis1 2 3 2 3 4" xfId="4493" xr:uid="{00000000-0005-0000-0000-0000E9120000}"/>
    <cellStyle name="40% - Énfasis1 2 3 2 3 5" xfId="8269" xr:uid="{00000000-0005-0000-0000-0000EA120000}"/>
    <cellStyle name="40% - Énfasis1 2 3 2 4" xfId="1184" xr:uid="{00000000-0005-0000-0000-0000EB120000}"/>
    <cellStyle name="40% - Énfasis1 2 3 2 4 2" xfId="3074" xr:uid="{00000000-0005-0000-0000-0000EC120000}"/>
    <cellStyle name="40% - Énfasis1 2 3 2 4 2 2" xfId="6853" xr:uid="{00000000-0005-0000-0000-0000ED120000}"/>
    <cellStyle name="40% - Énfasis1 2 3 2 4 2 3" xfId="10629" xr:uid="{00000000-0005-0000-0000-0000EE120000}"/>
    <cellStyle name="40% - Énfasis1 2 3 2 4 3" xfId="4965" xr:uid="{00000000-0005-0000-0000-0000EF120000}"/>
    <cellStyle name="40% - Énfasis1 2 3 2 4 4" xfId="8741" xr:uid="{00000000-0005-0000-0000-0000F0120000}"/>
    <cellStyle name="40% - Énfasis1 2 3 2 5" xfId="2130" xr:uid="{00000000-0005-0000-0000-0000F1120000}"/>
    <cellStyle name="40% - Énfasis1 2 3 2 5 2" xfId="5909" xr:uid="{00000000-0005-0000-0000-0000F2120000}"/>
    <cellStyle name="40% - Énfasis1 2 3 2 5 3" xfId="9685" xr:uid="{00000000-0005-0000-0000-0000F3120000}"/>
    <cellStyle name="40% - Énfasis1 2 3 2 6" xfId="4021" xr:uid="{00000000-0005-0000-0000-0000F4120000}"/>
    <cellStyle name="40% - Énfasis1 2 3 2 7" xfId="7797" xr:uid="{00000000-0005-0000-0000-0000F5120000}"/>
    <cellStyle name="40% - Énfasis1 2 3 3" xfId="354" xr:uid="{00000000-0005-0000-0000-0000F6120000}"/>
    <cellStyle name="40% - Énfasis1 2 3 3 2" xfId="828" xr:uid="{00000000-0005-0000-0000-0000F7120000}"/>
    <cellStyle name="40% - Énfasis1 2 3 3 2 2" xfId="1774" xr:uid="{00000000-0005-0000-0000-0000F8120000}"/>
    <cellStyle name="40% - Énfasis1 2 3 3 2 2 2" xfId="3664" xr:uid="{00000000-0005-0000-0000-0000F9120000}"/>
    <cellStyle name="40% - Énfasis1 2 3 3 2 2 2 2" xfId="7443" xr:uid="{00000000-0005-0000-0000-0000FA120000}"/>
    <cellStyle name="40% - Énfasis1 2 3 3 2 2 2 3" xfId="11219" xr:uid="{00000000-0005-0000-0000-0000FB120000}"/>
    <cellStyle name="40% - Énfasis1 2 3 3 2 2 3" xfId="5555" xr:uid="{00000000-0005-0000-0000-0000FC120000}"/>
    <cellStyle name="40% - Énfasis1 2 3 3 2 2 4" xfId="9331" xr:uid="{00000000-0005-0000-0000-0000FD120000}"/>
    <cellStyle name="40% - Énfasis1 2 3 3 2 3" xfId="2720" xr:uid="{00000000-0005-0000-0000-0000FE120000}"/>
    <cellStyle name="40% - Énfasis1 2 3 3 2 3 2" xfId="6499" xr:uid="{00000000-0005-0000-0000-0000FF120000}"/>
    <cellStyle name="40% - Énfasis1 2 3 3 2 3 3" xfId="10275" xr:uid="{00000000-0005-0000-0000-000000130000}"/>
    <cellStyle name="40% - Énfasis1 2 3 3 2 4" xfId="4611" xr:uid="{00000000-0005-0000-0000-000001130000}"/>
    <cellStyle name="40% - Énfasis1 2 3 3 2 5" xfId="8387" xr:uid="{00000000-0005-0000-0000-000002130000}"/>
    <cellStyle name="40% - Énfasis1 2 3 3 3" xfId="1302" xr:uid="{00000000-0005-0000-0000-000003130000}"/>
    <cellStyle name="40% - Énfasis1 2 3 3 3 2" xfId="3192" xr:uid="{00000000-0005-0000-0000-000004130000}"/>
    <cellStyle name="40% - Énfasis1 2 3 3 3 2 2" xfId="6971" xr:uid="{00000000-0005-0000-0000-000005130000}"/>
    <cellStyle name="40% - Énfasis1 2 3 3 3 2 3" xfId="10747" xr:uid="{00000000-0005-0000-0000-000006130000}"/>
    <cellStyle name="40% - Énfasis1 2 3 3 3 3" xfId="5083" xr:uid="{00000000-0005-0000-0000-000007130000}"/>
    <cellStyle name="40% - Énfasis1 2 3 3 3 4" xfId="8859" xr:uid="{00000000-0005-0000-0000-000008130000}"/>
    <cellStyle name="40% - Énfasis1 2 3 3 4" xfId="2248" xr:uid="{00000000-0005-0000-0000-000009130000}"/>
    <cellStyle name="40% - Énfasis1 2 3 3 4 2" xfId="6027" xr:uid="{00000000-0005-0000-0000-00000A130000}"/>
    <cellStyle name="40% - Énfasis1 2 3 3 4 3" xfId="9803" xr:uid="{00000000-0005-0000-0000-00000B130000}"/>
    <cellStyle name="40% - Énfasis1 2 3 3 5" xfId="4139" xr:uid="{00000000-0005-0000-0000-00000C130000}"/>
    <cellStyle name="40% - Énfasis1 2 3 3 6" xfId="7915" xr:uid="{00000000-0005-0000-0000-00000D130000}"/>
    <cellStyle name="40% - Énfasis1 2 3 4" xfId="592" xr:uid="{00000000-0005-0000-0000-00000E130000}"/>
    <cellStyle name="40% - Énfasis1 2 3 4 2" xfId="1538" xr:uid="{00000000-0005-0000-0000-00000F130000}"/>
    <cellStyle name="40% - Énfasis1 2 3 4 2 2" xfId="3428" xr:uid="{00000000-0005-0000-0000-000010130000}"/>
    <cellStyle name="40% - Énfasis1 2 3 4 2 2 2" xfId="7207" xr:uid="{00000000-0005-0000-0000-000011130000}"/>
    <cellStyle name="40% - Énfasis1 2 3 4 2 2 3" xfId="10983" xr:uid="{00000000-0005-0000-0000-000012130000}"/>
    <cellStyle name="40% - Énfasis1 2 3 4 2 3" xfId="5319" xr:uid="{00000000-0005-0000-0000-000013130000}"/>
    <cellStyle name="40% - Énfasis1 2 3 4 2 4" xfId="9095" xr:uid="{00000000-0005-0000-0000-000014130000}"/>
    <cellStyle name="40% - Énfasis1 2 3 4 3" xfId="2484" xr:uid="{00000000-0005-0000-0000-000015130000}"/>
    <cellStyle name="40% - Énfasis1 2 3 4 3 2" xfId="6263" xr:uid="{00000000-0005-0000-0000-000016130000}"/>
    <cellStyle name="40% - Énfasis1 2 3 4 3 3" xfId="10039" xr:uid="{00000000-0005-0000-0000-000017130000}"/>
    <cellStyle name="40% - Énfasis1 2 3 4 4" xfId="4375" xr:uid="{00000000-0005-0000-0000-000018130000}"/>
    <cellStyle name="40% - Énfasis1 2 3 4 5" xfId="8151" xr:uid="{00000000-0005-0000-0000-000019130000}"/>
    <cellStyle name="40% - Énfasis1 2 3 5" xfId="1066" xr:uid="{00000000-0005-0000-0000-00001A130000}"/>
    <cellStyle name="40% - Énfasis1 2 3 5 2" xfId="2956" xr:uid="{00000000-0005-0000-0000-00001B130000}"/>
    <cellStyle name="40% - Énfasis1 2 3 5 2 2" xfId="6735" xr:uid="{00000000-0005-0000-0000-00001C130000}"/>
    <cellStyle name="40% - Énfasis1 2 3 5 2 3" xfId="10511" xr:uid="{00000000-0005-0000-0000-00001D130000}"/>
    <cellStyle name="40% - Énfasis1 2 3 5 3" xfId="4847" xr:uid="{00000000-0005-0000-0000-00001E130000}"/>
    <cellStyle name="40% - Énfasis1 2 3 5 4" xfId="8623" xr:uid="{00000000-0005-0000-0000-00001F130000}"/>
    <cellStyle name="40% - Énfasis1 2 3 6" xfId="2012" xr:uid="{00000000-0005-0000-0000-000020130000}"/>
    <cellStyle name="40% - Énfasis1 2 3 6 2" xfId="5791" xr:uid="{00000000-0005-0000-0000-000021130000}"/>
    <cellStyle name="40% - Énfasis1 2 3 6 3" xfId="9567" xr:uid="{00000000-0005-0000-0000-000022130000}"/>
    <cellStyle name="40% - Énfasis1 2 3 7" xfId="3903" xr:uid="{00000000-0005-0000-0000-000023130000}"/>
    <cellStyle name="40% - Énfasis1 2 3 8" xfId="7679" xr:uid="{00000000-0005-0000-0000-000024130000}"/>
    <cellStyle name="40% - Énfasis1 2 4" xfId="175" xr:uid="{00000000-0005-0000-0000-000025130000}"/>
    <cellStyle name="40% - Énfasis1 2 4 2" xfId="413" xr:uid="{00000000-0005-0000-0000-000026130000}"/>
    <cellStyle name="40% - Énfasis1 2 4 2 2" xfId="887" xr:uid="{00000000-0005-0000-0000-000027130000}"/>
    <cellStyle name="40% - Énfasis1 2 4 2 2 2" xfId="1833" xr:uid="{00000000-0005-0000-0000-000028130000}"/>
    <cellStyle name="40% - Énfasis1 2 4 2 2 2 2" xfId="3723" xr:uid="{00000000-0005-0000-0000-000029130000}"/>
    <cellStyle name="40% - Énfasis1 2 4 2 2 2 2 2" xfId="7502" xr:uid="{00000000-0005-0000-0000-00002A130000}"/>
    <cellStyle name="40% - Énfasis1 2 4 2 2 2 2 3" xfId="11278" xr:uid="{00000000-0005-0000-0000-00002B130000}"/>
    <cellStyle name="40% - Énfasis1 2 4 2 2 2 3" xfId="5614" xr:uid="{00000000-0005-0000-0000-00002C130000}"/>
    <cellStyle name="40% - Énfasis1 2 4 2 2 2 4" xfId="9390" xr:uid="{00000000-0005-0000-0000-00002D130000}"/>
    <cellStyle name="40% - Énfasis1 2 4 2 2 3" xfId="2779" xr:uid="{00000000-0005-0000-0000-00002E130000}"/>
    <cellStyle name="40% - Énfasis1 2 4 2 2 3 2" xfId="6558" xr:uid="{00000000-0005-0000-0000-00002F130000}"/>
    <cellStyle name="40% - Énfasis1 2 4 2 2 3 3" xfId="10334" xr:uid="{00000000-0005-0000-0000-000030130000}"/>
    <cellStyle name="40% - Énfasis1 2 4 2 2 4" xfId="4670" xr:uid="{00000000-0005-0000-0000-000031130000}"/>
    <cellStyle name="40% - Énfasis1 2 4 2 2 5" xfId="8446" xr:uid="{00000000-0005-0000-0000-000032130000}"/>
    <cellStyle name="40% - Énfasis1 2 4 2 3" xfId="1361" xr:uid="{00000000-0005-0000-0000-000033130000}"/>
    <cellStyle name="40% - Énfasis1 2 4 2 3 2" xfId="3251" xr:uid="{00000000-0005-0000-0000-000034130000}"/>
    <cellStyle name="40% - Énfasis1 2 4 2 3 2 2" xfId="7030" xr:uid="{00000000-0005-0000-0000-000035130000}"/>
    <cellStyle name="40% - Énfasis1 2 4 2 3 2 3" xfId="10806" xr:uid="{00000000-0005-0000-0000-000036130000}"/>
    <cellStyle name="40% - Énfasis1 2 4 2 3 3" xfId="5142" xr:uid="{00000000-0005-0000-0000-000037130000}"/>
    <cellStyle name="40% - Énfasis1 2 4 2 3 4" xfId="8918" xr:uid="{00000000-0005-0000-0000-000038130000}"/>
    <cellStyle name="40% - Énfasis1 2 4 2 4" xfId="2307" xr:uid="{00000000-0005-0000-0000-000039130000}"/>
    <cellStyle name="40% - Énfasis1 2 4 2 4 2" xfId="6086" xr:uid="{00000000-0005-0000-0000-00003A130000}"/>
    <cellStyle name="40% - Énfasis1 2 4 2 4 3" xfId="9862" xr:uid="{00000000-0005-0000-0000-00003B130000}"/>
    <cellStyle name="40% - Énfasis1 2 4 2 5" xfId="4198" xr:uid="{00000000-0005-0000-0000-00003C130000}"/>
    <cellStyle name="40% - Énfasis1 2 4 2 6" xfId="7974" xr:uid="{00000000-0005-0000-0000-00003D130000}"/>
    <cellStyle name="40% - Énfasis1 2 4 3" xfId="651" xr:uid="{00000000-0005-0000-0000-00003E130000}"/>
    <cellStyle name="40% - Énfasis1 2 4 3 2" xfId="1597" xr:uid="{00000000-0005-0000-0000-00003F130000}"/>
    <cellStyle name="40% - Énfasis1 2 4 3 2 2" xfId="3487" xr:uid="{00000000-0005-0000-0000-000040130000}"/>
    <cellStyle name="40% - Énfasis1 2 4 3 2 2 2" xfId="7266" xr:uid="{00000000-0005-0000-0000-000041130000}"/>
    <cellStyle name="40% - Énfasis1 2 4 3 2 2 3" xfId="11042" xr:uid="{00000000-0005-0000-0000-000042130000}"/>
    <cellStyle name="40% - Énfasis1 2 4 3 2 3" xfId="5378" xr:uid="{00000000-0005-0000-0000-000043130000}"/>
    <cellStyle name="40% - Énfasis1 2 4 3 2 4" xfId="9154" xr:uid="{00000000-0005-0000-0000-000044130000}"/>
    <cellStyle name="40% - Énfasis1 2 4 3 3" xfId="2543" xr:uid="{00000000-0005-0000-0000-000045130000}"/>
    <cellStyle name="40% - Énfasis1 2 4 3 3 2" xfId="6322" xr:uid="{00000000-0005-0000-0000-000046130000}"/>
    <cellStyle name="40% - Énfasis1 2 4 3 3 3" xfId="10098" xr:uid="{00000000-0005-0000-0000-000047130000}"/>
    <cellStyle name="40% - Énfasis1 2 4 3 4" xfId="4434" xr:uid="{00000000-0005-0000-0000-000048130000}"/>
    <cellStyle name="40% - Énfasis1 2 4 3 5" xfId="8210" xr:uid="{00000000-0005-0000-0000-000049130000}"/>
    <cellStyle name="40% - Énfasis1 2 4 4" xfId="1125" xr:uid="{00000000-0005-0000-0000-00004A130000}"/>
    <cellStyle name="40% - Énfasis1 2 4 4 2" xfId="3015" xr:uid="{00000000-0005-0000-0000-00004B130000}"/>
    <cellStyle name="40% - Énfasis1 2 4 4 2 2" xfId="6794" xr:uid="{00000000-0005-0000-0000-00004C130000}"/>
    <cellStyle name="40% - Énfasis1 2 4 4 2 3" xfId="10570" xr:uid="{00000000-0005-0000-0000-00004D130000}"/>
    <cellStyle name="40% - Énfasis1 2 4 4 3" xfId="4906" xr:uid="{00000000-0005-0000-0000-00004E130000}"/>
    <cellStyle name="40% - Énfasis1 2 4 4 4" xfId="8682" xr:uid="{00000000-0005-0000-0000-00004F130000}"/>
    <cellStyle name="40% - Énfasis1 2 4 5" xfId="2071" xr:uid="{00000000-0005-0000-0000-000050130000}"/>
    <cellStyle name="40% - Énfasis1 2 4 5 2" xfId="5850" xr:uid="{00000000-0005-0000-0000-000051130000}"/>
    <cellStyle name="40% - Énfasis1 2 4 5 3" xfId="9626" xr:uid="{00000000-0005-0000-0000-000052130000}"/>
    <cellStyle name="40% - Énfasis1 2 4 6" xfId="3962" xr:uid="{00000000-0005-0000-0000-000053130000}"/>
    <cellStyle name="40% - Énfasis1 2 4 7" xfId="7738" xr:uid="{00000000-0005-0000-0000-000054130000}"/>
    <cellStyle name="40% - Énfasis1 2 5" xfId="295" xr:uid="{00000000-0005-0000-0000-000055130000}"/>
    <cellStyle name="40% - Énfasis1 2 5 2" xfId="769" xr:uid="{00000000-0005-0000-0000-000056130000}"/>
    <cellStyle name="40% - Énfasis1 2 5 2 2" xfId="1715" xr:uid="{00000000-0005-0000-0000-000057130000}"/>
    <cellStyle name="40% - Énfasis1 2 5 2 2 2" xfId="3605" xr:uid="{00000000-0005-0000-0000-000058130000}"/>
    <cellStyle name="40% - Énfasis1 2 5 2 2 2 2" xfId="7384" xr:uid="{00000000-0005-0000-0000-000059130000}"/>
    <cellStyle name="40% - Énfasis1 2 5 2 2 2 3" xfId="11160" xr:uid="{00000000-0005-0000-0000-00005A130000}"/>
    <cellStyle name="40% - Énfasis1 2 5 2 2 3" xfId="5496" xr:uid="{00000000-0005-0000-0000-00005B130000}"/>
    <cellStyle name="40% - Énfasis1 2 5 2 2 4" xfId="9272" xr:uid="{00000000-0005-0000-0000-00005C130000}"/>
    <cellStyle name="40% - Énfasis1 2 5 2 3" xfId="2661" xr:uid="{00000000-0005-0000-0000-00005D130000}"/>
    <cellStyle name="40% - Énfasis1 2 5 2 3 2" xfId="6440" xr:uid="{00000000-0005-0000-0000-00005E130000}"/>
    <cellStyle name="40% - Énfasis1 2 5 2 3 3" xfId="10216" xr:uid="{00000000-0005-0000-0000-00005F130000}"/>
    <cellStyle name="40% - Énfasis1 2 5 2 4" xfId="4552" xr:uid="{00000000-0005-0000-0000-000060130000}"/>
    <cellStyle name="40% - Énfasis1 2 5 2 5" xfId="8328" xr:uid="{00000000-0005-0000-0000-000061130000}"/>
    <cellStyle name="40% - Énfasis1 2 5 3" xfId="1243" xr:uid="{00000000-0005-0000-0000-000062130000}"/>
    <cellStyle name="40% - Énfasis1 2 5 3 2" xfId="3133" xr:uid="{00000000-0005-0000-0000-000063130000}"/>
    <cellStyle name="40% - Énfasis1 2 5 3 2 2" xfId="6912" xr:uid="{00000000-0005-0000-0000-000064130000}"/>
    <cellStyle name="40% - Énfasis1 2 5 3 2 3" xfId="10688" xr:uid="{00000000-0005-0000-0000-000065130000}"/>
    <cellStyle name="40% - Énfasis1 2 5 3 3" xfId="5024" xr:uid="{00000000-0005-0000-0000-000066130000}"/>
    <cellStyle name="40% - Énfasis1 2 5 3 4" xfId="8800" xr:uid="{00000000-0005-0000-0000-000067130000}"/>
    <cellStyle name="40% - Énfasis1 2 5 4" xfId="2189" xr:uid="{00000000-0005-0000-0000-000068130000}"/>
    <cellStyle name="40% - Énfasis1 2 5 4 2" xfId="5968" xr:uid="{00000000-0005-0000-0000-000069130000}"/>
    <cellStyle name="40% - Énfasis1 2 5 4 3" xfId="9744" xr:uid="{00000000-0005-0000-0000-00006A130000}"/>
    <cellStyle name="40% - Énfasis1 2 5 5" xfId="4080" xr:uid="{00000000-0005-0000-0000-00006B130000}"/>
    <cellStyle name="40% - Énfasis1 2 5 6" xfId="7856" xr:uid="{00000000-0005-0000-0000-00006C130000}"/>
    <cellStyle name="40% - Énfasis1 2 6" xfId="533" xr:uid="{00000000-0005-0000-0000-00006D130000}"/>
    <cellStyle name="40% - Énfasis1 2 6 2" xfId="1479" xr:uid="{00000000-0005-0000-0000-00006E130000}"/>
    <cellStyle name="40% - Énfasis1 2 6 2 2" xfId="3369" xr:uid="{00000000-0005-0000-0000-00006F130000}"/>
    <cellStyle name="40% - Énfasis1 2 6 2 2 2" xfId="7148" xr:uid="{00000000-0005-0000-0000-000070130000}"/>
    <cellStyle name="40% - Énfasis1 2 6 2 2 3" xfId="10924" xr:uid="{00000000-0005-0000-0000-000071130000}"/>
    <cellStyle name="40% - Énfasis1 2 6 2 3" xfId="5260" xr:uid="{00000000-0005-0000-0000-000072130000}"/>
    <cellStyle name="40% - Énfasis1 2 6 2 4" xfId="9036" xr:uid="{00000000-0005-0000-0000-000073130000}"/>
    <cellStyle name="40% - Énfasis1 2 6 3" xfId="2425" xr:uid="{00000000-0005-0000-0000-000074130000}"/>
    <cellStyle name="40% - Énfasis1 2 6 3 2" xfId="6204" xr:uid="{00000000-0005-0000-0000-000075130000}"/>
    <cellStyle name="40% - Énfasis1 2 6 3 3" xfId="9980" xr:uid="{00000000-0005-0000-0000-000076130000}"/>
    <cellStyle name="40% - Énfasis1 2 6 4" xfId="4316" xr:uid="{00000000-0005-0000-0000-000077130000}"/>
    <cellStyle name="40% - Énfasis1 2 6 5" xfId="8092" xr:uid="{00000000-0005-0000-0000-000078130000}"/>
    <cellStyle name="40% - Énfasis1 2 7" xfId="1007" xr:uid="{00000000-0005-0000-0000-000079130000}"/>
    <cellStyle name="40% - Énfasis1 2 7 2" xfId="2897" xr:uid="{00000000-0005-0000-0000-00007A130000}"/>
    <cellStyle name="40% - Énfasis1 2 7 2 2" xfId="6676" xr:uid="{00000000-0005-0000-0000-00007B130000}"/>
    <cellStyle name="40% - Énfasis1 2 7 2 3" xfId="10452" xr:uid="{00000000-0005-0000-0000-00007C130000}"/>
    <cellStyle name="40% - Énfasis1 2 7 3" xfId="4788" xr:uid="{00000000-0005-0000-0000-00007D130000}"/>
    <cellStyle name="40% - Énfasis1 2 7 4" xfId="8564" xr:uid="{00000000-0005-0000-0000-00007E130000}"/>
    <cellStyle name="40% - Énfasis1 2 8" xfId="1953" xr:uid="{00000000-0005-0000-0000-00007F130000}"/>
    <cellStyle name="40% - Énfasis1 2 8 2" xfId="5732" xr:uid="{00000000-0005-0000-0000-000080130000}"/>
    <cellStyle name="40% - Énfasis1 2 8 3" xfId="9508" xr:uid="{00000000-0005-0000-0000-000081130000}"/>
    <cellStyle name="40% - Énfasis1 2 9" xfId="3844" xr:uid="{00000000-0005-0000-0000-000082130000}"/>
    <cellStyle name="40% - Énfasis1 3" xfId="60" xr:uid="{00000000-0005-0000-0000-000083130000}"/>
    <cellStyle name="40% - Énfasis1 3 2" xfId="124" xr:uid="{00000000-0005-0000-0000-000084130000}"/>
    <cellStyle name="40% - Énfasis1 3 2 2" xfId="247" xr:uid="{00000000-0005-0000-0000-000085130000}"/>
    <cellStyle name="40% - Énfasis1 3 2 2 2" xfId="485" xr:uid="{00000000-0005-0000-0000-000086130000}"/>
    <cellStyle name="40% - Énfasis1 3 2 2 2 2" xfId="959" xr:uid="{00000000-0005-0000-0000-000087130000}"/>
    <cellStyle name="40% - Énfasis1 3 2 2 2 2 2" xfId="1905" xr:uid="{00000000-0005-0000-0000-000088130000}"/>
    <cellStyle name="40% - Énfasis1 3 2 2 2 2 2 2" xfId="3795" xr:uid="{00000000-0005-0000-0000-000089130000}"/>
    <cellStyle name="40% - Énfasis1 3 2 2 2 2 2 2 2" xfId="7574" xr:uid="{00000000-0005-0000-0000-00008A130000}"/>
    <cellStyle name="40% - Énfasis1 3 2 2 2 2 2 2 3" xfId="11350" xr:uid="{00000000-0005-0000-0000-00008B130000}"/>
    <cellStyle name="40% - Énfasis1 3 2 2 2 2 2 3" xfId="5686" xr:uid="{00000000-0005-0000-0000-00008C130000}"/>
    <cellStyle name="40% - Énfasis1 3 2 2 2 2 2 4" xfId="9462" xr:uid="{00000000-0005-0000-0000-00008D130000}"/>
    <cellStyle name="40% - Énfasis1 3 2 2 2 2 3" xfId="2851" xr:uid="{00000000-0005-0000-0000-00008E130000}"/>
    <cellStyle name="40% - Énfasis1 3 2 2 2 2 3 2" xfId="6630" xr:uid="{00000000-0005-0000-0000-00008F130000}"/>
    <cellStyle name="40% - Énfasis1 3 2 2 2 2 3 3" xfId="10406" xr:uid="{00000000-0005-0000-0000-000090130000}"/>
    <cellStyle name="40% - Énfasis1 3 2 2 2 2 4" xfId="4742" xr:uid="{00000000-0005-0000-0000-000091130000}"/>
    <cellStyle name="40% - Énfasis1 3 2 2 2 2 5" xfId="8518" xr:uid="{00000000-0005-0000-0000-000092130000}"/>
    <cellStyle name="40% - Énfasis1 3 2 2 2 3" xfId="1433" xr:uid="{00000000-0005-0000-0000-000093130000}"/>
    <cellStyle name="40% - Énfasis1 3 2 2 2 3 2" xfId="3323" xr:uid="{00000000-0005-0000-0000-000094130000}"/>
    <cellStyle name="40% - Énfasis1 3 2 2 2 3 2 2" xfId="7102" xr:uid="{00000000-0005-0000-0000-000095130000}"/>
    <cellStyle name="40% - Énfasis1 3 2 2 2 3 2 3" xfId="10878" xr:uid="{00000000-0005-0000-0000-000096130000}"/>
    <cellStyle name="40% - Énfasis1 3 2 2 2 3 3" xfId="5214" xr:uid="{00000000-0005-0000-0000-000097130000}"/>
    <cellStyle name="40% - Énfasis1 3 2 2 2 3 4" xfId="8990" xr:uid="{00000000-0005-0000-0000-000098130000}"/>
    <cellStyle name="40% - Énfasis1 3 2 2 2 4" xfId="2379" xr:uid="{00000000-0005-0000-0000-000099130000}"/>
    <cellStyle name="40% - Énfasis1 3 2 2 2 4 2" xfId="6158" xr:uid="{00000000-0005-0000-0000-00009A130000}"/>
    <cellStyle name="40% - Énfasis1 3 2 2 2 4 3" xfId="9934" xr:uid="{00000000-0005-0000-0000-00009B130000}"/>
    <cellStyle name="40% - Énfasis1 3 2 2 2 5" xfId="4270" xr:uid="{00000000-0005-0000-0000-00009C130000}"/>
    <cellStyle name="40% - Énfasis1 3 2 2 2 6" xfId="8046" xr:uid="{00000000-0005-0000-0000-00009D130000}"/>
    <cellStyle name="40% - Énfasis1 3 2 2 3" xfId="723" xr:uid="{00000000-0005-0000-0000-00009E130000}"/>
    <cellStyle name="40% - Énfasis1 3 2 2 3 2" xfId="1669" xr:uid="{00000000-0005-0000-0000-00009F130000}"/>
    <cellStyle name="40% - Énfasis1 3 2 2 3 2 2" xfId="3559" xr:uid="{00000000-0005-0000-0000-0000A0130000}"/>
    <cellStyle name="40% - Énfasis1 3 2 2 3 2 2 2" xfId="7338" xr:uid="{00000000-0005-0000-0000-0000A1130000}"/>
    <cellStyle name="40% - Énfasis1 3 2 2 3 2 2 3" xfId="11114" xr:uid="{00000000-0005-0000-0000-0000A2130000}"/>
    <cellStyle name="40% - Énfasis1 3 2 2 3 2 3" xfId="5450" xr:uid="{00000000-0005-0000-0000-0000A3130000}"/>
    <cellStyle name="40% - Énfasis1 3 2 2 3 2 4" xfId="9226" xr:uid="{00000000-0005-0000-0000-0000A4130000}"/>
    <cellStyle name="40% - Énfasis1 3 2 2 3 3" xfId="2615" xr:uid="{00000000-0005-0000-0000-0000A5130000}"/>
    <cellStyle name="40% - Énfasis1 3 2 2 3 3 2" xfId="6394" xr:uid="{00000000-0005-0000-0000-0000A6130000}"/>
    <cellStyle name="40% - Énfasis1 3 2 2 3 3 3" xfId="10170" xr:uid="{00000000-0005-0000-0000-0000A7130000}"/>
    <cellStyle name="40% - Énfasis1 3 2 2 3 4" xfId="4506" xr:uid="{00000000-0005-0000-0000-0000A8130000}"/>
    <cellStyle name="40% - Énfasis1 3 2 2 3 5" xfId="8282" xr:uid="{00000000-0005-0000-0000-0000A9130000}"/>
    <cellStyle name="40% - Énfasis1 3 2 2 4" xfId="1197" xr:uid="{00000000-0005-0000-0000-0000AA130000}"/>
    <cellStyle name="40% - Énfasis1 3 2 2 4 2" xfId="3087" xr:uid="{00000000-0005-0000-0000-0000AB130000}"/>
    <cellStyle name="40% - Énfasis1 3 2 2 4 2 2" xfId="6866" xr:uid="{00000000-0005-0000-0000-0000AC130000}"/>
    <cellStyle name="40% - Énfasis1 3 2 2 4 2 3" xfId="10642" xr:uid="{00000000-0005-0000-0000-0000AD130000}"/>
    <cellStyle name="40% - Énfasis1 3 2 2 4 3" xfId="4978" xr:uid="{00000000-0005-0000-0000-0000AE130000}"/>
    <cellStyle name="40% - Énfasis1 3 2 2 4 4" xfId="8754" xr:uid="{00000000-0005-0000-0000-0000AF130000}"/>
    <cellStyle name="40% - Énfasis1 3 2 2 5" xfId="2143" xr:uid="{00000000-0005-0000-0000-0000B0130000}"/>
    <cellStyle name="40% - Énfasis1 3 2 2 5 2" xfId="5922" xr:uid="{00000000-0005-0000-0000-0000B1130000}"/>
    <cellStyle name="40% - Énfasis1 3 2 2 5 3" xfId="9698" xr:uid="{00000000-0005-0000-0000-0000B2130000}"/>
    <cellStyle name="40% - Énfasis1 3 2 2 6" xfId="4034" xr:uid="{00000000-0005-0000-0000-0000B3130000}"/>
    <cellStyle name="40% - Énfasis1 3 2 2 7" xfId="7810" xr:uid="{00000000-0005-0000-0000-0000B4130000}"/>
    <cellStyle name="40% - Énfasis1 3 2 3" xfId="367" xr:uid="{00000000-0005-0000-0000-0000B5130000}"/>
    <cellStyle name="40% - Énfasis1 3 2 3 2" xfId="841" xr:uid="{00000000-0005-0000-0000-0000B6130000}"/>
    <cellStyle name="40% - Énfasis1 3 2 3 2 2" xfId="1787" xr:uid="{00000000-0005-0000-0000-0000B7130000}"/>
    <cellStyle name="40% - Énfasis1 3 2 3 2 2 2" xfId="3677" xr:uid="{00000000-0005-0000-0000-0000B8130000}"/>
    <cellStyle name="40% - Énfasis1 3 2 3 2 2 2 2" xfId="7456" xr:uid="{00000000-0005-0000-0000-0000B9130000}"/>
    <cellStyle name="40% - Énfasis1 3 2 3 2 2 2 3" xfId="11232" xr:uid="{00000000-0005-0000-0000-0000BA130000}"/>
    <cellStyle name="40% - Énfasis1 3 2 3 2 2 3" xfId="5568" xr:uid="{00000000-0005-0000-0000-0000BB130000}"/>
    <cellStyle name="40% - Énfasis1 3 2 3 2 2 4" xfId="9344" xr:uid="{00000000-0005-0000-0000-0000BC130000}"/>
    <cellStyle name="40% - Énfasis1 3 2 3 2 3" xfId="2733" xr:uid="{00000000-0005-0000-0000-0000BD130000}"/>
    <cellStyle name="40% - Énfasis1 3 2 3 2 3 2" xfId="6512" xr:uid="{00000000-0005-0000-0000-0000BE130000}"/>
    <cellStyle name="40% - Énfasis1 3 2 3 2 3 3" xfId="10288" xr:uid="{00000000-0005-0000-0000-0000BF130000}"/>
    <cellStyle name="40% - Énfasis1 3 2 3 2 4" xfId="4624" xr:uid="{00000000-0005-0000-0000-0000C0130000}"/>
    <cellStyle name="40% - Énfasis1 3 2 3 2 5" xfId="8400" xr:uid="{00000000-0005-0000-0000-0000C1130000}"/>
    <cellStyle name="40% - Énfasis1 3 2 3 3" xfId="1315" xr:uid="{00000000-0005-0000-0000-0000C2130000}"/>
    <cellStyle name="40% - Énfasis1 3 2 3 3 2" xfId="3205" xr:uid="{00000000-0005-0000-0000-0000C3130000}"/>
    <cellStyle name="40% - Énfasis1 3 2 3 3 2 2" xfId="6984" xr:uid="{00000000-0005-0000-0000-0000C4130000}"/>
    <cellStyle name="40% - Énfasis1 3 2 3 3 2 3" xfId="10760" xr:uid="{00000000-0005-0000-0000-0000C5130000}"/>
    <cellStyle name="40% - Énfasis1 3 2 3 3 3" xfId="5096" xr:uid="{00000000-0005-0000-0000-0000C6130000}"/>
    <cellStyle name="40% - Énfasis1 3 2 3 3 4" xfId="8872" xr:uid="{00000000-0005-0000-0000-0000C7130000}"/>
    <cellStyle name="40% - Énfasis1 3 2 3 4" xfId="2261" xr:uid="{00000000-0005-0000-0000-0000C8130000}"/>
    <cellStyle name="40% - Énfasis1 3 2 3 4 2" xfId="6040" xr:uid="{00000000-0005-0000-0000-0000C9130000}"/>
    <cellStyle name="40% - Énfasis1 3 2 3 4 3" xfId="9816" xr:uid="{00000000-0005-0000-0000-0000CA130000}"/>
    <cellStyle name="40% - Énfasis1 3 2 3 5" xfId="4152" xr:uid="{00000000-0005-0000-0000-0000CB130000}"/>
    <cellStyle name="40% - Énfasis1 3 2 3 6" xfId="7928" xr:uid="{00000000-0005-0000-0000-0000CC130000}"/>
    <cellStyle name="40% - Énfasis1 3 2 4" xfId="605" xr:uid="{00000000-0005-0000-0000-0000CD130000}"/>
    <cellStyle name="40% - Énfasis1 3 2 4 2" xfId="1551" xr:uid="{00000000-0005-0000-0000-0000CE130000}"/>
    <cellStyle name="40% - Énfasis1 3 2 4 2 2" xfId="3441" xr:uid="{00000000-0005-0000-0000-0000CF130000}"/>
    <cellStyle name="40% - Énfasis1 3 2 4 2 2 2" xfId="7220" xr:uid="{00000000-0005-0000-0000-0000D0130000}"/>
    <cellStyle name="40% - Énfasis1 3 2 4 2 2 3" xfId="10996" xr:uid="{00000000-0005-0000-0000-0000D1130000}"/>
    <cellStyle name="40% - Énfasis1 3 2 4 2 3" xfId="5332" xr:uid="{00000000-0005-0000-0000-0000D2130000}"/>
    <cellStyle name="40% - Énfasis1 3 2 4 2 4" xfId="9108" xr:uid="{00000000-0005-0000-0000-0000D3130000}"/>
    <cellStyle name="40% - Énfasis1 3 2 4 3" xfId="2497" xr:uid="{00000000-0005-0000-0000-0000D4130000}"/>
    <cellStyle name="40% - Énfasis1 3 2 4 3 2" xfId="6276" xr:uid="{00000000-0005-0000-0000-0000D5130000}"/>
    <cellStyle name="40% - Énfasis1 3 2 4 3 3" xfId="10052" xr:uid="{00000000-0005-0000-0000-0000D6130000}"/>
    <cellStyle name="40% - Énfasis1 3 2 4 4" xfId="4388" xr:uid="{00000000-0005-0000-0000-0000D7130000}"/>
    <cellStyle name="40% - Énfasis1 3 2 4 5" xfId="8164" xr:uid="{00000000-0005-0000-0000-0000D8130000}"/>
    <cellStyle name="40% - Énfasis1 3 2 5" xfId="1079" xr:uid="{00000000-0005-0000-0000-0000D9130000}"/>
    <cellStyle name="40% - Énfasis1 3 2 5 2" xfId="2969" xr:uid="{00000000-0005-0000-0000-0000DA130000}"/>
    <cellStyle name="40% - Énfasis1 3 2 5 2 2" xfId="6748" xr:uid="{00000000-0005-0000-0000-0000DB130000}"/>
    <cellStyle name="40% - Énfasis1 3 2 5 2 3" xfId="10524" xr:uid="{00000000-0005-0000-0000-0000DC130000}"/>
    <cellStyle name="40% - Énfasis1 3 2 5 3" xfId="4860" xr:uid="{00000000-0005-0000-0000-0000DD130000}"/>
    <cellStyle name="40% - Énfasis1 3 2 5 4" xfId="8636" xr:uid="{00000000-0005-0000-0000-0000DE130000}"/>
    <cellStyle name="40% - Énfasis1 3 2 6" xfId="2025" xr:uid="{00000000-0005-0000-0000-0000DF130000}"/>
    <cellStyle name="40% - Énfasis1 3 2 6 2" xfId="5804" xr:uid="{00000000-0005-0000-0000-0000E0130000}"/>
    <cellStyle name="40% - Énfasis1 3 2 6 3" xfId="9580" xr:uid="{00000000-0005-0000-0000-0000E1130000}"/>
    <cellStyle name="40% - Énfasis1 3 2 7" xfId="3916" xr:uid="{00000000-0005-0000-0000-0000E2130000}"/>
    <cellStyle name="40% - Énfasis1 3 2 8" xfId="7692" xr:uid="{00000000-0005-0000-0000-0000E3130000}"/>
    <cellStyle name="40% - Énfasis1 3 3" xfId="188" xr:uid="{00000000-0005-0000-0000-0000E4130000}"/>
    <cellStyle name="40% - Énfasis1 3 3 2" xfId="426" xr:uid="{00000000-0005-0000-0000-0000E5130000}"/>
    <cellStyle name="40% - Énfasis1 3 3 2 2" xfId="900" xr:uid="{00000000-0005-0000-0000-0000E6130000}"/>
    <cellStyle name="40% - Énfasis1 3 3 2 2 2" xfId="1846" xr:uid="{00000000-0005-0000-0000-0000E7130000}"/>
    <cellStyle name="40% - Énfasis1 3 3 2 2 2 2" xfId="3736" xr:uid="{00000000-0005-0000-0000-0000E8130000}"/>
    <cellStyle name="40% - Énfasis1 3 3 2 2 2 2 2" xfId="7515" xr:uid="{00000000-0005-0000-0000-0000E9130000}"/>
    <cellStyle name="40% - Énfasis1 3 3 2 2 2 2 3" xfId="11291" xr:uid="{00000000-0005-0000-0000-0000EA130000}"/>
    <cellStyle name="40% - Énfasis1 3 3 2 2 2 3" xfId="5627" xr:uid="{00000000-0005-0000-0000-0000EB130000}"/>
    <cellStyle name="40% - Énfasis1 3 3 2 2 2 4" xfId="9403" xr:uid="{00000000-0005-0000-0000-0000EC130000}"/>
    <cellStyle name="40% - Énfasis1 3 3 2 2 3" xfId="2792" xr:uid="{00000000-0005-0000-0000-0000ED130000}"/>
    <cellStyle name="40% - Énfasis1 3 3 2 2 3 2" xfId="6571" xr:uid="{00000000-0005-0000-0000-0000EE130000}"/>
    <cellStyle name="40% - Énfasis1 3 3 2 2 3 3" xfId="10347" xr:uid="{00000000-0005-0000-0000-0000EF130000}"/>
    <cellStyle name="40% - Énfasis1 3 3 2 2 4" xfId="4683" xr:uid="{00000000-0005-0000-0000-0000F0130000}"/>
    <cellStyle name="40% - Énfasis1 3 3 2 2 5" xfId="8459" xr:uid="{00000000-0005-0000-0000-0000F1130000}"/>
    <cellStyle name="40% - Énfasis1 3 3 2 3" xfId="1374" xr:uid="{00000000-0005-0000-0000-0000F2130000}"/>
    <cellStyle name="40% - Énfasis1 3 3 2 3 2" xfId="3264" xr:uid="{00000000-0005-0000-0000-0000F3130000}"/>
    <cellStyle name="40% - Énfasis1 3 3 2 3 2 2" xfId="7043" xr:uid="{00000000-0005-0000-0000-0000F4130000}"/>
    <cellStyle name="40% - Énfasis1 3 3 2 3 2 3" xfId="10819" xr:uid="{00000000-0005-0000-0000-0000F5130000}"/>
    <cellStyle name="40% - Énfasis1 3 3 2 3 3" xfId="5155" xr:uid="{00000000-0005-0000-0000-0000F6130000}"/>
    <cellStyle name="40% - Énfasis1 3 3 2 3 4" xfId="8931" xr:uid="{00000000-0005-0000-0000-0000F7130000}"/>
    <cellStyle name="40% - Énfasis1 3 3 2 4" xfId="2320" xr:uid="{00000000-0005-0000-0000-0000F8130000}"/>
    <cellStyle name="40% - Énfasis1 3 3 2 4 2" xfId="6099" xr:uid="{00000000-0005-0000-0000-0000F9130000}"/>
    <cellStyle name="40% - Énfasis1 3 3 2 4 3" xfId="9875" xr:uid="{00000000-0005-0000-0000-0000FA130000}"/>
    <cellStyle name="40% - Énfasis1 3 3 2 5" xfId="4211" xr:uid="{00000000-0005-0000-0000-0000FB130000}"/>
    <cellStyle name="40% - Énfasis1 3 3 2 6" xfId="7987" xr:uid="{00000000-0005-0000-0000-0000FC130000}"/>
    <cellStyle name="40% - Énfasis1 3 3 3" xfId="664" xr:uid="{00000000-0005-0000-0000-0000FD130000}"/>
    <cellStyle name="40% - Énfasis1 3 3 3 2" xfId="1610" xr:uid="{00000000-0005-0000-0000-0000FE130000}"/>
    <cellStyle name="40% - Énfasis1 3 3 3 2 2" xfId="3500" xr:uid="{00000000-0005-0000-0000-0000FF130000}"/>
    <cellStyle name="40% - Énfasis1 3 3 3 2 2 2" xfId="7279" xr:uid="{00000000-0005-0000-0000-000000140000}"/>
    <cellStyle name="40% - Énfasis1 3 3 3 2 2 3" xfId="11055" xr:uid="{00000000-0005-0000-0000-000001140000}"/>
    <cellStyle name="40% - Énfasis1 3 3 3 2 3" xfId="5391" xr:uid="{00000000-0005-0000-0000-000002140000}"/>
    <cellStyle name="40% - Énfasis1 3 3 3 2 4" xfId="9167" xr:uid="{00000000-0005-0000-0000-000003140000}"/>
    <cellStyle name="40% - Énfasis1 3 3 3 3" xfId="2556" xr:uid="{00000000-0005-0000-0000-000004140000}"/>
    <cellStyle name="40% - Énfasis1 3 3 3 3 2" xfId="6335" xr:uid="{00000000-0005-0000-0000-000005140000}"/>
    <cellStyle name="40% - Énfasis1 3 3 3 3 3" xfId="10111" xr:uid="{00000000-0005-0000-0000-000006140000}"/>
    <cellStyle name="40% - Énfasis1 3 3 3 4" xfId="4447" xr:uid="{00000000-0005-0000-0000-000007140000}"/>
    <cellStyle name="40% - Énfasis1 3 3 3 5" xfId="8223" xr:uid="{00000000-0005-0000-0000-000008140000}"/>
    <cellStyle name="40% - Énfasis1 3 3 4" xfId="1138" xr:uid="{00000000-0005-0000-0000-000009140000}"/>
    <cellStyle name="40% - Énfasis1 3 3 4 2" xfId="3028" xr:uid="{00000000-0005-0000-0000-00000A140000}"/>
    <cellStyle name="40% - Énfasis1 3 3 4 2 2" xfId="6807" xr:uid="{00000000-0005-0000-0000-00000B140000}"/>
    <cellStyle name="40% - Énfasis1 3 3 4 2 3" xfId="10583" xr:uid="{00000000-0005-0000-0000-00000C140000}"/>
    <cellStyle name="40% - Énfasis1 3 3 4 3" xfId="4919" xr:uid="{00000000-0005-0000-0000-00000D140000}"/>
    <cellStyle name="40% - Énfasis1 3 3 4 4" xfId="8695" xr:uid="{00000000-0005-0000-0000-00000E140000}"/>
    <cellStyle name="40% - Énfasis1 3 3 5" xfId="2084" xr:uid="{00000000-0005-0000-0000-00000F140000}"/>
    <cellStyle name="40% - Énfasis1 3 3 5 2" xfId="5863" xr:uid="{00000000-0005-0000-0000-000010140000}"/>
    <cellStyle name="40% - Énfasis1 3 3 5 3" xfId="9639" xr:uid="{00000000-0005-0000-0000-000011140000}"/>
    <cellStyle name="40% - Énfasis1 3 3 6" xfId="3975" xr:uid="{00000000-0005-0000-0000-000012140000}"/>
    <cellStyle name="40% - Énfasis1 3 3 7" xfId="7751" xr:uid="{00000000-0005-0000-0000-000013140000}"/>
    <cellStyle name="40% - Énfasis1 3 4" xfId="308" xr:uid="{00000000-0005-0000-0000-000014140000}"/>
    <cellStyle name="40% - Énfasis1 3 4 2" xfId="782" xr:uid="{00000000-0005-0000-0000-000015140000}"/>
    <cellStyle name="40% - Énfasis1 3 4 2 2" xfId="1728" xr:uid="{00000000-0005-0000-0000-000016140000}"/>
    <cellStyle name="40% - Énfasis1 3 4 2 2 2" xfId="3618" xr:uid="{00000000-0005-0000-0000-000017140000}"/>
    <cellStyle name="40% - Énfasis1 3 4 2 2 2 2" xfId="7397" xr:uid="{00000000-0005-0000-0000-000018140000}"/>
    <cellStyle name="40% - Énfasis1 3 4 2 2 2 3" xfId="11173" xr:uid="{00000000-0005-0000-0000-000019140000}"/>
    <cellStyle name="40% - Énfasis1 3 4 2 2 3" xfId="5509" xr:uid="{00000000-0005-0000-0000-00001A140000}"/>
    <cellStyle name="40% - Énfasis1 3 4 2 2 4" xfId="9285" xr:uid="{00000000-0005-0000-0000-00001B140000}"/>
    <cellStyle name="40% - Énfasis1 3 4 2 3" xfId="2674" xr:uid="{00000000-0005-0000-0000-00001C140000}"/>
    <cellStyle name="40% - Énfasis1 3 4 2 3 2" xfId="6453" xr:uid="{00000000-0005-0000-0000-00001D140000}"/>
    <cellStyle name="40% - Énfasis1 3 4 2 3 3" xfId="10229" xr:uid="{00000000-0005-0000-0000-00001E140000}"/>
    <cellStyle name="40% - Énfasis1 3 4 2 4" xfId="4565" xr:uid="{00000000-0005-0000-0000-00001F140000}"/>
    <cellStyle name="40% - Énfasis1 3 4 2 5" xfId="8341" xr:uid="{00000000-0005-0000-0000-000020140000}"/>
    <cellStyle name="40% - Énfasis1 3 4 3" xfId="1256" xr:uid="{00000000-0005-0000-0000-000021140000}"/>
    <cellStyle name="40% - Énfasis1 3 4 3 2" xfId="3146" xr:uid="{00000000-0005-0000-0000-000022140000}"/>
    <cellStyle name="40% - Énfasis1 3 4 3 2 2" xfId="6925" xr:uid="{00000000-0005-0000-0000-000023140000}"/>
    <cellStyle name="40% - Énfasis1 3 4 3 2 3" xfId="10701" xr:uid="{00000000-0005-0000-0000-000024140000}"/>
    <cellStyle name="40% - Énfasis1 3 4 3 3" xfId="5037" xr:uid="{00000000-0005-0000-0000-000025140000}"/>
    <cellStyle name="40% - Énfasis1 3 4 3 4" xfId="8813" xr:uid="{00000000-0005-0000-0000-000026140000}"/>
    <cellStyle name="40% - Énfasis1 3 4 4" xfId="2202" xr:uid="{00000000-0005-0000-0000-000027140000}"/>
    <cellStyle name="40% - Énfasis1 3 4 4 2" xfId="5981" xr:uid="{00000000-0005-0000-0000-000028140000}"/>
    <cellStyle name="40% - Énfasis1 3 4 4 3" xfId="9757" xr:uid="{00000000-0005-0000-0000-000029140000}"/>
    <cellStyle name="40% - Énfasis1 3 4 5" xfId="4093" xr:uid="{00000000-0005-0000-0000-00002A140000}"/>
    <cellStyle name="40% - Énfasis1 3 4 6" xfId="7869" xr:uid="{00000000-0005-0000-0000-00002B140000}"/>
    <cellStyle name="40% - Énfasis1 3 5" xfId="546" xr:uid="{00000000-0005-0000-0000-00002C140000}"/>
    <cellStyle name="40% - Énfasis1 3 5 2" xfId="1492" xr:uid="{00000000-0005-0000-0000-00002D140000}"/>
    <cellStyle name="40% - Énfasis1 3 5 2 2" xfId="3382" xr:uid="{00000000-0005-0000-0000-00002E140000}"/>
    <cellStyle name="40% - Énfasis1 3 5 2 2 2" xfId="7161" xr:uid="{00000000-0005-0000-0000-00002F140000}"/>
    <cellStyle name="40% - Énfasis1 3 5 2 2 3" xfId="10937" xr:uid="{00000000-0005-0000-0000-000030140000}"/>
    <cellStyle name="40% - Énfasis1 3 5 2 3" xfId="5273" xr:uid="{00000000-0005-0000-0000-000031140000}"/>
    <cellStyle name="40% - Énfasis1 3 5 2 4" xfId="9049" xr:uid="{00000000-0005-0000-0000-000032140000}"/>
    <cellStyle name="40% - Énfasis1 3 5 3" xfId="2438" xr:uid="{00000000-0005-0000-0000-000033140000}"/>
    <cellStyle name="40% - Énfasis1 3 5 3 2" xfId="6217" xr:uid="{00000000-0005-0000-0000-000034140000}"/>
    <cellStyle name="40% - Énfasis1 3 5 3 3" xfId="9993" xr:uid="{00000000-0005-0000-0000-000035140000}"/>
    <cellStyle name="40% - Énfasis1 3 5 4" xfId="4329" xr:uid="{00000000-0005-0000-0000-000036140000}"/>
    <cellStyle name="40% - Énfasis1 3 5 5" xfId="8105" xr:uid="{00000000-0005-0000-0000-000037140000}"/>
    <cellStyle name="40% - Énfasis1 3 6" xfId="1020" xr:uid="{00000000-0005-0000-0000-000038140000}"/>
    <cellStyle name="40% - Énfasis1 3 6 2" xfId="2910" xr:uid="{00000000-0005-0000-0000-000039140000}"/>
    <cellStyle name="40% - Énfasis1 3 6 2 2" xfId="6689" xr:uid="{00000000-0005-0000-0000-00003A140000}"/>
    <cellStyle name="40% - Énfasis1 3 6 2 3" xfId="10465" xr:uid="{00000000-0005-0000-0000-00003B140000}"/>
    <cellStyle name="40% - Énfasis1 3 6 3" xfId="4801" xr:uid="{00000000-0005-0000-0000-00003C140000}"/>
    <cellStyle name="40% - Énfasis1 3 6 4" xfId="8577" xr:uid="{00000000-0005-0000-0000-00003D140000}"/>
    <cellStyle name="40% - Énfasis1 3 7" xfId="1966" xr:uid="{00000000-0005-0000-0000-00003E140000}"/>
    <cellStyle name="40% - Énfasis1 3 7 2" xfId="5745" xr:uid="{00000000-0005-0000-0000-00003F140000}"/>
    <cellStyle name="40% - Énfasis1 3 7 3" xfId="9521" xr:uid="{00000000-0005-0000-0000-000040140000}"/>
    <cellStyle name="40% - Énfasis1 3 8" xfId="3857" xr:uid="{00000000-0005-0000-0000-000041140000}"/>
    <cellStyle name="40% - Énfasis1 3 9" xfId="7633" xr:uid="{00000000-0005-0000-0000-000042140000}"/>
    <cellStyle name="40% - Énfasis1 4" xfId="93" xr:uid="{00000000-0005-0000-0000-000043140000}"/>
    <cellStyle name="40% - Énfasis1 4 2" xfId="218" xr:uid="{00000000-0005-0000-0000-000044140000}"/>
    <cellStyle name="40% - Énfasis1 4 2 2" xfId="456" xr:uid="{00000000-0005-0000-0000-000045140000}"/>
    <cellStyle name="40% - Énfasis1 4 2 2 2" xfId="930" xr:uid="{00000000-0005-0000-0000-000046140000}"/>
    <cellStyle name="40% - Énfasis1 4 2 2 2 2" xfId="1876" xr:uid="{00000000-0005-0000-0000-000047140000}"/>
    <cellStyle name="40% - Énfasis1 4 2 2 2 2 2" xfId="3766" xr:uid="{00000000-0005-0000-0000-000048140000}"/>
    <cellStyle name="40% - Énfasis1 4 2 2 2 2 2 2" xfId="7545" xr:uid="{00000000-0005-0000-0000-000049140000}"/>
    <cellStyle name="40% - Énfasis1 4 2 2 2 2 2 3" xfId="11321" xr:uid="{00000000-0005-0000-0000-00004A140000}"/>
    <cellStyle name="40% - Énfasis1 4 2 2 2 2 3" xfId="5657" xr:uid="{00000000-0005-0000-0000-00004B140000}"/>
    <cellStyle name="40% - Énfasis1 4 2 2 2 2 4" xfId="9433" xr:uid="{00000000-0005-0000-0000-00004C140000}"/>
    <cellStyle name="40% - Énfasis1 4 2 2 2 3" xfId="2822" xr:uid="{00000000-0005-0000-0000-00004D140000}"/>
    <cellStyle name="40% - Énfasis1 4 2 2 2 3 2" xfId="6601" xr:uid="{00000000-0005-0000-0000-00004E140000}"/>
    <cellStyle name="40% - Énfasis1 4 2 2 2 3 3" xfId="10377" xr:uid="{00000000-0005-0000-0000-00004F140000}"/>
    <cellStyle name="40% - Énfasis1 4 2 2 2 4" xfId="4713" xr:uid="{00000000-0005-0000-0000-000050140000}"/>
    <cellStyle name="40% - Énfasis1 4 2 2 2 5" xfId="8489" xr:uid="{00000000-0005-0000-0000-000051140000}"/>
    <cellStyle name="40% - Énfasis1 4 2 2 3" xfId="1404" xr:uid="{00000000-0005-0000-0000-000052140000}"/>
    <cellStyle name="40% - Énfasis1 4 2 2 3 2" xfId="3294" xr:uid="{00000000-0005-0000-0000-000053140000}"/>
    <cellStyle name="40% - Énfasis1 4 2 2 3 2 2" xfId="7073" xr:uid="{00000000-0005-0000-0000-000054140000}"/>
    <cellStyle name="40% - Énfasis1 4 2 2 3 2 3" xfId="10849" xr:uid="{00000000-0005-0000-0000-000055140000}"/>
    <cellStyle name="40% - Énfasis1 4 2 2 3 3" xfId="5185" xr:uid="{00000000-0005-0000-0000-000056140000}"/>
    <cellStyle name="40% - Énfasis1 4 2 2 3 4" xfId="8961" xr:uid="{00000000-0005-0000-0000-000057140000}"/>
    <cellStyle name="40% - Énfasis1 4 2 2 4" xfId="2350" xr:uid="{00000000-0005-0000-0000-000058140000}"/>
    <cellStyle name="40% - Énfasis1 4 2 2 4 2" xfId="6129" xr:uid="{00000000-0005-0000-0000-000059140000}"/>
    <cellStyle name="40% - Énfasis1 4 2 2 4 3" xfId="9905" xr:uid="{00000000-0005-0000-0000-00005A140000}"/>
    <cellStyle name="40% - Énfasis1 4 2 2 5" xfId="4241" xr:uid="{00000000-0005-0000-0000-00005B140000}"/>
    <cellStyle name="40% - Énfasis1 4 2 2 6" xfId="8017" xr:uid="{00000000-0005-0000-0000-00005C140000}"/>
    <cellStyle name="40% - Énfasis1 4 2 3" xfId="694" xr:uid="{00000000-0005-0000-0000-00005D140000}"/>
    <cellStyle name="40% - Énfasis1 4 2 3 2" xfId="1640" xr:uid="{00000000-0005-0000-0000-00005E140000}"/>
    <cellStyle name="40% - Énfasis1 4 2 3 2 2" xfId="3530" xr:uid="{00000000-0005-0000-0000-00005F140000}"/>
    <cellStyle name="40% - Énfasis1 4 2 3 2 2 2" xfId="7309" xr:uid="{00000000-0005-0000-0000-000060140000}"/>
    <cellStyle name="40% - Énfasis1 4 2 3 2 2 3" xfId="11085" xr:uid="{00000000-0005-0000-0000-000061140000}"/>
    <cellStyle name="40% - Énfasis1 4 2 3 2 3" xfId="5421" xr:uid="{00000000-0005-0000-0000-000062140000}"/>
    <cellStyle name="40% - Énfasis1 4 2 3 2 4" xfId="9197" xr:uid="{00000000-0005-0000-0000-000063140000}"/>
    <cellStyle name="40% - Énfasis1 4 2 3 3" xfId="2586" xr:uid="{00000000-0005-0000-0000-000064140000}"/>
    <cellStyle name="40% - Énfasis1 4 2 3 3 2" xfId="6365" xr:uid="{00000000-0005-0000-0000-000065140000}"/>
    <cellStyle name="40% - Énfasis1 4 2 3 3 3" xfId="10141" xr:uid="{00000000-0005-0000-0000-000066140000}"/>
    <cellStyle name="40% - Énfasis1 4 2 3 4" xfId="4477" xr:uid="{00000000-0005-0000-0000-000067140000}"/>
    <cellStyle name="40% - Énfasis1 4 2 3 5" xfId="8253" xr:uid="{00000000-0005-0000-0000-000068140000}"/>
    <cellStyle name="40% - Énfasis1 4 2 4" xfId="1168" xr:uid="{00000000-0005-0000-0000-000069140000}"/>
    <cellStyle name="40% - Énfasis1 4 2 4 2" xfId="3058" xr:uid="{00000000-0005-0000-0000-00006A140000}"/>
    <cellStyle name="40% - Énfasis1 4 2 4 2 2" xfId="6837" xr:uid="{00000000-0005-0000-0000-00006B140000}"/>
    <cellStyle name="40% - Énfasis1 4 2 4 2 3" xfId="10613" xr:uid="{00000000-0005-0000-0000-00006C140000}"/>
    <cellStyle name="40% - Énfasis1 4 2 4 3" xfId="4949" xr:uid="{00000000-0005-0000-0000-00006D140000}"/>
    <cellStyle name="40% - Énfasis1 4 2 4 4" xfId="8725" xr:uid="{00000000-0005-0000-0000-00006E140000}"/>
    <cellStyle name="40% - Énfasis1 4 2 5" xfId="2114" xr:uid="{00000000-0005-0000-0000-00006F140000}"/>
    <cellStyle name="40% - Énfasis1 4 2 5 2" xfId="5893" xr:uid="{00000000-0005-0000-0000-000070140000}"/>
    <cellStyle name="40% - Énfasis1 4 2 5 3" xfId="9669" xr:uid="{00000000-0005-0000-0000-000071140000}"/>
    <cellStyle name="40% - Énfasis1 4 2 6" xfId="4005" xr:uid="{00000000-0005-0000-0000-000072140000}"/>
    <cellStyle name="40% - Énfasis1 4 2 7" xfId="7781" xr:uid="{00000000-0005-0000-0000-000073140000}"/>
    <cellStyle name="40% - Énfasis1 4 3" xfId="338" xr:uid="{00000000-0005-0000-0000-000074140000}"/>
    <cellStyle name="40% - Énfasis1 4 3 2" xfId="812" xr:uid="{00000000-0005-0000-0000-000075140000}"/>
    <cellStyle name="40% - Énfasis1 4 3 2 2" xfId="1758" xr:uid="{00000000-0005-0000-0000-000076140000}"/>
    <cellStyle name="40% - Énfasis1 4 3 2 2 2" xfId="3648" xr:uid="{00000000-0005-0000-0000-000077140000}"/>
    <cellStyle name="40% - Énfasis1 4 3 2 2 2 2" xfId="7427" xr:uid="{00000000-0005-0000-0000-000078140000}"/>
    <cellStyle name="40% - Énfasis1 4 3 2 2 2 3" xfId="11203" xr:uid="{00000000-0005-0000-0000-000079140000}"/>
    <cellStyle name="40% - Énfasis1 4 3 2 2 3" xfId="5539" xr:uid="{00000000-0005-0000-0000-00007A140000}"/>
    <cellStyle name="40% - Énfasis1 4 3 2 2 4" xfId="9315" xr:uid="{00000000-0005-0000-0000-00007B140000}"/>
    <cellStyle name="40% - Énfasis1 4 3 2 3" xfId="2704" xr:uid="{00000000-0005-0000-0000-00007C140000}"/>
    <cellStyle name="40% - Énfasis1 4 3 2 3 2" xfId="6483" xr:uid="{00000000-0005-0000-0000-00007D140000}"/>
    <cellStyle name="40% - Énfasis1 4 3 2 3 3" xfId="10259" xr:uid="{00000000-0005-0000-0000-00007E140000}"/>
    <cellStyle name="40% - Énfasis1 4 3 2 4" xfId="4595" xr:uid="{00000000-0005-0000-0000-00007F140000}"/>
    <cellStyle name="40% - Énfasis1 4 3 2 5" xfId="8371" xr:uid="{00000000-0005-0000-0000-000080140000}"/>
    <cellStyle name="40% - Énfasis1 4 3 3" xfId="1286" xr:uid="{00000000-0005-0000-0000-000081140000}"/>
    <cellStyle name="40% - Énfasis1 4 3 3 2" xfId="3176" xr:uid="{00000000-0005-0000-0000-000082140000}"/>
    <cellStyle name="40% - Énfasis1 4 3 3 2 2" xfId="6955" xr:uid="{00000000-0005-0000-0000-000083140000}"/>
    <cellStyle name="40% - Énfasis1 4 3 3 2 3" xfId="10731" xr:uid="{00000000-0005-0000-0000-000084140000}"/>
    <cellStyle name="40% - Énfasis1 4 3 3 3" xfId="5067" xr:uid="{00000000-0005-0000-0000-000085140000}"/>
    <cellStyle name="40% - Énfasis1 4 3 3 4" xfId="8843" xr:uid="{00000000-0005-0000-0000-000086140000}"/>
    <cellStyle name="40% - Énfasis1 4 3 4" xfId="2232" xr:uid="{00000000-0005-0000-0000-000087140000}"/>
    <cellStyle name="40% - Énfasis1 4 3 4 2" xfId="6011" xr:uid="{00000000-0005-0000-0000-000088140000}"/>
    <cellStyle name="40% - Énfasis1 4 3 4 3" xfId="9787" xr:uid="{00000000-0005-0000-0000-000089140000}"/>
    <cellStyle name="40% - Énfasis1 4 3 5" xfId="4123" xr:uid="{00000000-0005-0000-0000-00008A140000}"/>
    <cellStyle name="40% - Énfasis1 4 3 6" xfId="7899" xr:uid="{00000000-0005-0000-0000-00008B140000}"/>
    <cellStyle name="40% - Énfasis1 4 4" xfId="576" xr:uid="{00000000-0005-0000-0000-00008C140000}"/>
    <cellStyle name="40% - Énfasis1 4 4 2" xfId="1522" xr:uid="{00000000-0005-0000-0000-00008D140000}"/>
    <cellStyle name="40% - Énfasis1 4 4 2 2" xfId="3412" xr:uid="{00000000-0005-0000-0000-00008E140000}"/>
    <cellStyle name="40% - Énfasis1 4 4 2 2 2" xfId="7191" xr:uid="{00000000-0005-0000-0000-00008F140000}"/>
    <cellStyle name="40% - Énfasis1 4 4 2 2 3" xfId="10967" xr:uid="{00000000-0005-0000-0000-000090140000}"/>
    <cellStyle name="40% - Énfasis1 4 4 2 3" xfId="5303" xr:uid="{00000000-0005-0000-0000-000091140000}"/>
    <cellStyle name="40% - Énfasis1 4 4 2 4" xfId="9079" xr:uid="{00000000-0005-0000-0000-000092140000}"/>
    <cellStyle name="40% - Énfasis1 4 4 3" xfId="2468" xr:uid="{00000000-0005-0000-0000-000093140000}"/>
    <cellStyle name="40% - Énfasis1 4 4 3 2" xfId="6247" xr:uid="{00000000-0005-0000-0000-000094140000}"/>
    <cellStyle name="40% - Énfasis1 4 4 3 3" xfId="10023" xr:uid="{00000000-0005-0000-0000-000095140000}"/>
    <cellStyle name="40% - Énfasis1 4 4 4" xfId="4359" xr:uid="{00000000-0005-0000-0000-000096140000}"/>
    <cellStyle name="40% - Énfasis1 4 4 5" xfId="8135" xr:uid="{00000000-0005-0000-0000-000097140000}"/>
    <cellStyle name="40% - Énfasis1 4 5" xfId="1050" xr:uid="{00000000-0005-0000-0000-000098140000}"/>
    <cellStyle name="40% - Énfasis1 4 5 2" xfId="2940" xr:uid="{00000000-0005-0000-0000-000099140000}"/>
    <cellStyle name="40% - Énfasis1 4 5 2 2" xfId="6719" xr:uid="{00000000-0005-0000-0000-00009A140000}"/>
    <cellStyle name="40% - Énfasis1 4 5 2 3" xfId="10495" xr:uid="{00000000-0005-0000-0000-00009B140000}"/>
    <cellStyle name="40% - Énfasis1 4 5 3" xfId="4831" xr:uid="{00000000-0005-0000-0000-00009C140000}"/>
    <cellStyle name="40% - Énfasis1 4 5 4" xfId="8607" xr:uid="{00000000-0005-0000-0000-00009D140000}"/>
    <cellStyle name="40% - Énfasis1 4 6" xfId="1996" xr:uid="{00000000-0005-0000-0000-00009E140000}"/>
    <cellStyle name="40% - Énfasis1 4 6 2" xfId="5775" xr:uid="{00000000-0005-0000-0000-00009F140000}"/>
    <cellStyle name="40% - Énfasis1 4 6 3" xfId="9551" xr:uid="{00000000-0005-0000-0000-0000A0140000}"/>
    <cellStyle name="40% - Énfasis1 4 7" xfId="3887" xr:uid="{00000000-0005-0000-0000-0000A1140000}"/>
    <cellStyle name="40% - Énfasis1 4 8" xfId="7663" xr:uid="{00000000-0005-0000-0000-0000A2140000}"/>
    <cellStyle name="40% - Énfasis1 5" xfId="157" xr:uid="{00000000-0005-0000-0000-0000A3140000}"/>
    <cellStyle name="40% - Énfasis1 5 2" xfId="397" xr:uid="{00000000-0005-0000-0000-0000A4140000}"/>
    <cellStyle name="40% - Énfasis1 5 2 2" xfId="871" xr:uid="{00000000-0005-0000-0000-0000A5140000}"/>
    <cellStyle name="40% - Énfasis1 5 2 2 2" xfId="1817" xr:uid="{00000000-0005-0000-0000-0000A6140000}"/>
    <cellStyle name="40% - Énfasis1 5 2 2 2 2" xfId="3707" xr:uid="{00000000-0005-0000-0000-0000A7140000}"/>
    <cellStyle name="40% - Énfasis1 5 2 2 2 2 2" xfId="7486" xr:uid="{00000000-0005-0000-0000-0000A8140000}"/>
    <cellStyle name="40% - Énfasis1 5 2 2 2 2 3" xfId="11262" xr:uid="{00000000-0005-0000-0000-0000A9140000}"/>
    <cellStyle name="40% - Énfasis1 5 2 2 2 3" xfId="5598" xr:uid="{00000000-0005-0000-0000-0000AA140000}"/>
    <cellStyle name="40% - Énfasis1 5 2 2 2 4" xfId="9374" xr:uid="{00000000-0005-0000-0000-0000AB140000}"/>
    <cellStyle name="40% - Énfasis1 5 2 2 3" xfId="2763" xr:uid="{00000000-0005-0000-0000-0000AC140000}"/>
    <cellStyle name="40% - Énfasis1 5 2 2 3 2" xfId="6542" xr:uid="{00000000-0005-0000-0000-0000AD140000}"/>
    <cellStyle name="40% - Énfasis1 5 2 2 3 3" xfId="10318" xr:uid="{00000000-0005-0000-0000-0000AE140000}"/>
    <cellStyle name="40% - Énfasis1 5 2 2 4" xfId="4654" xr:uid="{00000000-0005-0000-0000-0000AF140000}"/>
    <cellStyle name="40% - Énfasis1 5 2 2 5" xfId="8430" xr:uid="{00000000-0005-0000-0000-0000B0140000}"/>
    <cellStyle name="40% - Énfasis1 5 2 3" xfId="1345" xr:uid="{00000000-0005-0000-0000-0000B1140000}"/>
    <cellStyle name="40% - Énfasis1 5 2 3 2" xfId="3235" xr:uid="{00000000-0005-0000-0000-0000B2140000}"/>
    <cellStyle name="40% - Énfasis1 5 2 3 2 2" xfId="7014" xr:uid="{00000000-0005-0000-0000-0000B3140000}"/>
    <cellStyle name="40% - Énfasis1 5 2 3 2 3" xfId="10790" xr:uid="{00000000-0005-0000-0000-0000B4140000}"/>
    <cellStyle name="40% - Énfasis1 5 2 3 3" xfId="5126" xr:uid="{00000000-0005-0000-0000-0000B5140000}"/>
    <cellStyle name="40% - Énfasis1 5 2 3 4" xfId="8902" xr:uid="{00000000-0005-0000-0000-0000B6140000}"/>
    <cellStyle name="40% - Énfasis1 5 2 4" xfId="2291" xr:uid="{00000000-0005-0000-0000-0000B7140000}"/>
    <cellStyle name="40% - Énfasis1 5 2 4 2" xfId="6070" xr:uid="{00000000-0005-0000-0000-0000B8140000}"/>
    <cellStyle name="40% - Énfasis1 5 2 4 3" xfId="9846" xr:uid="{00000000-0005-0000-0000-0000B9140000}"/>
    <cellStyle name="40% - Énfasis1 5 2 5" xfId="4182" xr:uid="{00000000-0005-0000-0000-0000BA140000}"/>
    <cellStyle name="40% - Énfasis1 5 2 6" xfId="7958" xr:uid="{00000000-0005-0000-0000-0000BB140000}"/>
    <cellStyle name="40% - Énfasis1 5 3" xfId="635" xr:uid="{00000000-0005-0000-0000-0000BC140000}"/>
    <cellStyle name="40% - Énfasis1 5 3 2" xfId="1581" xr:uid="{00000000-0005-0000-0000-0000BD140000}"/>
    <cellStyle name="40% - Énfasis1 5 3 2 2" xfId="3471" xr:uid="{00000000-0005-0000-0000-0000BE140000}"/>
    <cellStyle name="40% - Énfasis1 5 3 2 2 2" xfId="7250" xr:uid="{00000000-0005-0000-0000-0000BF140000}"/>
    <cellStyle name="40% - Énfasis1 5 3 2 2 3" xfId="11026" xr:uid="{00000000-0005-0000-0000-0000C0140000}"/>
    <cellStyle name="40% - Énfasis1 5 3 2 3" xfId="5362" xr:uid="{00000000-0005-0000-0000-0000C1140000}"/>
    <cellStyle name="40% - Énfasis1 5 3 2 4" xfId="9138" xr:uid="{00000000-0005-0000-0000-0000C2140000}"/>
    <cellStyle name="40% - Énfasis1 5 3 3" xfId="2527" xr:uid="{00000000-0005-0000-0000-0000C3140000}"/>
    <cellStyle name="40% - Énfasis1 5 3 3 2" xfId="6306" xr:uid="{00000000-0005-0000-0000-0000C4140000}"/>
    <cellStyle name="40% - Énfasis1 5 3 3 3" xfId="10082" xr:uid="{00000000-0005-0000-0000-0000C5140000}"/>
    <cellStyle name="40% - Énfasis1 5 3 4" xfId="4418" xr:uid="{00000000-0005-0000-0000-0000C6140000}"/>
    <cellStyle name="40% - Énfasis1 5 3 5" xfId="8194" xr:uid="{00000000-0005-0000-0000-0000C7140000}"/>
    <cellStyle name="40% - Énfasis1 5 4" xfId="1109" xr:uid="{00000000-0005-0000-0000-0000C8140000}"/>
    <cellStyle name="40% - Énfasis1 5 4 2" xfId="2999" xr:uid="{00000000-0005-0000-0000-0000C9140000}"/>
    <cellStyle name="40% - Énfasis1 5 4 2 2" xfId="6778" xr:uid="{00000000-0005-0000-0000-0000CA140000}"/>
    <cellStyle name="40% - Énfasis1 5 4 2 3" xfId="10554" xr:uid="{00000000-0005-0000-0000-0000CB140000}"/>
    <cellStyle name="40% - Énfasis1 5 4 3" xfId="4890" xr:uid="{00000000-0005-0000-0000-0000CC140000}"/>
    <cellStyle name="40% - Énfasis1 5 4 4" xfId="8666" xr:uid="{00000000-0005-0000-0000-0000CD140000}"/>
    <cellStyle name="40% - Énfasis1 5 5" xfId="2055" xr:uid="{00000000-0005-0000-0000-0000CE140000}"/>
    <cellStyle name="40% - Énfasis1 5 5 2" xfId="5834" xr:uid="{00000000-0005-0000-0000-0000CF140000}"/>
    <cellStyle name="40% - Énfasis1 5 5 3" xfId="9610" xr:uid="{00000000-0005-0000-0000-0000D0140000}"/>
    <cellStyle name="40% - Énfasis1 5 6" xfId="3946" xr:uid="{00000000-0005-0000-0000-0000D1140000}"/>
    <cellStyle name="40% - Énfasis1 5 7" xfId="7722" xr:uid="{00000000-0005-0000-0000-0000D2140000}"/>
    <cellStyle name="40% - Énfasis1 6" xfId="277" xr:uid="{00000000-0005-0000-0000-0000D3140000}"/>
    <cellStyle name="40% - Énfasis1 6 2" xfId="753" xr:uid="{00000000-0005-0000-0000-0000D4140000}"/>
    <cellStyle name="40% - Énfasis1 6 2 2" xfId="1699" xr:uid="{00000000-0005-0000-0000-0000D5140000}"/>
    <cellStyle name="40% - Énfasis1 6 2 2 2" xfId="3589" xr:uid="{00000000-0005-0000-0000-0000D6140000}"/>
    <cellStyle name="40% - Énfasis1 6 2 2 2 2" xfId="7368" xr:uid="{00000000-0005-0000-0000-0000D7140000}"/>
    <cellStyle name="40% - Énfasis1 6 2 2 2 3" xfId="11144" xr:uid="{00000000-0005-0000-0000-0000D8140000}"/>
    <cellStyle name="40% - Énfasis1 6 2 2 3" xfId="5480" xr:uid="{00000000-0005-0000-0000-0000D9140000}"/>
    <cellStyle name="40% - Énfasis1 6 2 2 4" xfId="9256" xr:uid="{00000000-0005-0000-0000-0000DA140000}"/>
    <cellStyle name="40% - Énfasis1 6 2 3" xfId="2645" xr:uid="{00000000-0005-0000-0000-0000DB140000}"/>
    <cellStyle name="40% - Énfasis1 6 2 3 2" xfId="6424" xr:uid="{00000000-0005-0000-0000-0000DC140000}"/>
    <cellStyle name="40% - Énfasis1 6 2 3 3" xfId="10200" xr:uid="{00000000-0005-0000-0000-0000DD140000}"/>
    <cellStyle name="40% - Énfasis1 6 2 4" xfId="4536" xr:uid="{00000000-0005-0000-0000-0000DE140000}"/>
    <cellStyle name="40% - Énfasis1 6 2 5" xfId="8312" xr:uid="{00000000-0005-0000-0000-0000DF140000}"/>
    <cellStyle name="40% - Énfasis1 6 3" xfId="1227" xr:uid="{00000000-0005-0000-0000-0000E0140000}"/>
    <cellStyle name="40% - Énfasis1 6 3 2" xfId="3117" xr:uid="{00000000-0005-0000-0000-0000E1140000}"/>
    <cellStyle name="40% - Énfasis1 6 3 2 2" xfId="6896" xr:uid="{00000000-0005-0000-0000-0000E2140000}"/>
    <cellStyle name="40% - Énfasis1 6 3 2 3" xfId="10672" xr:uid="{00000000-0005-0000-0000-0000E3140000}"/>
    <cellStyle name="40% - Énfasis1 6 3 3" xfId="5008" xr:uid="{00000000-0005-0000-0000-0000E4140000}"/>
    <cellStyle name="40% - Énfasis1 6 3 4" xfId="8784" xr:uid="{00000000-0005-0000-0000-0000E5140000}"/>
    <cellStyle name="40% - Énfasis1 6 4" xfId="2173" xr:uid="{00000000-0005-0000-0000-0000E6140000}"/>
    <cellStyle name="40% - Énfasis1 6 4 2" xfId="5952" xr:uid="{00000000-0005-0000-0000-0000E7140000}"/>
    <cellStyle name="40% - Énfasis1 6 4 3" xfId="9728" xr:uid="{00000000-0005-0000-0000-0000E8140000}"/>
    <cellStyle name="40% - Énfasis1 6 5" xfId="4064" xr:uid="{00000000-0005-0000-0000-0000E9140000}"/>
    <cellStyle name="40% - Énfasis1 6 6" xfId="7840" xr:uid="{00000000-0005-0000-0000-0000EA140000}"/>
    <cellStyle name="40% - Énfasis1 7" xfId="515" xr:uid="{00000000-0005-0000-0000-0000EB140000}"/>
    <cellStyle name="40% - Énfasis1 7 2" xfId="1463" xr:uid="{00000000-0005-0000-0000-0000EC140000}"/>
    <cellStyle name="40% - Énfasis1 7 2 2" xfId="3353" xr:uid="{00000000-0005-0000-0000-0000ED140000}"/>
    <cellStyle name="40% - Énfasis1 7 2 2 2" xfId="7132" xr:uid="{00000000-0005-0000-0000-0000EE140000}"/>
    <cellStyle name="40% - Énfasis1 7 2 2 3" xfId="10908" xr:uid="{00000000-0005-0000-0000-0000EF140000}"/>
    <cellStyle name="40% - Énfasis1 7 2 3" xfId="5244" xr:uid="{00000000-0005-0000-0000-0000F0140000}"/>
    <cellStyle name="40% - Énfasis1 7 2 4" xfId="9020" xr:uid="{00000000-0005-0000-0000-0000F1140000}"/>
    <cellStyle name="40% - Énfasis1 7 3" xfId="2409" xr:uid="{00000000-0005-0000-0000-0000F2140000}"/>
    <cellStyle name="40% - Énfasis1 7 3 2" xfId="6188" xr:uid="{00000000-0005-0000-0000-0000F3140000}"/>
    <cellStyle name="40% - Énfasis1 7 3 3" xfId="9964" xr:uid="{00000000-0005-0000-0000-0000F4140000}"/>
    <cellStyle name="40% - Énfasis1 7 4" xfId="4300" xr:uid="{00000000-0005-0000-0000-0000F5140000}"/>
    <cellStyle name="40% - Énfasis1 7 5" xfId="8076" xr:uid="{00000000-0005-0000-0000-0000F6140000}"/>
    <cellStyle name="40% - Énfasis1 8" xfId="989" xr:uid="{00000000-0005-0000-0000-0000F7140000}"/>
    <cellStyle name="40% - Énfasis1 8 2" xfId="2881" xr:uid="{00000000-0005-0000-0000-0000F8140000}"/>
    <cellStyle name="40% - Énfasis1 8 2 2" xfId="6660" xr:uid="{00000000-0005-0000-0000-0000F9140000}"/>
    <cellStyle name="40% - Énfasis1 8 2 3" xfId="10436" xr:uid="{00000000-0005-0000-0000-0000FA140000}"/>
    <cellStyle name="40% - Énfasis1 8 3" xfId="4772" xr:uid="{00000000-0005-0000-0000-0000FB140000}"/>
    <cellStyle name="40% - Énfasis1 8 4" xfId="8548" xr:uid="{00000000-0005-0000-0000-0000FC140000}"/>
    <cellStyle name="40% - Énfasis1 9" xfId="1935" xr:uid="{00000000-0005-0000-0000-0000FD140000}"/>
    <cellStyle name="40% - Énfasis1 9 2" xfId="5716" xr:uid="{00000000-0005-0000-0000-0000FE140000}"/>
    <cellStyle name="40% - Énfasis1 9 3" xfId="9492" xr:uid="{00000000-0005-0000-0000-0000FF140000}"/>
    <cellStyle name="40% - Énfasis2" xfId="24" builtinId="35" customBuiltin="1"/>
    <cellStyle name="40% - Énfasis2 10" xfId="3828" xr:uid="{00000000-0005-0000-0000-000001150000}"/>
    <cellStyle name="40% - Énfasis2 11" xfId="7606" xr:uid="{00000000-0005-0000-0000-000002150000}"/>
    <cellStyle name="40% - Énfasis2 2" xfId="49" xr:uid="{00000000-0005-0000-0000-000003150000}"/>
    <cellStyle name="40% - Énfasis2 2 10" xfId="7622" xr:uid="{00000000-0005-0000-0000-000004150000}"/>
    <cellStyle name="40% - Énfasis2 2 2" xfId="80" xr:uid="{00000000-0005-0000-0000-000005150000}"/>
    <cellStyle name="40% - Énfasis2 2 2 2" xfId="143" xr:uid="{00000000-0005-0000-0000-000006150000}"/>
    <cellStyle name="40% - Énfasis2 2 2 2 2" xfId="265" xr:uid="{00000000-0005-0000-0000-000007150000}"/>
    <cellStyle name="40% - Énfasis2 2 2 2 2 2" xfId="503" xr:uid="{00000000-0005-0000-0000-000008150000}"/>
    <cellStyle name="40% - Énfasis2 2 2 2 2 2 2" xfId="977" xr:uid="{00000000-0005-0000-0000-000009150000}"/>
    <cellStyle name="40% - Énfasis2 2 2 2 2 2 2 2" xfId="1923" xr:uid="{00000000-0005-0000-0000-00000A150000}"/>
    <cellStyle name="40% - Énfasis2 2 2 2 2 2 2 2 2" xfId="3813" xr:uid="{00000000-0005-0000-0000-00000B150000}"/>
    <cellStyle name="40% - Énfasis2 2 2 2 2 2 2 2 2 2" xfId="7592" xr:uid="{00000000-0005-0000-0000-00000C150000}"/>
    <cellStyle name="40% - Énfasis2 2 2 2 2 2 2 2 2 3" xfId="11368" xr:uid="{00000000-0005-0000-0000-00000D150000}"/>
    <cellStyle name="40% - Énfasis2 2 2 2 2 2 2 2 3" xfId="5704" xr:uid="{00000000-0005-0000-0000-00000E150000}"/>
    <cellStyle name="40% - Énfasis2 2 2 2 2 2 2 2 4" xfId="9480" xr:uid="{00000000-0005-0000-0000-00000F150000}"/>
    <cellStyle name="40% - Énfasis2 2 2 2 2 2 2 3" xfId="2869" xr:uid="{00000000-0005-0000-0000-000010150000}"/>
    <cellStyle name="40% - Énfasis2 2 2 2 2 2 2 3 2" xfId="6648" xr:uid="{00000000-0005-0000-0000-000011150000}"/>
    <cellStyle name="40% - Énfasis2 2 2 2 2 2 2 3 3" xfId="10424" xr:uid="{00000000-0005-0000-0000-000012150000}"/>
    <cellStyle name="40% - Énfasis2 2 2 2 2 2 2 4" xfId="4760" xr:uid="{00000000-0005-0000-0000-000013150000}"/>
    <cellStyle name="40% - Énfasis2 2 2 2 2 2 2 5" xfId="8536" xr:uid="{00000000-0005-0000-0000-000014150000}"/>
    <cellStyle name="40% - Énfasis2 2 2 2 2 2 3" xfId="1451" xr:uid="{00000000-0005-0000-0000-000015150000}"/>
    <cellStyle name="40% - Énfasis2 2 2 2 2 2 3 2" xfId="3341" xr:uid="{00000000-0005-0000-0000-000016150000}"/>
    <cellStyle name="40% - Énfasis2 2 2 2 2 2 3 2 2" xfId="7120" xr:uid="{00000000-0005-0000-0000-000017150000}"/>
    <cellStyle name="40% - Énfasis2 2 2 2 2 2 3 2 3" xfId="10896" xr:uid="{00000000-0005-0000-0000-000018150000}"/>
    <cellStyle name="40% - Énfasis2 2 2 2 2 2 3 3" xfId="5232" xr:uid="{00000000-0005-0000-0000-000019150000}"/>
    <cellStyle name="40% - Énfasis2 2 2 2 2 2 3 4" xfId="9008" xr:uid="{00000000-0005-0000-0000-00001A150000}"/>
    <cellStyle name="40% - Énfasis2 2 2 2 2 2 4" xfId="2397" xr:uid="{00000000-0005-0000-0000-00001B150000}"/>
    <cellStyle name="40% - Énfasis2 2 2 2 2 2 4 2" xfId="6176" xr:uid="{00000000-0005-0000-0000-00001C150000}"/>
    <cellStyle name="40% - Énfasis2 2 2 2 2 2 4 3" xfId="9952" xr:uid="{00000000-0005-0000-0000-00001D150000}"/>
    <cellStyle name="40% - Énfasis2 2 2 2 2 2 5" xfId="4288" xr:uid="{00000000-0005-0000-0000-00001E150000}"/>
    <cellStyle name="40% - Énfasis2 2 2 2 2 2 6" xfId="8064" xr:uid="{00000000-0005-0000-0000-00001F150000}"/>
    <cellStyle name="40% - Énfasis2 2 2 2 2 3" xfId="741" xr:uid="{00000000-0005-0000-0000-000020150000}"/>
    <cellStyle name="40% - Énfasis2 2 2 2 2 3 2" xfId="1687" xr:uid="{00000000-0005-0000-0000-000021150000}"/>
    <cellStyle name="40% - Énfasis2 2 2 2 2 3 2 2" xfId="3577" xr:uid="{00000000-0005-0000-0000-000022150000}"/>
    <cellStyle name="40% - Énfasis2 2 2 2 2 3 2 2 2" xfId="7356" xr:uid="{00000000-0005-0000-0000-000023150000}"/>
    <cellStyle name="40% - Énfasis2 2 2 2 2 3 2 2 3" xfId="11132" xr:uid="{00000000-0005-0000-0000-000024150000}"/>
    <cellStyle name="40% - Énfasis2 2 2 2 2 3 2 3" xfId="5468" xr:uid="{00000000-0005-0000-0000-000025150000}"/>
    <cellStyle name="40% - Énfasis2 2 2 2 2 3 2 4" xfId="9244" xr:uid="{00000000-0005-0000-0000-000026150000}"/>
    <cellStyle name="40% - Énfasis2 2 2 2 2 3 3" xfId="2633" xr:uid="{00000000-0005-0000-0000-000027150000}"/>
    <cellStyle name="40% - Énfasis2 2 2 2 2 3 3 2" xfId="6412" xr:uid="{00000000-0005-0000-0000-000028150000}"/>
    <cellStyle name="40% - Énfasis2 2 2 2 2 3 3 3" xfId="10188" xr:uid="{00000000-0005-0000-0000-000029150000}"/>
    <cellStyle name="40% - Énfasis2 2 2 2 2 3 4" xfId="4524" xr:uid="{00000000-0005-0000-0000-00002A150000}"/>
    <cellStyle name="40% - Énfasis2 2 2 2 2 3 5" xfId="8300" xr:uid="{00000000-0005-0000-0000-00002B150000}"/>
    <cellStyle name="40% - Énfasis2 2 2 2 2 4" xfId="1215" xr:uid="{00000000-0005-0000-0000-00002C150000}"/>
    <cellStyle name="40% - Énfasis2 2 2 2 2 4 2" xfId="3105" xr:uid="{00000000-0005-0000-0000-00002D150000}"/>
    <cellStyle name="40% - Énfasis2 2 2 2 2 4 2 2" xfId="6884" xr:uid="{00000000-0005-0000-0000-00002E150000}"/>
    <cellStyle name="40% - Énfasis2 2 2 2 2 4 2 3" xfId="10660" xr:uid="{00000000-0005-0000-0000-00002F150000}"/>
    <cellStyle name="40% - Énfasis2 2 2 2 2 4 3" xfId="4996" xr:uid="{00000000-0005-0000-0000-000030150000}"/>
    <cellStyle name="40% - Énfasis2 2 2 2 2 4 4" xfId="8772" xr:uid="{00000000-0005-0000-0000-000031150000}"/>
    <cellStyle name="40% - Énfasis2 2 2 2 2 5" xfId="2161" xr:uid="{00000000-0005-0000-0000-000032150000}"/>
    <cellStyle name="40% - Énfasis2 2 2 2 2 5 2" xfId="5940" xr:uid="{00000000-0005-0000-0000-000033150000}"/>
    <cellStyle name="40% - Énfasis2 2 2 2 2 5 3" xfId="9716" xr:uid="{00000000-0005-0000-0000-000034150000}"/>
    <cellStyle name="40% - Énfasis2 2 2 2 2 6" xfId="4052" xr:uid="{00000000-0005-0000-0000-000035150000}"/>
    <cellStyle name="40% - Énfasis2 2 2 2 2 7" xfId="7828" xr:uid="{00000000-0005-0000-0000-000036150000}"/>
    <cellStyle name="40% - Énfasis2 2 2 2 3" xfId="385" xr:uid="{00000000-0005-0000-0000-000037150000}"/>
    <cellStyle name="40% - Énfasis2 2 2 2 3 2" xfId="859" xr:uid="{00000000-0005-0000-0000-000038150000}"/>
    <cellStyle name="40% - Énfasis2 2 2 2 3 2 2" xfId="1805" xr:uid="{00000000-0005-0000-0000-000039150000}"/>
    <cellStyle name="40% - Énfasis2 2 2 2 3 2 2 2" xfId="3695" xr:uid="{00000000-0005-0000-0000-00003A150000}"/>
    <cellStyle name="40% - Énfasis2 2 2 2 3 2 2 2 2" xfId="7474" xr:uid="{00000000-0005-0000-0000-00003B150000}"/>
    <cellStyle name="40% - Énfasis2 2 2 2 3 2 2 2 3" xfId="11250" xr:uid="{00000000-0005-0000-0000-00003C150000}"/>
    <cellStyle name="40% - Énfasis2 2 2 2 3 2 2 3" xfId="5586" xr:uid="{00000000-0005-0000-0000-00003D150000}"/>
    <cellStyle name="40% - Énfasis2 2 2 2 3 2 2 4" xfId="9362" xr:uid="{00000000-0005-0000-0000-00003E150000}"/>
    <cellStyle name="40% - Énfasis2 2 2 2 3 2 3" xfId="2751" xr:uid="{00000000-0005-0000-0000-00003F150000}"/>
    <cellStyle name="40% - Énfasis2 2 2 2 3 2 3 2" xfId="6530" xr:uid="{00000000-0005-0000-0000-000040150000}"/>
    <cellStyle name="40% - Énfasis2 2 2 2 3 2 3 3" xfId="10306" xr:uid="{00000000-0005-0000-0000-000041150000}"/>
    <cellStyle name="40% - Énfasis2 2 2 2 3 2 4" xfId="4642" xr:uid="{00000000-0005-0000-0000-000042150000}"/>
    <cellStyle name="40% - Énfasis2 2 2 2 3 2 5" xfId="8418" xr:uid="{00000000-0005-0000-0000-000043150000}"/>
    <cellStyle name="40% - Énfasis2 2 2 2 3 3" xfId="1333" xr:uid="{00000000-0005-0000-0000-000044150000}"/>
    <cellStyle name="40% - Énfasis2 2 2 2 3 3 2" xfId="3223" xr:uid="{00000000-0005-0000-0000-000045150000}"/>
    <cellStyle name="40% - Énfasis2 2 2 2 3 3 2 2" xfId="7002" xr:uid="{00000000-0005-0000-0000-000046150000}"/>
    <cellStyle name="40% - Énfasis2 2 2 2 3 3 2 3" xfId="10778" xr:uid="{00000000-0005-0000-0000-000047150000}"/>
    <cellStyle name="40% - Énfasis2 2 2 2 3 3 3" xfId="5114" xr:uid="{00000000-0005-0000-0000-000048150000}"/>
    <cellStyle name="40% - Énfasis2 2 2 2 3 3 4" xfId="8890" xr:uid="{00000000-0005-0000-0000-000049150000}"/>
    <cellStyle name="40% - Énfasis2 2 2 2 3 4" xfId="2279" xr:uid="{00000000-0005-0000-0000-00004A150000}"/>
    <cellStyle name="40% - Énfasis2 2 2 2 3 4 2" xfId="6058" xr:uid="{00000000-0005-0000-0000-00004B150000}"/>
    <cellStyle name="40% - Énfasis2 2 2 2 3 4 3" xfId="9834" xr:uid="{00000000-0005-0000-0000-00004C150000}"/>
    <cellStyle name="40% - Énfasis2 2 2 2 3 5" xfId="4170" xr:uid="{00000000-0005-0000-0000-00004D150000}"/>
    <cellStyle name="40% - Énfasis2 2 2 2 3 6" xfId="7946" xr:uid="{00000000-0005-0000-0000-00004E150000}"/>
    <cellStyle name="40% - Énfasis2 2 2 2 4" xfId="623" xr:uid="{00000000-0005-0000-0000-00004F150000}"/>
    <cellStyle name="40% - Énfasis2 2 2 2 4 2" xfId="1569" xr:uid="{00000000-0005-0000-0000-000050150000}"/>
    <cellStyle name="40% - Énfasis2 2 2 2 4 2 2" xfId="3459" xr:uid="{00000000-0005-0000-0000-000051150000}"/>
    <cellStyle name="40% - Énfasis2 2 2 2 4 2 2 2" xfId="7238" xr:uid="{00000000-0005-0000-0000-000052150000}"/>
    <cellStyle name="40% - Énfasis2 2 2 2 4 2 2 3" xfId="11014" xr:uid="{00000000-0005-0000-0000-000053150000}"/>
    <cellStyle name="40% - Énfasis2 2 2 2 4 2 3" xfId="5350" xr:uid="{00000000-0005-0000-0000-000054150000}"/>
    <cellStyle name="40% - Énfasis2 2 2 2 4 2 4" xfId="9126" xr:uid="{00000000-0005-0000-0000-000055150000}"/>
    <cellStyle name="40% - Énfasis2 2 2 2 4 3" xfId="2515" xr:uid="{00000000-0005-0000-0000-000056150000}"/>
    <cellStyle name="40% - Énfasis2 2 2 2 4 3 2" xfId="6294" xr:uid="{00000000-0005-0000-0000-000057150000}"/>
    <cellStyle name="40% - Énfasis2 2 2 2 4 3 3" xfId="10070" xr:uid="{00000000-0005-0000-0000-000058150000}"/>
    <cellStyle name="40% - Énfasis2 2 2 2 4 4" xfId="4406" xr:uid="{00000000-0005-0000-0000-000059150000}"/>
    <cellStyle name="40% - Énfasis2 2 2 2 4 5" xfId="8182" xr:uid="{00000000-0005-0000-0000-00005A150000}"/>
    <cellStyle name="40% - Énfasis2 2 2 2 5" xfId="1097" xr:uid="{00000000-0005-0000-0000-00005B150000}"/>
    <cellStyle name="40% - Énfasis2 2 2 2 5 2" xfId="2987" xr:uid="{00000000-0005-0000-0000-00005C150000}"/>
    <cellStyle name="40% - Énfasis2 2 2 2 5 2 2" xfId="6766" xr:uid="{00000000-0005-0000-0000-00005D150000}"/>
    <cellStyle name="40% - Énfasis2 2 2 2 5 2 3" xfId="10542" xr:uid="{00000000-0005-0000-0000-00005E150000}"/>
    <cellStyle name="40% - Énfasis2 2 2 2 5 3" xfId="4878" xr:uid="{00000000-0005-0000-0000-00005F150000}"/>
    <cellStyle name="40% - Énfasis2 2 2 2 5 4" xfId="8654" xr:uid="{00000000-0005-0000-0000-000060150000}"/>
    <cellStyle name="40% - Énfasis2 2 2 2 6" xfId="2043" xr:uid="{00000000-0005-0000-0000-000061150000}"/>
    <cellStyle name="40% - Énfasis2 2 2 2 6 2" xfId="5822" xr:uid="{00000000-0005-0000-0000-000062150000}"/>
    <cellStyle name="40% - Énfasis2 2 2 2 6 3" xfId="9598" xr:uid="{00000000-0005-0000-0000-000063150000}"/>
    <cellStyle name="40% - Énfasis2 2 2 2 7" xfId="3934" xr:uid="{00000000-0005-0000-0000-000064150000}"/>
    <cellStyle name="40% - Énfasis2 2 2 2 8" xfId="7710" xr:uid="{00000000-0005-0000-0000-000065150000}"/>
    <cellStyle name="40% - Énfasis2 2 2 3" xfId="206" xr:uid="{00000000-0005-0000-0000-000066150000}"/>
    <cellStyle name="40% - Énfasis2 2 2 3 2" xfId="444" xr:uid="{00000000-0005-0000-0000-000067150000}"/>
    <cellStyle name="40% - Énfasis2 2 2 3 2 2" xfId="918" xr:uid="{00000000-0005-0000-0000-000068150000}"/>
    <cellStyle name="40% - Énfasis2 2 2 3 2 2 2" xfId="1864" xr:uid="{00000000-0005-0000-0000-000069150000}"/>
    <cellStyle name="40% - Énfasis2 2 2 3 2 2 2 2" xfId="3754" xr:uid="{00000000-0005-0000-0000-00006A150000}"/>
    <cellStyle name="40% - Énfasis2 2 2 3 2 2 2 2 2" xfId="7533" xr:uid="{00000000-0005-0000-0000-00006B150000}"/>
    <cellStyle name="40% - Énfasis2 2 2 3 2 2 2 2 3" xfId="11309" xr:uid="{00000000-0005-0000-0000-00006C150000}"/>
    <cellStyle name="40% - Énfasis2 2 2 3 2 2 2 3" xfId="5645" xr:uid="{00000000-0005-0000-0000-00006D150000}"/>
    <cellStyle name="40% - Énfasis2 2 2 3 2 2 2 4" xfId="9421" xr:uid="{00000000-0005-0000-0000-00006E150000}"/>
    <cellStyle name="40% - Énfasis2 2 2 3 2 2 3" xfId="2810" xr:uid="{00000000-0005-0000-0000-00006F150000}"/>
    <cellStyle name="40% - Énfasis2 2 2 3 2 2 3 2" xfId="6589" xr:uid="{00000000-0005-0000-0000-000070150000}"/>
    <cellStyle name="40% - Énfasis2 2 2 3 2 2 3 3" xfId="10365" xr:uid="{00000000-0005-0000-0000-000071150000}"/>
    <cellStyle name="40% - Énfasis2 2 2 3 2 2 4" xfId="4701" xr:uid="{00000000-0005-0000-0000-000072150000}"/>
    <cellStyle name="40% - Énfasis2 2 2 3 2 2 5" xfId="8477" xr:uid="{00000000-0005-0000-0000-000073150000}"/>
    <cellStyle name="40% - Énfasis2 2 2 3 2 3" xfId="1392" xr:uid="{00000000-0005-0000-0000-000074150000}"/>
    <cellStyle name="40% - Énfasis2 2 2 3 2 3 2" xfId="3282" xr:uid="{00000000-0005-0000-0000-000075150000}"/>
    <cellStyle name="40% - Énfasis2 2 2 3 2 3 2 2" xfId="7061" xr:uid="{00000000-0005-0000-0000-000076150000}"/>
    <cellStyle name="40% - Énfasis2 2 2 3 2 3 2 3" xfId="10837" xr:uid="{00000000-0005-0000-0000-000077150000}"/>
    <cellStyle name="40% - Énfasis2 2 2 3 2 3 3" xfId="5173" xr:uid="{00000000-0005-0000-0000-000078150000}"/>
    <cellStyle name="40% - Énfasis2 2 2 3 2 3 4" xfId="8949" xr:uid="{00000000-0005-0000-0000-000079150000}"/>
    <cellStyle name="40% - Énfasis2 2 2 3 2 4" xfId="2338" xr:uid="{00000000-0005-0000-0000-00007A150000}"/>
    <cellStyle name="40% - Énfasis2 2 2 3 2 4 2" xfId="6117" xr:uid="{00000000-0005-0000-0000-00007B150000}"/>
    <cellStyle name="40% - Énfasis2 2 2 3 2 4 3" xfId="9893" xr:uid="{00000000-0005-0000-0000-00007C150000}"/>
    <cellStyle name="40% - Énfasis2 2 2 3 2 5" xfId="4229" xr:uid="{00000000-0005-0000-0000-00007D150000}"/>
    <cellStyle name="40% - Énfasis2 2 2 3 2 6" xfId="8005" xr:uid="{00000000-0005-0000-0000-00007E150000}"/>
    <cellStyle name="40% - Énfasis2 2 2 3 3" xfId="682" xr:uid="{00000000-0005-0000-0000-00007F150000}"/>
    <cellStyle name="40% - Énfasis2 2 2 3 3 2" xfId="1628" xr:uid="{00000000-0005-0000-0000-000080150000}"/>
    <cellStyle name="40% - Énfasis2 2 2 3 3 2 2" xfId="3518" xr:uid="{00000000-0005-0000-0000-000081150000}"/>
    <cellStyle name="40% - Énfasis2 2 2 3 3 2 2 2" xfId="7297" xr:uid="{00000000-0005-0000-0000-000082150000}"/>
    <cellStyle name="40% - Énfasis2 2 2 3 3 2 2 3" xfId="11073" xr:uid="{00000000-0005-0000-0000-000083150000}"/>
    <cellStyle name="40% - Énfasis2 2 2 3 3 2 3" xfId="5409" xr:uid="{00000000-0005-0000-0000-000084150000}"/>
    <cellStyle name="40% - Énfasis2 2 2 3 3 2 4" xfId="9185" xr:uid="{00000000-0005-0000-0000-000085150000}"/>
    <cellStyle name="40% - Énfasis2 2 2 3 3 3" xfId="2574" xr:uid="{00000000-0005-0000-0000-000086150000}"/>
    <cellStyle name="40% - Énfasis2 2 2 3 3 3 2" xfId="6353" xr:uid="{00000000-0005-0000-0000-000087150000}"/>
    <cellStyle name="40% - Énfasis2 2 2 3 3 3 3" xfId="10129" xr:uid="{00000000-0005-0000-0000-000088150000}"/>
    <cellStyle name="40% - Énfasis2 2 2 3 3 4" xfId="4465" xr:uid="{00000000-0005-0000-0000-000089150000}"/>
    <cellStyle name="40% - Énfasis2 2 2 3 3 5" xfId="8241" xr:uid="{00000000-0005-0000-0000-00008A150000}"/>
    <cellStyle name="40% - Énfasis2 2 2 3 4" xfId="1156" xr:uid="{00000000-0005-0000-0000-00008B150000}"/>
    <cellStyle name="40% - Énfasis2 2 2 3 4 2" xfId="3046" xr:uid="{00000000-0005-0000-0000-00008C150000}"/>
    <cellStyle name="40% - Énfasis2 2 2 3 4 2 2" xfId="6825" xr:uid="{00000000-0005-0000-0000-00008D150000}"/>
    <cellStyle name="40% - Énfasis2 2 2 3 4 2 3" xfId="10601" xr:uid="{00000000-0005-0000-0000-00008E150000}"/>
    <cellStyle name="40% - Énfasis2 2 2 3 4 3" xfId="4937" xr:uid="{00000000-0005-0000-0000-00008F150000}"/>
    <cellStyle name="40% - Énfasis2 2 2 3 4 4" xfId="8713" xr:uid="{00000000-0005-0000-0000-000090150000}"/>
    <cellStyle name="40% - Énfasis2 2 2 3 5" xfId="2102" xr:uid="{00000000-0005-0000-0000-000091150000}"/>
    <cellStyle name="40% - Énfasis2 2 2 3 5 2" xfId="5881" xr:uid="{00000000-0005-0000-0000-000092150000}"/>
    <cellStyle name="40% - Énfasis2 2 2 3 5 3" xfId="9657" xr:uid="{00000000-0005-0000-0000-000093150000}"/>
    <cellStyle name="40% - Énfasis2 2 2 3 6" xfId="3993" xr:uid="{00000000-0005-0000-0000-000094150000}"/>
    <cellStyle name="40% - Énfasis2 2 2 3 7" xfId="7769" xr:uid="{00000000-0005-0000-0000-000095150000}"/>
    <cellStyle name="40% - Énfasis2 2 2 4" xfId="326" xr:uid="{00000000-0005-0000-0000-000096150000}"/>
    <cellStyle name="40% - Énfasis2 2 2 4 2" xfId="800" xr:uid="{00000000-0005-0000-0000-000097150000}"/>
    <cellStyle name="40% - Énfasis2 2 2 4 2 2" xfId="1746" xr:uid="{00000000-0005-0000-0000-000098150000}"/>
    <cellStyle name="40% - Énfasis2 2 2 4 2 2 2" xfId="3636" xr:uid="{00000000-0005-0000-0000-000099150000}"/>
    <cellStyle name="40% - Énfasis2 2 2 4 2 2 2 2" xfId="7415" xr:uid="{00000000-0005-0000-0000-00009A150000}"/>
    <cellStyle name="40% - Énfasis2 2 2 4 2 2 2 3" xfId="11191" xr:uid="{00000000-0005-0000-0000-00009B150000}"/>
    <cellStyle name="40% - Énfasis2 2 2 4 2 2 3" xfId="5527" xr:uid="{00000000-0005-0000-0000-00009C150000}"/>
    <cellStyle name="40% - Énfasis2 2 2 4 2 2 4" xfId="9303" xr:uid="{00000000-0005-0000-0000-00009D150000}"/>
    <cellStyle name="40% - Énfasis2 2 2 4 2 3" xfId="2692" xr:uid="{00000000-0005-0000-0000-00009E150000}"/>
    <cellStyle name="40% - Énfasis2 2 2 4 2 3 2" xfId="6471" xr:uid="{00000000-0005-0000-0000-00009F150000}"/>
    <cellStyle name="40% - Énfasis2 2 2 4 2 3 3" xfId="10247" xr:uid="{00000000-0005-0000-0000-0000A0150000}"/>
    <cellStyle name="40% - Énfasis2 2 2 4 2 4" xfId="4583" xr:uid="{00000000-0005-0000-0000-0000A1150000}"/>
    <cellStyle name="40% - Énfasis2 2 2 4 2 5" xfId="8359" xr:uid="{00000000-0005-0000-0000-0000A2150000}"/>
    <cellStyle name="40% - Énfasis2 2 2 4 3" xfId="1274" xr:uid="{00000000-0005-0000-0000-0000A3150000}"/>
    <cellStyle name="40% - Énfasis2 2 2 4 3 2" xfId="3164" xr:uid="{00000000-0005-0000-0000-0000A4150000}"/>
    <cellStyle name="40% - Énfasis2 2 2 4 3 2 2" xfId="6943" xr:uid="{00000000-0005-0000-0000-0000A5150000}"/>
    <cellStyle name="40% - Énfasis2 2 2 4 3 2 3" xfId="10719" xr:uid="{00000000-0005-0000-0000-0000A6150000}"/>
    <cellStyle name="40% - Énfasis2 2 2 4 3 3" xfId="5055" xr:uid="{00000000-0005-0000-0000-0000A7150000}"/>
    <cellStyle name="40% - Énfasis2 2 2 4 3 4" xfId="8831" xr:uid="{00000000-0005-0000-0000-0000A8150000}"/>
    <cellStyle name="40% - Énfasis2 2 2 4 4" xfId="2220" xr:uid="{00000000-0005-0000-0000-0000A9150000}"/>
    <cellStyle name="40% - Énfasis2 2 2 4 4 2" xfId="5999" xr:uid="{00000000-0005-0000-0000-0000AA150000}"/>
    <cellStyle name="40% - Énfasis2 2 2 4 4 3" xfId="9775" xr:uid="{00000000-0005-0000-0000-0000AB150000}"/>
    <cellStyle name="40% - Énfasis2 2 2 4 5" xfId="4111" xr:uid="{00000000-0005-0000-0000-0000AC150000}"/>
    <cellStyle name="40% - Énfasis2 2 2 4 6" xfId="7887" xr:uid="{00000000-0005-0000-0000-0000AD150000}"/>
    <cellStyle name="40% - Énfasis2 2 2 5" xfId="564" xr:uid="{00000000-0005-0000-0000-0000AE150000}"/>
    <cellStyle name="40% - Énfasis2 2 2 5 2" xfId="1510" xr:uid="{00000000-0005-0000-0000-0000AF150000}"/>
    <cellStyle name="40% - Énfasis2 2 2 5 2 2" xfId="3400" xr:uid="{00000000-0005-0000-0000-0000B0150000}"/>
    <cellStyle name="40% - Énfasis2 2 2 5 2 2 2" xfId="7179" xr:uid="{00000000-0005-0000-0000-0000B1150000}"/>
    <cellStyle name="40% - Énfasis2 2 2 5 2 2 3" xfId="10955" xr:uid="{00000000-0005-0000-0000-0000B2150000}"/>
    <cellStyle name="40% - Énfasis2 2 2 5 2 3" xfId="5291" xr:uid="{00000000-0005-0000-0000-0000B3150000}"/>
    <cellStyle name="40% - Énfasis2 2 2 5 2 4" xfId="9067" xr:uid="{00000000-0005-0000-0000-0000B4150000}"/>
    <cellStyle name="40% - Énfasis2 2 2 5 3" xfId="2456" xr:uid="{00000000-0005-0000-0000-0000B5150000}"/>
    <cellStyle name="40% - Énfasis2 2 2 5 3 2" xfId="6235" xr:uid="{00000000-0005-0000-0000-0000B6150000}"/>
    <cellStyle name="40% - Énfasis2 2 2 5 3 3" xfId="10011" xr:uid="{00000000-0005-0000-0000-0000B7150000}"/>
    <cellStyle name="40% - Énfasis2 2 2 5 4" xfId="4347" xr:uid="{00000000-0005-0000-0000-0000B8150000}"/>
    <cellStyle name="40% - Énfasis2 2 2 5 5" xfId="8123" xr:uid="{00000000-0005-0000-0000-0000B9150000}"/>
    <cellStyle name="40% - Énfasis2 2 2 6" xfId="1038" xr:uid="{00000000-0005-0000-0000-0000BA150000}"/>
    <cellStyle name="40% - Énfasis2 2 2 6 2" xfId="2928" xr:uid="{00000000-0005-0000-0000-0000BB150000}"/>
    <cellStyle name="40% - Énfasis2 2 2 6 2 2" xfId="6707" xr:uid="{00000000-0005-0000-0000-0000BC150000}"/>
    <cellStyle name="40% - Énfasis2 2 2 6 2 3" xfId="10483" xr:uid="{00000000-0005-0000-0000-0000BD150000}"/>
    <cellStyle name="40% - Énfasis2 2 2 6 3" xfId="4819" xr:uid="{00000000-0005-0000-0000-0000BE150000}"/>
    <cellStyle name="40% - Énfasis2 2 2 6 4" xfId="8595" xr:uid="{00000000-0005-0000-0000-0000BF150000}"/>
    <cellStyle name="40% - Énfasis2 2 2 7" xfId="1984" xr:uid="{00000000-0005-0000-0000-0000C0150000}"/>
    <cellStyle name="40% - Énfasis2 2 2 7 2" xfId="5763" xr:uid="{00000000-0005-0000-0000-0000C1150000}"/>
    <cellStyle name="40% - Énfasis2 2 2 7 3" xfId="9539" xr:uid="{00000000-0005-0000-0000-0000C2150000}"/>
    <cellStyle name="40% - Énfasis2 2 2 8" xfId="3875" xr:uid="{00000000-0005-0000-0000-0000C3150000}"/>
    <cellStyle name="40% - Énfasis2 2 2 9" xfId="7651" xr:uid="{00000000-0005-0000-0000-0000C4150000}"/>
    <cellStyle name="40% - Énfasis2 2 3" xfId="113" xr:uid="{00000000-0005-0000-0000-0000C5150000}"/>
    <cellStyle name="40% - Énfasis2 2 3 2" xfId="236" xr:uid="{00000000-0005-0000-0000-0000C6150000}"/>
    <cellStyle name="40% - Énfasis2 2 3 2 2" xfId="474" xr:uid="{00000000-0005-0000-0000-0000C7150000}"/>
    <cellStyle name="40% - Énfasis2 2 3 2 2 2" xfId="948" xr:uid="{00000000-0005-0000-0000-0000C8150000}"/>
    <cellStyle name="40% - Énfasis2 2 3 2 2 2 2" xfId="1894" xr:uid="{00000000-0005-0000-0000-0000C9150000}"/>
    <cellStyle name="40% - Énfasis2 2 3 2 2 2 2 2" xfId="3784" xr:uid="{00000000-0005-0000-0000-0000CA150000}"/>
    <cellStyle name="40% - Énfasis2 2 3 2 2 2 2 2 2" xfId="7563" xr:uid="{00000000-0005-0000-0000-0000CB150000}"/>
    <cellStyle name="40% - Énfasis2 2 3 2 2 2 2 2 3" xfId="11339" xr:uid="{00000000-0005-0000-0000-0000CC150000}"/>
    <cellStyle name="40% - Énfasis2 2 3 2 2 2 2 3" xfId="5675" xr:uid="{00000000-0005-0000-0000-0000CD150000}"/>
    <cellStyle name="40% - Énfasis2 2 3 2 2 2 2 4" xfId="9451" xr:uid="{00000000-0005-0000-0000-0000CE150000}"/>
    <cellStyle name="40% - Énfasis2 2 3 2 2 2 3" xfId="2840" xr:uid="{00000000-0005-0000-0000-0000CF150000}"/>
    <cellStyle name="40% - Énfasis2 2 3 2 2 2 3 2" xfId="6619" xr:uid="{00000000-0005-0000-0000-0000D0150000}"/>
    <cellStyle name="40% - Énfasis2 2 3 2 2 2 3 3" xfId="10395" xr:uid="{00000000-0005-0000-0000-0000D1150000}"/>
    <cellStyle name="40% - Énfasis2 2 3 2 2 2 4" xfId="4731" xr:uid="{00000000-0005-0000-0000-0000D2150000}"/>
    <cellStyle name="40% - Énfasis2 2 3 2 2 2 5" xfId="8507" xr:uid="{00000000-0005-0000-0000-0000D3150000}"/>
    <cellStyle name="40% - Énfasis2 2 3 2 2 3" xfId="1422" xr:uid="{00000000-0005-0000-0000-0000D4150000}"/>
    <cellStyle name="40% - Énfasis2 2 3 2 2 3 2" xfId="3312" xr:uid="{00000000-0005-0000-0000-0000D5150000}"/>
    <cellStyle name="40% - Énfasis2 2 3 2 2 3 2 2" xfId="7091" xr:uid="{00000000-0005-0000-0000-0000D6150000}"/>
    <cellStyle name="40% - Énfasis2 2 3 2 2 3 2 3" xfId="10867" xr:uid="{00000000-0005-0000-0000-0000D7150000}"/>
    <cellStyle name="40% - Énfasis2 2 3 2 2 3 3" xfId="5203" xr:uid="{00000000-0005-0000-0000-0000D8150000}"/>
    <cellStyle name="40% - Énfasis2 2 3 2 2 3 4" xfId="8979" xr:uid="{00000000-0005-0000-0000-0000D9150000}"/>
    <cellStyle name="40% - Énfasis2 2 3 2 2 4" xfId="2368" xr:uid="{00000000-0005-0000-0000-0000DA150000}"/>
    <cellStyle name="40% - Énfasis2 2 3 2 2 4 2" xfId="6147" xr:uid="{00000000-0005-0000-0000-0000DB150000}"/>
    <cellStyle name="40% - Énfasis2 2 3 2 2 4 3" xfId="9923" xr:uid="{00000000-0005-0000-0000-0000DC150000}"/>
    <cellStyle name="40% - Énfasis2 2 3 2 2 5" xfId="4259" xr:uid="{00000000-0005-0000-0000-0000DD150000}"/>
    <cellStyle name="40% - Énfasis2 2 3 2 2 6" xfId="8035" xr:uid="{00000000-0005-0000-0000-0000DE150000}"/>
    <cellStyle name="40% - Énfasis2 2 3 2 3" xfId="712" xr:uid="{00000000-0005-0000-0000-0000DF150000}"/>
    <cellStyle name="40% - Énfasis2 2 3 2 3 2" xfId="1658" xr:uid="{00000000-0005-0000-0000-0000E0150000}"/>
    <cellStyle name="40% - Énfasis2 2 3 2 3 2 2" xfId="3548" xr:uid="{00000000-0005-0000-0000-0000E1150000}"/>
    <cellStyle name="40% - Énfasis2 2 3 2 3 2 2 2" xfId="7327" xr:uid="{00000000-0005-0000-0000-0000E2150000}"/>
    <cellStyle name="40% - Énfasis2 2 3 2 3 2 2 3" xfId="11103" xr:uid="{00000000-0005-0000-0000-0000E3150000}"/>
    <cellStyle name="40% - Énfasis2 2 3 2 3 2 3" xfId="5439" xr:uid="{00000000-0005-0000-0000-0000E4150000}"/>
    <cellStyle name="40% - Énfasis2 2 3 2 3 2 4" xfId="9215" xr:uid="{00000000-0005-0000-0000-0000E5150000}"/>
    <cellStyle name="40% - Énfasis2 2 3 2 3 3" xfId="2604" xr:uid="{00000000-0005-0000-0000-0000E6150000}"/>
    <cellStyle name="40% - Énfasis2 2 3 2 3 3 2" xfId="6383" xr:uid="{00000000-0005-0000-0000-0000E7150000}"/>
    <cellStyle name="40% - Énfasis2 2 3 2 3 3 3" xfId="10159" xr:uid="{00000000-0005-0000-0000-0000E8150000}"/>
    <cellStyle name="40% - Énfasis2 2 3 2 3 4" xfId="4495" xr:uid="{00000000-0005-0000-0000-0000E9150000}"/>
    <cellStyle name="40% - Énfasis2 2 3 2 3 5" xfId="8271" xr:uid="{00000000-0005-0000-0000-0000EA150000}"/>
    <cellStyle name="40% - Énfasis2 2 3 2 4" xfId="1186" xr:uid="{00000000-0005-0000-0000-0000EB150000}"/>
    <cellStyle name="40% - Énfasis2 2 3 2 4 2" xfId="3076" xr:uid="{00000000-0005-0000-0000-0000EC150000}"/>
    <cellStyle name="40% - Énfasis2 2 3 2 4 2 2" xfId="6855" xr:uid="{00000000-0005-0000-0000-0000ED150000}"/>
    <cellStyle name="40% - Énfasis2 2 3 2 4 2 3" xfId="10631" xr:uid="{00000000-0005-0000-0000-0000EE150000}"/>
    <cellStyle name="40% - Énfasis2 2 3 2 4 3" xfId="4967" xr:uid="{00000000-0005-0000-0000-0000EF150000}"/>
    <cellStyle name="40% - Énfasis2 2 3 2 4 4" xfId="8743" xr:uid="{00000000-0005-0000-0000-0000F0150000}"/>
    <cellStyle name="40% - Énfasis2 2 3 2 5" xfId="2132" xr:uid="{00000000-0005-0000-0000-0000F1150000}"/>
    <cellStyle name="40% - Énfasis2 2 3 2 5 2" xfId="5911" xr:uid="{00000000-0005-0000-0000-0000F2150000}"/>
    <cellStyle name="40% - Énfasis2 2 3 2 5 3" xfId="9687" xr:uid="{00000000-0005-0000-0000-0000F3150000}"/>
    <cellStyle name="40% - Énfasis2 2 3 2 6" xfId="4023" xr:uid="{00000000-0005-0000-0000-0000F4150000}"/>
    <cellStyle name="40% - Énfasis2 2 3 2 7" xfId="7799" xr:uid="{00000000-0005-0000-0000-0000F5150000}"/>
    <cellStyle name="40% - Énfasis2 2 3 3" xfId="356" xr:uid="{00000000-0005-0000-0000-0000F6150000}"/>
    <cellStyle name="40% - Énfasis2 2 3 3 2" xfId="830" xr:uid="{00000000-0005-0000-0000-0000F7150000}"/>
    <cellStyle name="40% - Énfasis2 2 3 3 2 2" xfId="1776" xr:uid="{00000000-0005-0000-0000-0000F8150000}"/>
    <cellStyle name="40% - Énfasis2 2 3 3 2 2 2" xfId="3666" xr:uid="{00000000-0005-0000-0000-0000F9150000}"/>
    <cellStyle name="40% - Énfasis2 2 3 3 2 2 2 2" xfId="7445" xr:uid="{00000000-0005-0000-0000-0000FA150000}"/>
    <cellStyle name="40% - Énfasis2 2 3 3 2 2 2 3" xfId="11221" xr:uid="{00000000-0005-0000-0000-0000FB150000}"/>
    <cellStyle name="40% - Énfasis2 2 3 3 2 2 3" xfId="5557" xr:uid="{00000000-0005-0000-0000-0000FC150000}"/>
    <cellStyle name="40% - Énfasis2 2 3 3 2 2 4" xfId="9333" xr:uid="{00000000-0005-0000-0000-0000FD150000}"/>
    <cellStyle name="40% - Énfasis2 2 3 3 2 3" xfId="2722" xr:uid="{00000000-0005-0000-0000-0000FE150000}"/>
    <cellStyle name="40% - Énfasis2 2 3 3 2 3 2" xfId="6501" xr:uid="{00000000-0005-0000-0000-0000FF150000}"/>
    <cellStyle name="40% - Énfasis2 2 3 3 2 3 3" xfId="10277" xr:uid="{00000000-0005-0000-0000-000000160000}"/>
    <cellStyle name="40% - Énfasis2 2 3 3 2 4" xfId="4613" xr:uid="{00000000-0005-0000-0000-000001160000}"/>
    <cellStyle name="40% - Énfasis2 2 3 3 2 5" xfId="8389" xr:uid="{00000000-0005-0000-0000-000002160000}"/>
    <cellStyle name="40% - Énfasis2 2 3 3 3" xfId="1304" xr:uid="{00000000-0005-0000-0000-000003160000}"/>
    <cellStyle name="40% - Énfasis2 2 3 3 3 2" xfId="3194" xr:uid="{00000000-0005-0000-0000-000004160000}"/>
    <cellStyle name="40% - Énfasis2 2 3 3 3 2 2" xfId="6973" xr:uid="{00000000-0005-0000-0000-000005160000}"/>
    <cellStyle name="40% - Énfasis2 2 3 3 3 2 3" xfId="10749" xr:uid="{00000000-0005-0000-0000-000006160000}"/>
    <cellStyle name="40% - Énfasis2 2 3 3 3 3" xfId="5085" xr:uid="{00000000-0005-0000-0000-000007160000}"/>
    <cellStyle name="40% - Énfasis2 2 3 3 3 4" xfId="8861" xr:uid="{00000000-0005-0000-0000-000008160000}"/>
    <cellStyle name="40% - Énfasis2 2 3 3 4" xfId="2250" xr:uid="{00000000-0005-0000-0000-000009160000}"/>
    <cellStyle name="40% - Énfasis2 2 3 3 4 2" xfId="6029" xr:uid="{00000000-0005-0000-0000-00000A160000}"/>
    <cellStyle name="40% - Énfasis2 2 3 3 4 3" xfId="9805" xr:uid="{00000000-0005-0000-0000-00000B160000}"/>
    <cellStyle name="40% - Énfasis2 2 3 3 5" xfId="4141" xr:uid="{00000000-0005-0000-0000-00000C160000}"/>
    <cellStyle name="40% - Énfasis2 2 3 3 6" xfId="7917" xr:uid="{00000000-0005-0000-0000-00000D160000}"/>
    <cellStyle name="40% - Énfasis2 2 3 4" xfId="594" xr:uid="{00000000-0005-0000-0000-00000E160000}"/>
    <cellStyle name="40% - Énfasis2 2 3 4 2" xfId="1540" xr:uid="{00000000-0005-0000-0000-00000F160000}"/>
    <cellStyle name="40% - Énfasis2 2 3 4 2 2" xfId="3430" xr:uid="{00000000-0005-0000-0000-000010160000}"/>
    <cellStyle name="40% - Énfasis2 2 3 4 2 2 2" xfId="7209" xr:uid="{00000000-0005-0000-0000-000011160000}"/>
    <cellStyle name="40% - Énfasis2 2 3 4 2 2 3" xfId="10985" xr:uid="{00000000-0005-0000-0000-000012160000}"/>
    <cellStyle name="40% - Énfasis2 2 3 4 2 3" xfId="5321" xr:uid="{00000000-0005-0000-0000-000013160000}"/>
    <cellStyle name="40% - Énfasis2 2 3 4 2 4" xfId="9097" xr:uid="{00000000-0005-0000-0000-000014160000}"/>
    <cellStyle name="40% - Énfasis2 2 3 4 3" xfId="2486" xr:uid="{00000000-0005-0000-0000-000015160000}"/>
    <cellStyle name="40% - Énfasis2 2 3 4 3 2" xfId="6265" xr:uid="{00000000-0005-0000-0000-000016160000}"/>
    <cellStyle name="40% - Énfasis2 2 3 4 3 3" xfId="10041" xr:uid="{00000000-0005-0000-0000-000017160000}"/>
    <cellStyle name="40% - Énfasis2 2 3 4 4" xfId="4377" xr:uid="{00000000-0005-0000-0000-000018160000}"/>
    <cellStyle name="40% - Énfasis2 2 3 4 5" xfId="8153" xr:uid="{00000000-0005-0000-0000-000019160000}"/>
    <cellStyle name="40% - Énfasis2 2 3 5" xfId="1068" xr:uid="{00000000-0005-0000-0000-00001A160000}"/>
    <cellStyle name="40% - Énfasis2 2 3 5 2" xfId="2958" xr:uid="{00000000-0005-0000-0000-00001B160000}"/>
    <cellStyle name="40% - Énfasis2 2 3 5 2 2" xfId="6737" xr:uid="{00000000-0005-0000-0000-00001C160000}"/>
    <cellStyle name="40% - Énfasis2 2 3 5 2 3" xfId="10513" xr:uid="{00000000-0005-0000-0000-00001D160000}"/>
    <cellStyle name="40% - Énfasis2 2 3 5 3" xfId="4849" xr:uid="{00000000-0005-0000-0000-00001E160000}"/>
    <cellStyle name="40% - Énfasis2 2 3 5 4" xfId="8625" xr:uid="{00000000-0005-0000-0000-00001F160000}"/>
    <cellStyle name="40% - Énfasis2 2 3 6" xfId="2014" xr:uid="{00000000-0005-0000-0000-000020160000}"/>
    <cellStyle name="40% - Énfasis2 2 3 6 2" xfId="5793" xr:uid="{00000000-0005-0000-0000-000021160000}"/>
    <cellStyle name="40% - Énfasis2 2 3 6 3" xfId="9569" xr:uid="{00000000-0005-0000-0000-000022160000}"/>
    <cellStyle name="40% - Énfasis2 2 3 7" xfId="3905" xr:uid="{00000000-0005-0000-0000-000023160000}"/>
    <cellStyle name="40% - Énfasis2 2 3 8" xfId="7681" xr:uid="{00000000-0005-0000-0000-000024160000}"/>
    <cellStyle name="40% - Énfasis2 2 4" xfId="177" xr:uid="{00000000-0005-0000-0000-000025160000}"/>
    <cellStyle name="40% - Énfasis2 2 4 2" xfId="415" xr:uid="{00000000-0005-0000-0000-000026160000}"/>
    <cellStyle name="40% - Énfasis2 2 4 2 2" xfId="889" xr:uid="{00000000-0005-0000-0000-000027160000}"/>
    <cellStyle name="40% - Énfasis2 2 4 2 2 2" xfId="1835" xr:uid="{00000000-0005-0000-0000-000028160000}"/>
    <cellStyle name="40% - Énfasis2 2 4 2 2 2 2" xfId="3725" xr:uid="{00000000-0005-0000-0000-000029160000}"/>
    <cellStyle name="40% - Énfasis2 2 4 2 2 2 2 2" xfId="7504" xr:uid="{00000000-0005-0000-0000-00002A160000}"/>
    <cellStyle name="40% - Énfasis2 2 4 2 2 2 2 3" xfId="11280" xr:uid="{00000000-0005-0000-0000-00002B160000}"/>
    <cellStyle name="40% - Énfasis2 2 4 2 2 2 3" xfId="5616" xr:uid="{00000000-0005-0000-0000-00002C160000}"/>
    <cellStyle name="40% - Énfasis2 2 4 2 2 2 4" xfId="9392" xr:uid="{00000000-0005-0000-0000-00002D160000}"/>
    <cellStyle name="40% - Énfasis2 2 4 2 2 3" xfId="2781" xr:uid="{00000000-0005-0000-0000-00002E160000}"/>
    <cellStyle name="40% - Énfasis2 2 4 2 2 3 2" xfId="6560" xr:uid="{00000000-0005-0000-0000-00002F160000}"/>
    <cellStyle name="40% - Énfasis2 2 4 2 2 3 3" xfId="10336" xr:uid="{00000000-0005-0000-0000-000030160000}"/>
    <cellStyle name="40% - Énfasis2 2 4 2 2 4" xfId="4672" xr:uid="{00000000-0005-0000-0000-000031160000}"/>
    <cellStyle name="40% - Énfasis2 2 4 2 2 5" xfId="8448" xr:uid="{00000000-0005-0000-0000-000032160000}"/>
    <cellStyle name="40% - Énfasis2 2 4 2 3" xfId="1363" xr:uid="{00000000-0005-0000-0000-000033160000}"/>
    <cellStyle name="40% - Énfasis2 2 4 2 3 2" xfId="3253" xr:uid="{00000000-0005-0000-0000-000034160000}"/>
    <cellStyle name="40% - Énfasis2 2 4 2 3 2 2" xfId="7032" xr:uid="{00000000-0005-0000-0000-000035160000}"/>
    <cellStyle name="40% - Énfasis2 2 4 2 3 2 3" xfId="10808" xr:uid="{00000000-0005-0000-0000-000036160000}"/>
    <cellStyle name="40% - Énfasis2 2 4 2 3 3" xfId="5144" xr:uid="{00000000-0005-0000-0000-000037160000}"/>
    <cellStyle name="40% - Énfasis2 2 4 2 3 4" xfId="8920" xr:uid="{00000000-0005-0000-0000-000038160000}"/>
    <cellStyle name="40% - Énfasis2 2 4 2 4" xfId="2309" xr:uid="{00000000-0005-0000-0000-000039160000}"/>
    <cellStyle name="40% - Énfasis2 2 4 2 4 2" xfId="6088" xr:uid="{00000000-0005-0000-0000-00003A160000}"/>
    <cellStyle name="40% - Énfasis2 2 4 2 4 3" xfId="9864" xr:uid="{00000000-0005-0000-0000-00003B160000}"/>
    <cellStyle name="40% - Énfasis2 2 4 2 5" xfId="4200" xr:uid="{00000000-0005-0000-0000-00003C160000}"/>
    <cellStyle name="40% - Énfasis2 2 4 2 6" xfId="7976" xr:uid="{00000000-0005-0000-0000-00003D160000}"/>
    <cellStyle name="40% - Énfasis2 2 4 3" xfId="653" xr:uid="{00000000-0005-0000-0000-00003E160000}"/>
    <cellStyle name="40% - Énfasis2 2 4 3 2" xfId="1599" xr:uid="{00000000-0005-0000-0000-00003F160000}"/>
    <cellStyle name="40% - Énfasis2 2 4 3 2 2" xfId="3489" xr:uid="{00000000-0005-0000-0000-000040160000}"/>
    <cellStyle name="40% - Énfasis2 2 4 3 2 2 2" xfId="7268" xr:uid="{00000000-0005-0000-0000-000041160000}"/>
    <cellStyle name="40% - Énfasis2 2 4 3 2 2 3" xfId="11044" xr:uid="{00000000-0005-0000-0000-000042160000}"/>
    <cellStyle name="40% - Énfasis2 2 4 3 2 3" xfId="5380" xr:uid="{00000000-0005-0000-0000-000043160000}"/>
    <cellStyle name="40% - Énfasis2 2 4 3 2 4" xfId="9156" xr:uid="{00000000-0005-0000-0000-000044160000}"/>
    <cellStyle name="40% - Énfasis2 2 4 3 3" xfId="2545" xr:uid="{00000000-0005-0000-0000-000045160000}"/>
    <cellStyle name="40% - Énfasis2 2 4 3 3 2" xfId="6324" xr:uid="{00000000-0005-0000-0000-000046160000}"/>
    <cellStyle name="40% - Énfasis2 2 4 3 3 3" xfId="10100" xr:uid="{00000000-0005-0000-0000-000047160000}"/>
    <cellStyle name="40% - Énfasis2 2 4 3 4" xfId="4436" xr:uid="{00000000-0005-0000-0000-000048160000}"/>
    <cellStyle name="40% - Énfasis2 2 4 3 5" xfId="8212" xr:uid="{00000000-0005-0000-0000-000049160000}"/>
    <cellStyle name="40% - Énfasis2 2 4 4" xfId="1127" xr:uid="{00000000-0005-0000-0000-00004A160000}"/>
    <cellStyle name="40% - Énfasis2 2 4 4 2" xfId="3017" xr:uid="{00000000-0005-0000-0000-00004B160000}"/>
    <cellStyle name="40% - Énfasis2 2 4 4 2 2" xfId="6796" xr:uid="{00000000-0005-0000-0000-00004C160000}"/>
    <cellStyle name="40% - Énfasis2 2 4 4 2 3" xfId="10572" xr:uid="{00000000-0005-0000-0000-00004D160000}"/>
    <cellStyle name="40% - Énfasis2 2 4 4 3" xfId="4908" xr:uid="{00000000-0005-0000-0000-00004E160000}"/>
    <cellStyle name="40% - Énfasis2 2 4 4 4" xfId="8684" xr:uid="{00000000-0005-0000-0000-00004F160000}"/>
    <cellStyle name="40% - Énfasis2 2 4 5" xfId="2073" xr:uid="{00000000-0005-0000-0000-000050160000}"/>
    <cellStyle name="40% - Énfasis2 2 4 5 2" xfId="5852" xr:uid="{00000000-0005-0000-0000-000051160000}"/>
    <cellStyle name="40% - Énfasis2 2 4 5 3" xfId="9628" xr:uid="{00000000-0005-0000-0000-000052160000}"/>
    <cellStyle name="40% - Énfasis2 2 4 6" xfId="3964" xr:uid="{00000000-0005-0000-0000-000053160000}"/>
    <cellStyle name="40% - Énfasis2 2 4 7" xfId="7740" xr:uid="{00000000-0005-0000-0000-000054160000}"/>
    <cellStyle name="40% - Énfasis2 2 5" xfId="297" xr:uid="{00000000-0005-0000-0000-000055160000}"/>
    <cellStyle name="40% - Énfasis2 2 5 2" xfId="771" xr:uid="{00000000-0005-0000-0000-000056160000}"/>
    <cellStyle name="40% - Énfasis2 2 5 2 2" xfId="1717" xr:uid="{00000000-0005-0000-0000-000057160000}"/>
    <cellStyle name="40% - Énfasis2 2 5 2 2 2" xfId="3607" xr:uid="{00000000-0005-0000-0000-000058160000}"/>
    <cellStyle name="40% - Énfasis2 2 5 2 2 2 2" xfId="7386" xr:uid="{00000000-0005-0000-0000-000059160000}"/>
    <cellStyle name="40% - Énfasis2 2 5 2 2 2 3" xfId="11162" xr:uid="{00000000-0005-0000-0000-00005A160000}"/>
    <cellStyle name="40% - Énfasis2 2 5 2 2 3" xfId="5498" xr:uid="{00000000-0005-0000-0000-00005B160000}"/>
    <cellStyle name="40% - Énfasis2 2 5 2 2 4" xfId="9274" xr:uid="{00000000-0005-0000-0000-00005C160000}"/>
    <cellStyle name="40% - Énfasis2 2 5 2 3" xfId="2663" xr:uid="{00000000-0005-0000-0000-00005D160000}"/>
    <cellStyle name="40% - Énfasis2 2 5 2 3 2" xfId="6442" xr:uid="{00000000-0005-0000-0000-00005E160000}"/>
    <cellStyle name="40% - Énfasis2 2 5 2 3 3" xfId="10218" xr:uid="{00000000-0005-0000-0000-00005F160000}"/>
    <cellStyle name="40% - Énfasis2 2 5 2 4" xfId="4554" xr:uid="{00000000-0005-0000-0000-000060160000}"/>
    <cellStyle name="40% - Énfasis2 2 5 2 5" xfId="8330" xr:uid="{00000000-0005-0000-0000-000061160000}"/>
    <cellStyle name="40% - Énfasis2 2 5 3" xfId="1245" xr:uid="{00000000-0005-0000-0000-000062160000}"/>
    <cellStyle name="40% - Énfasis2 2 5 3 2" xfId="3135" xr:uid="{00000000-0005-0000-0000-000063160000}"/>
    <cellStyle name="40% - Énfasis2 2 5 3 2 2" xfId="6914" xr:uid="{00000000-0005-0000-0000-000064160000}"/>
    <cellStyle name="40% - Énfasis2 2 5 3 2 3" xfId="10690" xr:uid="{00000000-0005-0000-0000-000065160000}"/>
    <cellStyle name="40% - Énfasis2 2 5 3 3" xfId="5026" xr:uid="{00000000-0005-0000-0000-000066160000}"/>
    <cellStyle name="40% - Énfasis2 2 5 3 4" xfId="8802" xr:uid="{00000000-0005-0000-0000-000067160000}"/>
    <cellStyle name="40% - Énfasis2 2 5 4" xfId="2191" xr:uid="{00000000-0005-0000-0000-000068160000}"/>
    <cellStyle name="40% - Énfasis2 2 5 4 2" xfId="5970" xr:uid="{00000000-0005-0000-0000-000069160000}"/>
    <cellStyle name="40% - Énfasis2 2 5 4 3" xfId="9746" xr:uid="{00000000-0005-0000-0000-00006A160000}"/>
    <cellStyle name="40% - Énfasis2 2 5 5" xfId="4082" xr:uid="{00000000-0005-0000-0000-00006B160000}"/>
    <cellStyle name="40% - Énfasis2 2 5 6" xfId="7858" xr:uid="{00000000-0005-0000-0000-00006C160000}"/>
    <cellStyle name="40% - Énfasis2 2 6" xfId="535" xr:uid="{00000000-0005-0000-0000-00006D160000}"/>
    <cellStyle name="40% - Énfasis2 2 6 2" xfId="1481" xr:uid="{00000000-0005-0000-0000-00006E160000}"/>
    <cellStyle name="40% - Énfasis2 2 6 2 2" xfId="3371" xr:uid="{00000000-0005-0000-0000-00006F160000}"/>
    <cellStyle name="40% - Énfasis2 2 6 2 2 2" xfId="7150" xr:uid="{00000000-0005-0000-0000-000070160000}"/>
    <cellStyle name="40% - Énfasis2 2 6 2 2 3" xfId="10926" xr:uid="{00000000-0005-0000-0000-000071160000}"/>
    <cellStyle name="40% - Énfasis2 2 6 2 3" xfId="5262" xr:uid="{00000000-0005-0000-0000-000072160000}"/>
    <cellStyle name="40% - Énfasis2 2 6 2 4" xfId="9038" xr:uid="{00000000-0005-0000-0000-000073160000}"/>
    <cellStyle name="40% - Énfasis2 2 6 3" xfId="2427" xr:uid="{00000000-0005-0000-0000-000074160000}"/>
    <cellStyle name="40% - Énfasis2 2 6 3 2" xfId="6206" xr:uid="{00000000-0005-0000-0000-000075160000}"/>
    <cellStyle name="40% - Énfasis2 2 6 3 3" xfId="9982" xr:uid="{00000000-0005-0000-0000-000076160000}"/>
    <cellStyle name="40% - Énfasis2 2 6 4" xfId="4318" xr:uid="{00000000-0005-0000-0000-000077160000}"/>
    <cellStyle name="40% - Énfasis2 2 6 5" xfId="8094" xr:uid="{00000000-0005-0000-0000-000078160000}"/>
    <cellStyle name="40% - Énfasis2 2 7" xfId="1009" xr:uid="{00000000-0005-0000-0000-000079160000}"/>
    <cellStyle name="40% - Énfasis2 2 7 2" xfId="2899" xr:uid="{00000000-0005-0000-0000-00007A160000}"/>
    <cellStyle name="40% - Énfasis2 2 7 2 2" xfId="6678" xr:uid="{00000000-0005-0000-0000-00007B160000}"/>
    <cellStyle name="40% - Énfasis2 2 7 2 3" xfId="10454" xr:uid="{00000000-0005-0000-0000-00007C160000}"/>
    <cellStyle name="40% - Énfasis2 2 7 3" xfId="4790" xr:uid="{00000000-0005-0000-0000-00007D160000}"/>
    <cellStyle name="40% - Énfasis2 2 7 4" xfId="8566" xr:uid="{00000000-0005-0000-0000-00007E160000}"/>
    <cellStyle name="40% - Énfasis2 2 8" xfId="1955" xr:uid="{00000000-0005-0000-0000-00007F160000}"/>
    <cellStyle name="40% - Énfasis2 2 8 2" xfId="5734" xr:uid="{00000000-0005-0000-0000-000080160000}"/>
    <cellStyle name="40% - Énfasis2 2 8 3" xfId="9510" xr:uid="{00000000-0005-0000-0000-000081160000}"/>
    <cellStyle name="40% - Énfasis2 2 9" xfId="3846" xr:uid="{00000000-0005-0000-0000-000082160000}"/>
    <cellStyle name="40% - Énfasis2 3" xfId="62" xr:uid="{00000000-0005-0000-0000-000083160000}"/>
    <cellStyle name="40% - Énfasis2 3 2" xfId="126" xr:uid="{00000000-0005-0000-0000-000084160000}"/>
    <cellStyle name="40% - Énfasis2 3 2 2" xfId="249" xr:uid="{00000000-0005-0000-0000-000085160000}"/>
    <cellStyle name="40% - Énfasis2 3 2 2 2" xfId="487" xr:uid="{00000000-0005-0000-0000-000086160000}"/>
    <cellStyle name="40% - Énfasis2 3 2 2 2 2" xfId="961" xr:uid="{00000000-0005-0000-0000-000087160000}"/>
    <cellStyle name="40% - Énfasis2 3 2 2 2 2 2" xfId="1907" xr:uid="{00000000-0005-0000-0000-000088160000}"/>
    <cellStyle name="40% - Énfasis2 3 2 2 2 2 2 2" xfId="3797" xr:uid="{00000000-0005-0000-0000-000089160000}"/>
    <cellStyle name="40% - Énfasis2 3 2 2 2 2 2 2 2" xfId="7576" xr:uid="{00000000-0005-0000-0000-00008A160000}"/>
    <cellStyle name="40% - Énfasis2 3 2 2 2 2 2 2 3" xfId="11352" xr:uid="{00000000-0005-0000-0000-00008B160000}"/>
    <cellStyle name="40% - Énfasis2 3 2 2 2 2 2 3" xfId="5688" xr:uid="{00000000-0005-0000-0000-00008C160000}"/>
    <cellStyle name="40% - Énfasis2 3 2 2 2 2 2 4" xfId="9464" xr:uid="{00000000-0005-0000-0000-00008D160000}"/>
    <cellStyle name="40% - Énfasis2 3 2 2 2 2 3" xfId="2853" xr:uid="{00000000-0005-0000-0000-00008E160000}"/>
    <cellStyle name="40% - Énfasis2 3 2 2 2 2 3 2" xfId="6632" xr:uid="{00000000-0005-0000-0000-00008F160000}"/>
    <cellStyle name="40% - Énfasis2 3 2 2 2 2 3 3" xfId="10408" xr:uid="{00000000-0005-0000-0000-000090160000}"/>
    <cellStyle name="40% - Énfasis2 3 2 2 2 2 4" xfId="4744" xr:uid="{00000000-0005-0000-0000-000091160000}"/>
    <cellStyle name="40% - Énfasis2 3 2 2 2 2 5" xfId="8520" xr:uid="{00000000-0005-0000-0000-000092160000}"/>
    <cellStyle name="40% - Énfasis2 3 2 2 2 3" xfId="1435" xr:uid="{00000000-0005-0000-0000-000093160000}"/>
    <cellStyle name="40% - Énfasis2 3 2 2 2 3 2" xfId="3325" xr:uid="{00000000-0005-0000-0000-000094160000}"/>
    <cellStyle name="40% - Énfasis2 3 2 2 2 3 2 2" xfId="7104" xr:uid="{00000000-0005-0000-0000-000095160000}"/>
    <cellStyle name="40% - Énfasis2 3 2 2 2 3 2 3" xfId="10880" xr:uid="{00000000-0005-0000-0000-000096160000}"/>
    <cellStyle name="40% - Énfasis2 3 2 2 2 3 3" xfId="5216" xr:uid="{00000000-0005-0000-0000-000097160000}"/>
    <cellStyle name="40% - Énfasis2 3 2 2 2 3 4" xfId="8992" xr:uid="{00000000-0005-0000-0000-000098160000}"/>
    <cellStyle name="40% - Énfasis2 3 2 2 2 4" xfId="2381" xr:uid="{00000000-0005-0000-0000-000099160000}"/>
    <cellStyle name="40% - Énfasis2 3 2 2 2 4 2" xfId="6160" xr:uid="{00000000-0005-0000-0000-00009A160000}"/>
    <cellStyle name="40% - Énfasis2 3 2 2 2 4 3" xfId="9936" xr:uid="{00000000-0005-0000-0000-00009B160000}"/>
    <cellStyle name="40% - Énfasis2 3 2 2 2 5" xfId="4272" xr:uid="{00000000-0005-0000-0000-00009C160000}"/>
    <cellStyle name="40% - Énfasis2 3 2 2 2 6" xfId="8048" xr:uid="{00000000-0005-0000-0000-00009D160000}"/>
    <cellStyle name="40% - Énfasis2 3 2 2 3" xfId="725" xr:uid="{00000000-0005-0000-0000-00009E160000}"/>
    <cellStyle name="40% - Énfasis2 3 2 2 3 2" xfId="1671" xr:uid="{00000000-0005-0000-0000-00009F160000}"/>
    <cellStyle name="40% - Énfasis2 3 2 2 3 2 2" xfId="3561" xr:uid="{00000000-0005-0000-0000-0000A0160000}"/>
    <cellStyle name="40% - Énfasis2 3 2 2 3 2 2 2" xfId="7340" xr:uid="{00000000-0005-0000-0000-0000A1160000}"/>
    <cellStyle name="40% - Énfasis2 3 2 2 3 2 2 3" xfId="11116" xr:uid="{00000000-0005-0000-0000-0000A2160000}"/>
    <cellStyle name="40% - Énfasis2 3 2 2 3 2 3" xfId="5452" xr:uid="{00000000-0005-0000-0000-0000A3160000}"/>
    <cellStyle name="40% - Énfasis2 3 2 2 3 2 4" xfId="9228" xr:uid="{00000000-0005-0000-0000-0000A4160000}"/>
    <cellStyle name="40% - Énfasis2 3 2 2 3 3" xfId="2617" xr:uid="{00000000-0005-0000-0000-0000A5160000}"/>
    <cellStyle name="40% - Énfasis2 3 2 2 3 3 2" xfId="6396" xr:uid="{00000000-0005-0000-0000-0000A6160000}"/>
    <cellStyle name="40% - Énfasis2 3 2 2 3 3 3" xfId="10172" xr:uid="{00000000-0005-0000-0000-0000A7160000}"/>
    <cellStyle name="40% - Énfasis2 3 2 2 3 4" xfId="4508" xr:uid="{00000000-0005-0000-0000-0000A8160000}"/>
    <cellStyle name="40% - Énfasis2 3 2 2 3 5" xfId="8284" xr:uid="{00000000-0005-0000-0000-0000A9160000}"/>
    <cellStyle name="40% - Énfasis2 3 2 2 4" xfId="1199" xr:uid="{00000000-0005-0000-0000-0000AA160000}"/>
    <cellStyle name="40% - Énfasis2 3 2 2 4 2" xfId="3089" xr:uid="{00000000-0005-0000-0000-0000AB160000}"/>
    <cellStyle name="40% - Énfasis2 3 2 2 4 2 2" xfId="6868" xr:uid="{00000000-0005-0000-0000-0000AC160000}"/>
    <cellStyle name="40% - Énfasis2 3 2 2 4 2 3" xfId="10644" xr:uid="{00000000-0005-0000-0000-0000AD160000}"/>
    <cellStyle name="40% - Énfasis2 3 2 2 4 3" xfId="4980" xr:uid="{00000000-0005-0000-0000-0000AE160000}"/>
    <cellStyle name="40% - Énfasis2 3 2 2 4 4" xfId="8756" xr:uid="{00000000-0005-0000-0000-0000AF160000}"/>
    <cellStyle name="40% - Énfasis2 3 2 2 5" xfId="2145" xr:uid="{00000000-0005-0000-0000-0000B0160000}"/>
    <cellStyle name="40% - Énfasis2 3 2 2 5 2" xfId="5924" xr:uid="{00000000-0005-0000-0000-0000B1160000}"/>
    <cellStyle name="40% - Énfasis2 3 2 2 5 3" xfId="9700" xr:uid="{00000000-0005-0000-0000-0000B2160000}"/>
    <cellStyle name="40% - Énfasis2 3 2 2 6" xfId="4036" xr:uid="{00000000-0005-0000-0000-0000B3160000}"/>
    <cellStyle name="40% - Énfasis2 3 2 2 7" xfId="7812" xr:uid="{00000000-0005-0000-0000-0000B4160000}"/>
    <cellStyle name="40% - Énfasis2 3 2 3" xfId="369" xr:uid="{00000000-0005-0000-0000-0000B5160000}"/>
    <cellStyle name="40% - Énfasis2 3 2 3 2" xfId="843" xr:uid="{00000000-0005-0000-0000-0000B6160000}"/>
    <cellStyle name="40% - Énfasis2 3 2 3 2 2" xfId="1789" xr:uid="{00000000-0005-0000-0000-0000B7160000}"/>
    <cellStyle name="40% - Énfasis2 3 2 3 2 2 2" xfId="3679" xr:uid="{00000000-0005-0000-0000-0000B8160000}"/>
    <cellStyle name="40% - Énfasis2 3 2 3 2 2 2 2" xfId="7458" xr:uid="{00000000-0005-0000-0000-0000B9160000}"/>
    <cellStyle name="40% - Énfasis2 3 2 3 2 2 2 3" xfId="11234" xr:uid="{00000000-0005-0000-0000-0000BA160000}"/>
    <cellStyle name="40% - Énfasis2 3 2 3 2 2 3" xfId="5570" xr:uid="{00000000-0005-0000-0000-0000BB160000}"/>
    <cellStyle name="40% - Énfasis2 3 2 3 2 2 4" xfId="9346" xr:uid="{00000000-0005-0000-0000-0000BC160000}"/>
    <cellStyle name="40% - Énfasis2 3 2 3 2 3" xfId="2735" xr:uid="{00000000-0005-0000-0000-0000BD160000}"/>
    <cellStyle name="40% - Énfasis2 3 2 3 2 3 2" xfId="6514" xr:uid="{00000000-0005-0000-0000-0000BE160000}"/>
    <cellStyle name="40% - Énfasis2 3 2 3 2 3 3" xfId="10290" xr:uid="{00000000-0005-0000-0000-0000BF160000}"/>
    <cellStyle name="40% - Énfasis2 3 2 3 2 4" xfId="4626" xr:uid="{00000000-0005-0000-0000-0000C0160000}"/>
    <cellStyle name="40% - Énfasis2 3 2 3 2 5" xfId="8402" xr:uid="{00000000-0005-0000-0000-0000C1160000}"/>
    <cellStyle name="40% - Énfasis2 3 2 3 3" xfId="1317" xr:uid="{00000000-0005-0000-0000-0000C2160000}"/>
    <cellStyle name="40% - Énfasis2 3 2 3 3 2" xfId="3207" xr:uid="{00000000-0005-0000-0000-0000C3160000}"/>
    <cellStyle name="40% - Énfasis2 3 2 3 3 2 2" xfId="6986" xr:uid="{00000000-0005-0000-0000-0000C4160000}"/>
    <cellStyle name="40% - Énfasis2 3 2 3 3 2 3" xfId="10762" xr:uid="{00000000-0005-0000-0000-0000C5160000}"/>
    <cellStyle name="40% - Énfasis2 3 2 3 3 3" xfId="5098" xr:uid="{00000000-0005-0000-0000-0000C6160000}"/>
    <cellStyle name="40% - Énfasis2 3 2 3 3 4" xfId="8874" xr:uid="{00000000-0005-0000-0000-0000C7160000}"/>
    <cellStyle name="40% - Énfasis2 3 2 3 4" xfId="2263" xr:uid="{00000000-0005-0000-0000-0000C8160000}"/>
    <cellStyle name="40% - Énfasis2 3 2 3 4 2" xfId="6042" xr:uid="{00000000-0005-0000-0000-0000C9160000}"/>
    <cellStyle name="40% - Énfasis2 3 2 3 4 3" xfId="9818" xr:uid="{00000000-0005-0000-0000-0000CA160000}"/>
    <cellStyle name="40% - Énfasis2 3 2 3 5" xfId="4154" xr:uid="{00000000-0005-0000-0000-0000CB160000}"/>
    <cellStyle name="40% - Énfasis2 3 2 3 6" xfId="7930" xr:uid="{00000000-0005-0000-0000-0000CC160000}"/>
    <cellStyle name="40% - Énfasis2 3 2 4" xfId="607" xr:uid="{00000000-0005-0000-0000-0000CD160000}"/>
    <cellStyle name="40% - Énfasis2 3 2 4 2" xfId="1553" xr:uid="{00000000-0005-0000-0000-0000CE160000}"/>
    <cellStyle name="40% - Énfasis2 3 2 4 2 2" xfId="3443" xr:uid="{00000000-0005-0000-0000-0000CF160000}"/>
    <cellStyle name="40% - Énfasis2 3 2 4 2 2 2" xfId="7222" xr:uid="{00000000-0005-0000-0000-0000D0160000}"/>
    <cellStyle name="40% - Énfasis2 3 2 4 2 2 3" xfId="10998" xr:uid="{00000000-0005-0000-0000-0000D1160000}"/>
    <cellStyle name="40% - Énfasis2 3 2 4 2 3" xfId="5334" xr:uid="{00000000-0005-0000-0000-0000D2160000}"/>
    <cellStyle name="40% - Énfasis2 3 2 4 2 4" xfId="9110" xr:uid="{00000000-0005-0000-0000-0000D3160000}"/>
    <cellStyle name="40% - Énfasis2 3 2 4 3" xfId="2499" xr:uid="{00000000-0005-0000-0000-0000D4160000}"/>
    <cellStyle name="40% - Énfasis2 3 2 4 3 2" xfId="6278" xr:uid="{00000000-0005-0000-0000-0000D5160000}"/>
    <cellStyle name="40% - Énfasis2 3 2 4 3 3" xfId="10054" xr:uid="{00000000-0005-0000-0000-0000D6160000}"/>
    <cellStyle name="40% - Énfasis2 3 2 4 4" xfId="4390" xr:uid="{00000000-0005-0000-0000-0000D7160000}"/>
    <cellStyle name="40% - Énfasis2 3 2 4 5" xfId="8166" xr:uid="{00000000-0005-0000-0000-0000D8160000}"/>
    <cellStyle name="40% - Énfasis2 3 2 5" xfId="1081" xr:uid="{00000000-0005-0000-0000-0000D9160000}"/>
    <cellStyle name="40% - Énfasis2 3 2 5 2" xfId="2971" xr:uid="{00000000-0005-0000-0000-0000DA160000}"/>
    <cellStyle name="40% - Énfasis2 3 2 5 2 2" xfId="6750" xr:uid="{00000000-0005-0000-0000-0000DB160000}"/>
    <cellStyle name="40% - Énfasis2 3 2 5 2 3" xfId="10526" xr:uid="{00000000-0005-0000-0000-0000DC160000}"/>
    <cellStyle name="40% - Énfasis2 3 2 5 3" xfId="4862" xr:uid="{00000000-0005-0000-0000-0000DD160000}"/>
    <cellStyle name="40% - Énfasis2 3 2 5 4" xfId="8638" xr:uid="{00000000-0005-0000-0000-0000DE160000}"/>
    <cellStyle name="40% - Énfasis2 3 2 6" xfId="2027" xr:uid="{00000000-0005-0000-0000-0000DF160000}"/>
    <cellStyle name="40% - Énfasis2 3 2 6 2" xfId="5806" xr:uid="{00000000-0005-0000-0000-0000E0160000}"/>
    <cellStyle name="40% - Énfasis2 3 2 6 3" xfId="9582" xr:uid="{00000000-0005-0000-0000-0000E1160000}"/>
    <cellStyle name="40% - Énfasis2 3 2 7" xfId="3918" xr:uid="{00000000-0005-0000-0000-0000E2160000}"/>
    <cellStyle name="40% - Énfasis2 3 2 8" xfId="7694" xr:uid="{00000000-0005-0000-0000-0000E3160000}"/>
    <cellStyle name="40% - Énfasis2 3 3" xfId="190" xr:uid="{00000000-0005-0000-0000-0000E4160000}"/>
    <cellStyle name="40% - Énfasis2 3 3 2" xfId="428" xr:uid="{00000000-0005-0000-0000-0000E5160000}"/>
    <cellStyle name="40% - Énfasis2 3 3 2 2" xfId="902" xr:uid="{00000000-0005-0000-0000-0000E6160000}"/>
    <cellStyle name="40% - Énfasis2 3 3 2 2 2" xfId="1848" xr:uid="{00000000-0005-0000-0000-0000E7160000}"/>
    <cellStyle name="40% - Énfasis2 3 3 2 2 2 2" xfId="3738" xr:uid="{00000000-0005-0000-0000-0000E8160000}"/>
    <cellStyle name="40% - Énfasis2 3 3 2 2 2 2 2" xfId="7517" xr:uid="{00000000-0005-0000-0000-0000E9160000}"/>
    <cellStyle name="40% - Énfasis2 3 3 2 2 2 2 3" xfId="11293" xr:uid="{00000000-0005-0000-0000-0000EA160000}"/>
    <cellStyle name="40% - Énfasis2 3 3 2 2 2 3" xfId="5629" xr:uid="{00000000-0005-0000-0000-0000EB160000}"/>
    <cellStyle name="40% - Énfasis2 3 3 2 2 2 4" xfId="9405" xr:uid="{00000000-0005-0000-0000-0000EC160000}"/>
    <cellStyle name="40% - Énfasis2 3 3 2 2 3" xfId="2794" xr:uid="{00000000-0005-0000-0000-0000ED160000}"/>
    <cellStyle name="40% - Énfasis2 3 3 2 2 3 2" xfId="6573" xr:uid="{00000000-0005-0000-0000-0000EE160000}"/>
    <cellStyle name="40% - Énfasis2 3 3 2 2 3 3" xfId="10349" xr:uid="{00000000-0005-0000-0000-0000EF160000}"/>
    <cellStyle name="40% - Énfasis2 3 3 2 2 4" xfId="4685" xr:uid="{00000000-0005-0000-0000-0000F0160000}"/>
    <cellStyle name="40% - Énfasis2 3 3 2 2 5" xfId="8461" xr:uid="{00000000-0005-0000-0000-0000F1160000}"/>
    <cellStyle name="40% - Énfasis2 3 3 2 3" xfId="1376" xr:uid="{00000000-0005-0000-0000-0000F2160000}"/>
    <cellStyle name="40% - Énfasis2 3 3 2 3 2" xfId="3266" xr:uid="{00000000-0005-0000-0000-0000F3160000}"/>
    <cellStyle name="40% - Énfasis2 3 3 2 3 2 2" xfId="7045" xr:uid="{00000000-0005-0000-0000-0000F4160000}"/>
    <cellStyle name="40% - Énfasis2 3 3 2 3 2 3" xfId="10821" xr:uid="{00000000-0005-0000-0000-0000F5160000}"/>
    <cellStyle name="40% - Énfasis2 3 3 2 3 3" xfId="5157" xr:uid="{00000000-0005-0000-0000-0000F6160000}"/>
    <cellStyle name="40% - Énfasis2 3 3 2 3 4" xfId="8933" xr:uid="{00000000-0005-0000-0000-0000F7160000}"/>
    <cellStyle name="40% - Énfasis2 3 3 2 4" xfId="2322" xr:uid="{00000000-0005-0000-0000-0000F8160000}"/>
    <cellStyle name="40% - Énfasis2 3 3 2 4 2" xfId="6101" xr:uid="{00000000-0005-0000-0000-0000F9160000}"/>
    <cellStyle name="40% - Énfasis2 3 3 2 4 3" xfId="9877" xr:uid="{00000000-0005-0000-0000-0000FA160000}"/>
    <cellStyle name="40% - Énfasis2 3 3 2 5" xfId="4213" xr:uid="{00000000-0005-0000-0000-0000FB160000}"/>
    <cellStyle name="40% - Énfasis2 3 3 2 6" xfId="7989" xr:uid="{00000000-0005-0000-0000-0000FC160000}"/>
    <cellStyle name="40% - Énfasis2 3 3 3" xfId="666" xr:uid="{00000000-0005-0000-0000-0000FD160000}"/>
    <cellStyle name="40% - Énfasis2 3 3 3 2" xfId="1612" xr:uid="{00000000-0005-0000-0000-0000FE160000}"/>
    <cellStyle name="40% - Énfasis2 3 3 3 2 2" xfId="3502" xr:uid="{00000000-0005-0000-0000-0000FF160000}"/>
    <cellStyle name="40% - Énfasis2 3 3 3 2 2 2" xfId="7281" xr:uid="{00000000-0005-0000-0000-000000170000}"/>
    <cellStyle name="40% - Énfasis2 3 3 3 2 2 3" xfId="11057" xr:uid="{00000000-0005-0000-0000-000001170000}"/>
    <cellStyle name="40% - Énfasis2 3 3 3 2 3" xfId="5393" xr:uid="{00000000-0005-0000-0000-000002170000}"/>
    <cellStyle name="40% - Énfasis2 3 3 3 2 4" xfId="9169" xr:uid="{00000000-0005-0000-0000-000003170000}"/>
    <cellStyle name="40% - Énfasis2 3 3 3 3" xfId="2558" xr:uid="{00000000-0005-0000-0000-000004170000}"/>
    <cellStyle name="40% - Énfasis2 3 3 3 3 2" xfId="6337" xr:uid="{00000000-0005-0000-0000-000005170000}"/>
    <cellStyle name="40% - Énfasis2 3 3 3 3 3" xfId="10113" xr:uid="{00000000-0005-0000-0000-000006170000}"/>
    <cellStyle name="40% - Énfasis2 3 3 3 4" xfId="4449" xr:uid="{00000000-0005-0000-0000-000007170000}"/>
    <cellStyle name="40% - Énfasis2 3 3 3 5" xfId="8225" xr:uid="{00000000-0005-0000-0000-000008170000}"/>
    <cellStyle name="40% - Énfasis2 3 3 4" xfId="1140" xr:uid="{00000000-0005-0000-0000-000009170000}"/>
    <cellStyle name="40% - Énfasis2 3 3 4 2" xfId="3030" xr:uid="{00000000-0005-0000-0000-00000A170000}"/>
    <cellStyle name="40% - Énfasis2 3 3 4 2 2" xfId="6809" xr:uid="{00000000-0005-0000-0000-00000B170000}"/>
    <cellStyle name="40% - Énfasis2 3 3 4 2 3" xfId="10585" xr:uid="{00000000-0005-0000-0000-00000C170000}"/>
    <cellStyle name="40% - Énfasis2 3 3 4 3" xfId="4921" xr:uid="{00000000-0005-0000-0000-00000D170000}"/>
    <cellStyle name="40% - Énfasis2 3 3 4 4" xfId="8697" xr:uid="{00000000-0005-0000-0000-00000E170000}"/>
    <cellStyle name="40% - Énfasis2 3 3 5" xfId="2086" xr:uid="{00000000-0005-0000-0000-00000F170000}"/>
    <cellStyle name="40% - Énfasis2 3 3 5 2" xfId="5865" xr:uid="{00000000-0005-0000-0000-000010170000}"/>
    <cellStyle name="40% - Énfasis2 3 3 5 3" xfId="9641" xr:uid="{00000000-0005-0000-0000-000011170000}"/>
    <cellStyle name="40% - Énfasis2 3 3 6" xfId="3977" xr:uid="{00000000-0005-0000-0000-000012170000}"/>
    <cellStyle name="40% - Énfasis2 3 3 7" xfId="7753" xr:uid="{00000000-0005-0000-0000-000013170000}"/>
    <cellStyle name="40% - Énfasis2 3 4" xfId="310" xr:uid="{00000000-0005-0000-0000-000014170000}"/>
    <cellStyle name="40% - Énfasis2 3 4 2" xfId="784" xr:uid="{00000000-0005-0000-0000-000015170000}"/>
    <cellStyle name="40% - Énfasis2 3 4 2 2" xfId="1730" xr:uid="{00000000-0005-0000-0000-000016170000}"/>
    <cellStyle name="40% - Énfasis2 3 4 2 2 2" xfId="3620" xr:uid="{00000000-0005-0000-0000-000017170000}"/>
    <cellStyle name="40% - Énfasis2 3 4 2 2 2 2" xfId="7399" xr:uid="{00000000-0005-0000-0000-000018170000}"/>
    <cellStyle name="40% - Énfasis2 3 4 2 2 2 3" xfId="11175" xr:uid="{00000000-0005-0000-0000-000019170000}"/>
    <cellStyle name="40% - Énfasis2 3 4 2 2 3" xfId="5511" xr:uid="{00000000-0005-0000-0000-00001A170000}"/>
    <cellStyle name="40% - Énfasis2 3 4 2 2 4" xfId="9287" xr:uid="{00000000-0005-0000-0000-00001B170000}"/>
    <cellStyle name="40% - Énfasis2 3 4 2 3" xfId="2676" xr:uid="{00000000-0005-0000-0000-00001C170000}"/>
    <cellStyle name="40% - Énfasis2 3 4 2 3 2" xfId="6455" xr:uid="{00000000-0005-0000-0000-00001D170000}"/>
    <cellStyle name="40% - Énfasis2 3 4 2 3 3" xfId="10231" xr:uid="{00000000-0005-0000-0000-00001E170000}"/>
    <cellStyle name="40% - Énfasis2 3 4 2 4" xfId="4567" xr:uid="{00000000-0005-0000-0000-00001F170000}"/>
    <cellStyle name="40% - Énfasis2 3 4 2 5" xfId="8343" xr:uid="{00000000-0005-0000-0000-000020170000}"/>
    <cellStyle name="40% - Énfasis2 3 4 3" xfId="1258" xr:uid="{00000000-0005-0000-0000-000021170000}"/>
    <cellStyle name="40% - Énfasis2 3 4 3 2" xfId="3148" xr:uid="{00000000-0005-0000-0000-000022170000}"/>
    <cellStyle name="40% - Énfasis2 3 4 3 2 2" xfId="6927" xr:uid="{00000000-0005-0000-0000-000023170000}"/>
    <cellStyle name="40% - Énfasis2 3 4 3 2 3" xfId="10703" xr:uid="{00000000-0005-0000-0000-000024170000}"/>
    <cellStyle name="40% - Énfasis2 3 4 3 3" xfId="5039" xr:uid="{00000000-0005-0000-0000-000025170000}"/>
    <cellStyle name="40% - Énfasis2 3 4 3 4" xfId="8815" xr:uid="{00000000-0005-0000-0000-000026170000}"/>
    <cellStyle name="40% - Énfasis2 3 4 4" xfId="2204" xr:uid="{00000000-0005-0000-0000-000027170000}"/>
    <cellStyle name="40% - Énfasis2 3 4 4 2" xfId="5983" xr:uid="{00000000-0005-0000-0000-000028170000}"/>
    <cellStyle name="40% - Énfasis2 3 4 4 3" xfId="9759" xr:uid="{00000000-0005-0000-0000-000029170000}"/>
    <cellStyle name="40% - Énfasis2 3 4 5" xfId="4095" xr:uid="{00000000-0005-0000-0000-00002A170000}"/>
    <cellStyle name="40% - Énfasis2 3 4 6" xfId="7871" xr:uid="{00000000-0005-0000-0000-00002B170000}"/>
    <cellStyle name="40% - Énfasis2 3 5" xfId="548" xr:uid="{00000000-0005-0000-0000-00002C170000}"/>
    <cellStyle name="40% - Énfasis2 3 5 2" xfId="1494" xr:uid="{00000000-0005-0000-0000-00002D170000}"/>
    <cellStyle name="40% - Énfasis2 3 5 2 2" xfId="3384" xr:uid="{00000000-0005-0000-0000-00002E170000}"/>
    <cellStyle name="40% - Énfasis2 3 5 2 2 2" xfId="7163" xr:uid="{00000000-0005-0000-0000-00002F170000}"/>
    <cellStyle name="40% - Énfasis2 3 5 2 2 3" xfId="10939" xr:uid="{00000000-0005-0000-0000-000030170000}"/>
    <cellStyle name="40% - Énfasis2 3 5 2 3" xfId="5275" xr:uid="{00000000-0005-0000-0000-000031170000}"/>
    <cellStyle name="40% - Énfasis2 3 5 2 4" xfId="9051" xr:uid="{00000000-0005-0000-0000-000032170000}"/>
    <cellStyle name="40% - Énfasis2 3 5 3" xfId="2440" xr:uid="{00000000-0005-0000-0000-000033170000}"/>
    <cellStyle name="40% - Énfasis2 3 5 3 2" xfId="6219" xr:uid="{00000000-0005-0000-0000-000034170000}"/>
    <cellStyle name="40% - Énfasis2 3 5 3 3" xfId="9995" xr:uid="{00000000-0005-0000-0000-000035170000}"/>
    <cellStyle name="40% - Énfasis2 3 5 4" xfId="4331" xr:uid="{00000000-0005-0000-0000-000036170000}"/>
    <cellStyle name="40% - Énfasis2 3 5 5" xfId="8107" xr:uid="{00000000-0005-0000-0000-000037170000}"/>
    <cellStyle name="40% - Énfasis2 3 6" xfId="1022" xr:uid="{00000000-0005-0000-0000-000038170000}"/>
    <cellStyle name="40% - Énfasis2 3 6 2" xfId="2912" xr:uid="{00000000-0005-0000-0000-000039170000}"/>
    <cellStyle name="40% - Énfasis2 3 6 2 2" xfId="6691" xr:uid="{00000000-0005-0000-0000-00003A170000}"/>
    <cellStyle name="40% - Énfasis2 3 6 2 3" xfId="10467" xr:uid="{00000000-0005-0000-0000-00003B170000}"/>
    <cellStyle name="40% - Énfasis2 3 6 3" xfId="4803" xr:uid="{00000000-0005-0000-0000-00003C170000}"/>
    <cellStyle name="40% - Énfasis2 3 6 4" xfId="8579" xr:uid="{00000000-0005-0000-0000-00003D170000}"/>
    <cellStyle name="40% - Énfasis2 3 7" xfId="1968" xr:uid="{00000000-0005-0000-0000-00003E170000}"/>
    <cellStyle name="40% - Énfasis2 3 7 2" xfId="5747" xr:uid="{00000000-0005-0000-0000-00003F170000}"/>
    <cellStyle name="40% - Énfasis2 3 7 3" xfId="9523" xr:uid="{00000000-0005-0000-0000-000040170000}"/>
    <cellStyle name="40% - Énfasis2 3 8" xfId="3859" xr:uid="{00000000-0005-0000-0000-000041170000}"/>
    <cellStyle name="40% - Énfasis2 3 9" xfId="7635" xr:uid="{00000000-0005-0000-0000-000042170000}"/>
    <cellStyle name="40% - Énfasis2 4" xfId="95" xr:uid="{00000000-0005-0000-0000-000043170000}"/>
    <cellStyle name="40% - Énfasis2 4 2" xfId="220" xr:uid="{00000000-0005-0000-0000-000044170000}"/>
    <cellStyle name="40% - Énfasis2 4 2 2" xfId="458" xr:uid="{00000000-0005-0000-0000-000045170000}"/>
    <cellStyle name="40% - Énfasis2 4 2 2 2" xfId="932" xr:uid="{00000000-0005-0000-0000-000046170000}"/>
    <cellStyle name="40% - Énfasis2 4 2 2 2 2" xfId="1878" xr:uid="{00000000-0005-0000-0000-000047170000}"/>
    <cellStyle name="40% - Énfasis2 4 2 2 2 2 2" xfId="3768" xr:uid="{00000000-0005-0000-0000-000048170000}"/>
    <cellStyle name="40% - Énfasis2 4 2 2 2 2 2 2" xfId="7547" xr:uid="{00000000-0005-0000-0000-000049170000}"/>
    <cellStyle name="40% - Énfasis2 4 2 2 2 2 2 3" xfId="11323" xr:uid="{00000000-0005-0000-0000-00004A170000}"/>
    <cellStyle name="40% - Énfasis2 4 2 2 2 2 3" xfId="5659" xr:uid="{00000000-0005-0000-0000-00004B170000}"/>
    <cellStyle name="40% - Énfasis2 4 2 2 2 2 4" xfId="9435" xr:uid="{00000000-0005-0000-0000-00004C170000}"/>
    <cellStyle name="40% - Énfasis2 4 2 2 2 3" xfId="2824" xr:uid="{00000000-0005-0000-0000-00004D170000}"/>
    <cellStyle name="40% - Énfasis2 4 2 2 2 3 2" xfId="6603" xr:uid="{00000000-0005-0000-0000-00004E170000}"/>
    <cellStyle name="40% - Énfasis2 4 2 2 2 3 3" xfId="10379" xr:uid="{00000000-0005-0000-0000-00004F170000}"/>
    <cellStyle name="40% - Énfasis2 4 2 2 2 4" xfId="4715" xr:uid="{00000000-0005-0000-0000-000050170000}"/>
    <cellStyle name="40% - Énfasis2 4 2 2 2 5" xfId="8491" xr:uid="{00000000-0005-0000-0000-000051170000}"/>
    <cellStyle name="40% - Énfasis2 4 2 2 3" xfId="1406" xr:uid="{00000000-0005-0000-0000-000052170000}"/>
    <cellStyle name="40% - Énfasis2 4 2 2 3 2" xfId="3296" xr:uid="{00000000-0005-0000-0000-000053170000}"/>
    <cellStyle name="40% - Énfasis2 4 2 2 3 2 2" xfId="7075" xr:uid="{00000000-0005-0000-0000-000054170000}"/>
    <cellStyle name="40% - Énfasis2 4 2 2 3 2 3" xfId="10851" xr:uid="{00000000-0005-0000-0000-000055170000}"/>
    <cellStyle name="40% - Énfasis2 4 2 2 3 3" xfId="5187" xr:uid="{00000000-0005-0000-0000-000056170000}"/>
    <cellStyle name="40% - Énfasis2 4 2 2 3 4" xfId="8963" xr:uid="{00000000-0005-0000-0000-000057170000}"/>
    <cellStyle name="40% - Énfasis2 4 2 2 4" xfId="2352" xr:uid="{00000000-0005-0000-0000-000058170000}"/>
    <cellStyle name="40% - Énfasis2 4 2 2 4 2" xfId="6131" xr:uid="{00000000-0005-0000-0000-000059170000}"/>
    <cellStyle name="40% - Énfasis2 4 2 2 4 3" xfId="9907" xr:uid="{00000000-0005-0000-0000-00005A170000}"/>
    <cellStyle name="40% - Énfasis2 4 2 2 5" xfId="4243" xr:uid="{00000000-0005-0000-0000-00005B170000}"/>
    <cellStyle name="40% - Énfasis2 4 2 2 6" xfId="8019" xr:uid="{00000000-0005-0000-0000-00005C170000}"/>
    <cellStyle name="40% - Énfasis2 4 2 3" xfId="696" xr:uid="{00000000-0005-0000-0000-00005D170000}"/>
    <cellStyle name="40% - Énfasis2 4 2 3 2" xfId="1642" xr:uid="{00000000-0005-0000-0000-00005E170000}"/>
    <cellStyle name="40% - Énfasis2 4 2 3 2 2" xfId="3532" xr:uid="{00000000-0005-0000-0000-00005F170000}"/>
    <cellStyle name="40% - Énfasis2 4 2 3 2 2 2" xfId="7311" xr:uid="{00000000-0005-0000-0000-000060170000}"/>
    <cellStyle name="40% - Énfasis2 4 2 3 2 2 3" xfId="11087" xr:uid="{00000000-0005-0000-0000-000061170000}"/>
    <cellStyle name="40% - Énfasis2 4 2 3 2 3" xfId="5423" xr:uid="{00000000-0005-0000-0000-000062170000}"/>
    <cellStyle name="40% - Énfasis2 4 2 3 2 4" xfId="9199" xr:uid="{00000000-0005-0000-0000-000063170000}"/>
    <cellStyle name="40% - Énfasis2 4 2 3 3" xfId="2588" xr:uid="{00000000-0005-0000-0000-000064170000}"/>
    <cellStyle name="40% - Énfasis2 4 2 3 3 2" xfId="6367" xr:uid="{00000000-0005-0000-0000-000065170000}"/>
    <cellStyle name="40% - Énfasis2 4 2 3 3 3" xfId="10143" xr:uid="{00000000-0005-0000-0000-000066170000}"/>
    <cellStyle name="40% - Énfasis2 4 2 3 4" xfId="4479" xr:uid="{00000000-0005-0000-0000-000067170000}"/>
    <cellStyle name="40% - Énfasis2 4 2 3 5" xfId="8255" xr:uid="{00000000-0005-0000-0000-000068170000}"/>
    <cellStyle name="40% - Énfasis2 4 2 4" xfId="1170" xr:uid="{00000000-0005-0000-0000-000069170000}"/>
    <cellStyle name="40% - Énfasis2 4 2 4 2" xfId="3060" xr:uid="{00000000-0005-0000-0000-00006A170000}"/>
    <cellStyle name="40% - Énfasis2 4 2 4 2 2" xfId="6839" xr:uid="{00000000-0005-0000-0000-00006B170000}"/>
    <cellStyle name="40% - Énfasis2 4 2 4 2 3" xfId="10615" xr:uid="{00000000-0005-0000-0000-00006C170000}"/>
    <cellStyle name="40% - Énfasis2 4 2 4 3" xfId="4951" xr:uid="{00000000-0005-0000-0000-00006D170000}"/>
    <cellStyle name="40% - Énfasis2 4 2 4 4" xfId="8727" xr:uid="{00000000-0005-0000-0000-00006E170000}"/>
    <cellStyle name="40% - Énfasis2 4 2 5" xfId="2116" xr:uid="{00000000-0005-0000-0000-00006F170000}"/>
    <cellStyle name="40% - Énfasis2 4 2 5 2" xfId="5895" xr:uid="{00000000-0005-0000-0000-000070170000}"/>
    <cellStyle name="40% - Énfasis2 4 2 5 3" xfId="9671" xr:uid="{00000000-0005-0000-0000-000071170000}"/>
    <cellStyle name="40% - Énfasis2 4 2 6" xfId="4007" xr:uid="{00000000-0005-0000-0000-000072170000}"/>
    <cellStyle name="40% - Énfasis2 4 2 7" xfId="7783" xr:uid="{00000000-0005-0000-0000-000073170000}"/>
    <cellStyle name="40% - Énfasis2 4 3" xfId="340" xr:uid="{00000000-0005-0000-0000-000074170000}"/>
    <cellStyle name="40% - Énfasis2 4 3 2" xfId="814" xr:uid="{00000000-0005-0000-0000-000075170000}"/>
    <cellStyle name="40% - Énfasis2 4 3 2 2" xfId="1760" xr:uid="{00000000-0005-0000-0000-000076170000}"/>
    <cellStyle name="40% - Énfasis2 4 3 2 2 2" xfId="3650" xr:uid="{00000000-0005-0000-0000-000077170000}"/>
    <cellStyle name="40% - Énfasis2 4 3 2 2 2 2" xfId="7429" xr:uid="{00000000-0005-0000-0000-000078170000}"/>
    <cellStyle name="40% - Énfasis2 4 3 2 2 2 3" xfId="11205" xr:uid="{00000000-0005-0000-0000-000079170000}"/>
    <cellStyle name="40% - Énfasis2 4 3 2 2 3" xfId="5541" xr:uid="{00000000-0005-0000-0000-00007A170000}"/>
    <cellStyle name="40% - Énfasis2 4 3 2 2 4" xfId="9317" xr:uid="{00000000-0005-0000-0000-00007B170000}"/>
    <cellStyle name="40% - Énfasis2 4 3 2 3" xfId="2706" xr:uid="{00000000-0005-0000-0000-00007C170000}"/>
    <cellStyle name="40% - Énfasis2 4 3 2 3 2" xfId="6485" xr:uid="{00000000-0005-0000-0000-00007D170000}"/>
    <cellStyle name="40% - Énfasis2 4 3 2 3 3" xfId="10261" xr:uid="{00000000-0005-0000-0000-00007E170000}"/>
    <cellStyle name="40% - Énfasis2 4 3 2 4" xfId="4597" xr:uid="{00000000-0005-0000-0000-00007F170000}"/>
    <cellStyle name="40% - Énfasis2 4 3 2 5" xfId="8373" xr:uid="{00000000-0005-0000-0000-000080170000}"/>
    <cellStyle name="40% - Énfasis2 4 3 3" xfId="1288" xr:uid="{00000000-0005-0000-0000-000081170000}"/>
    <cellStyle name="40% - Énfasis2 4 3 3 2" xfId="3178" xr:uid="{00000000-0005-0000-0000-000082170000}"/>
    <cellStyle name="40% - Énfasis2 4 3 3 2 2" xfId="6957" xr:uid="{00000000-0005-0000-0000-000083170000}"/>
    <cellStyle name="40% - Énfasis2 4 3 3 2 3" xfId="10733" xr:uid="{00000000-0005-0000-0000-000084170000}"/>
    <cellStyle name="40% - Énfasis2 4 3 3 3" xfId="5069" xr:uid="{00000000-0005-0000-0000-000085170000}"/>
    <cellStyle name="40% - Énfasis2 4 3 3 4" xfId="8845" xr:uid="{00000000-0005-0000-0000-000086170000}"/>
    <cellStyle name="40% - Énfasis2 4 3 4" xfId="2234" xr:uid="{00000000-0005-0000-0000-000087170000}"/>
    <cellStyle name="40% - Énfasis2 4 3 4 2" xfId="6013" xr:uid="{00000000-0005-0000-0000-000088170000}"/>
    <cellStyle name="40% - Énfasis2 4 3 4 3" xfId="9789" xr:uid="{00000000-0005-0000-0000-000089170000}"/>
    <cellStyle name="40% - Énfasis2 4 3 5" xfId="4125" xr:uid="{00000000-0005-0000-0000-00008A170000}"/>
    <cellStyle name="40% - Énfasis2 4 3 6" xfId="7901" xr:uid="{00000000-0005-0000-0000-00008B170000}"/>
    <cellStyle name="40% - Énfasis2 4 4" xfId="578" xr:uid="{00000000-0005-0000-0000-00008C170000}"/>
    <cellStyle name="40% - Énfasis2 4 4 2" xfId="1524" xr:uid="{00000000-0005-0000-0000-00008D170000}"/>
    <cellStyle name="40% - Énfasis2 4 4 2 2" xfId="3414" xr:uid="{00000000-0005-0000-0000-00008E170000}"/>
    <cellStyle name="40% - Énfasis2 4 4 2 2 2" xfId="7193" xr:uid="{00000000-0005-0000-0000-00008F170000}"/>
    <cellStyle name="40% - Énfasis2 4 4 2 2 3" xfId="10969" xr:uid="{00000000-0005-0000-0000-000090170000}"/>
    <cellStyle name="40% - Énfasis2 4 4 2 3" xfId="5305" xr:uid="{00000000-0005-0000-0000-000091170000}"/>
    <cellStyle name="40% - Énfasis2 4 4 2 4" xfId="9081" xr:uid="{00000000-0005-0000-0000-000092170000}"/>
    <cellStyle name="40% - Énfasis2 4 4 3" xfId="2470" xr:uid="{00000000-0005-0000-0000-000093170000}"/>
    <cellStyle name="40% - Énfasis2 4 4 3 2" xfId="6249" xr:uid="{00000000-0005-0000-0000-000094170000}"/>
    <cellStyle name="40% - Énfasis2 4 4 3 3" xfId="10025" xr:uid="{00000000-0005-0000-0000-000095170000}"/>
    <cellStyle name="40% - Énfasis2 4 4 4" xfId="4361" xr:uid="{00000000-0005-0000-0000-000096170000}"/>
    <cellStyle name="40% - Énfasis2 4 4 5" xfId="8137" xr:uid="{00000000-0005-0000-0000-000097170000}"/>
    <cellStyle name="40% - Énfasis2 4 5" xfId="1052" xr:uid="{00000000-0005-0000-0000-000098170000}"/>
    <cellStyle name="40% - Énfasis2 4 5 2" xfId="2942" xr:uid="{00000000-0005-0000-0000-000099170000}"/>
    <cellStyle name="40% - Énfasis2 4 5 2 2" xfId="6721" xr:uid="{00000000-0005-0000-0000-00009A170000}"/>
    <cellStyle name="40% - Énfasis2 4 5 2 3" xfId="10497" xr:uid="{00000000-0005-0000-0000-00009B170000}"/>
    <cellStyle name="40% - Énfasis2 4 5 3" xfId="4833" xr:uid="{00000000-0005-0000-0000-00009C170000}"/>
    <cellStyle name="40% - Énfasis2 4 5 4" xfId="8609" xr:uid="{00000000-0005-0000-0000-00009D170000}"/>
    <cellStyle name="40% - Énfasis2 4 6" xfId="1998" xr:uid="{00000000-0005-0000-0000-00009E170000}"/>
    <cellStyle name="40% - Énfasis2 4 6 2" xfId="5777" xr:uid="{00000000-0005-0000-0000-00009F170000}"/>
    <cellStyle name="40% - Énfasis2 4 6 3" xfId="9553" xr:uid="{00000000-0005-0000-0000-0000A0170000}"/>
    <cellStyle name="40% - Énfasis2 4 7" xfId="3889" xr:uid="{00000000-0005-0000-0000-0000A1170000}"/>
    <cellStyle name="40% - Énfasis2 4 8" xfId="7665" xr:uid="{00000000-0005-0000-0000-0000A2170000}"/>
    <cellStyle name="40% - Énfasis2 5" xfId="159" xr:uid="{00000000-0005-0000-0000-0000A3170000}"/>
    <cellStyle name="40% - Énfasis2 5 2" xfId="399" xr:uid="{00000000-0005-0000-0000-0000A4170000}"/>
    <cellStyle name="40% - Énfasis2 5 2 2" xfId="873" xr:uid="{00000000-0005-0000-0000-0000A5170000}"/>
    <cellStyle name="40% - Énfasis2 5 2 2 2" xfId="1819" xr:uid="{00000000-0005-0000-0000-0000A6170000}"/>
    <cellStyle name="40% - Énfasis2 5 2 2 2 2" xfId="3709" xr:uid="{00000000-0005-0000-0000-0000A7170000}"/>
    <cellStyle name="40% - Énfasis2 5 2 2 2 2 2" xfId="7488" xr:uid="{00000000-0005-0000-0000-0000A8170000}"/>
    <cellStyle name="40% - Énfasis2 5 2 2 2 2 3" xfId="11264" xr:uid="{00000000-0005-0000-0000-0000A9170000}"/>
    <cellStyle name="40% - Énfasis2 5 2 2 2 3" xfId="5600" xr:uid="{00000000-0005-0000-0000-0000AA170000}"/>
    <cellStyle name="40% - Énfasis2 5 2 2 2 4" xfId="9376" xr:uid="{00000000-0005-0000-0000-0000AB170000}"/>
    <cellStyle name="40% - Énfasis2 5 2 2 3" xfId="2765" xr:uid="{00000000-0005-0000-0000-0000AC170000}"/>
    <cellStyle name="40% - Énfasis2 5 2 2 3 2" xfId="6544" xr:uid="{00000000-0005-0000-0000-0000AD170000}"/>
    <cellStyle name="40% - Énfasis2 5 2 2 3 3" xfId="10320" xr:uid="{00000000-0005-0000-0000-0000AE170000}"/>
    <cellStyle name="40% - Énfasis2 5 2 2 4" xfId="4656" xr:uid="{00000000-0005-0000-0000-0000AF170000}"/>
    <cellStyle name="40% - Énfasis2 5 2 2 5" xfId="8432" xr:uid="{00000000-0005-0000-0000-0000B0170000}"/>
    <cellStyle name="40% - Énfasis2 5 2 3" xfId="1347" xr:uid="{00000000-0005-0000-0000-0000B1170000}"/>
    <cellStyle name="40% - Énfasis2 5 2 3 2" xfId="3237" xr:uid="{00000000-0005-0000-0000-0000B2170000}"/>
    <cellStyle name="40% - Énfasis2 5 2 3 2 2" xfId="7016" xr:uid="{00000000-0005-0000-0000-0000B3170000}"/>
    <cellStyle name="40% - Énfasis2 5 2 3 2 3" xfId="10792" xr:uid="{00000000-0005-0000-0000-0000B4170000}"/>
    <cellStyle name="40% - Énfasis2 5 2 3 3" xfId="5128" xr:uid="{00000000-0005-0000-0000-0000B5170000}"/>
    <cellStyle name="40% - Énfasis2 5 2 3 4" xfId="8904" xr:uid="{00000000-0005-0000-0000-0000B6170000}"/>
    <cellStyle name="40% - Énfasis2 5 2 4" xfId="2293" xr:uid="{00000000-0005-0000-0000-0000B7170000}"/>
    <cellStyle name="40% - Énfasis2 5 2 4 2" xfId="6072" xr:uid="{00000000-0005-0000-0000-0000B8170000}"/>
    <cellStyle name="40% - Énfasis2 5 2 4 3" xfId="9848" xr:uid="{00000000-0005-0000-0000-0000B9170000}"/>
    <cellStyle name="40% - Énfasis2 5 2 5" xfId="4184" xr:uid="{00000000-0005-0000-0000-0000BA170000}"/>
    <cellStyle name="40% - Énfasis2 5 2 6" xfId="7960" xr:uid="{00000000-0005-0000-0000-0000BB170000}"/>
    <cellStyle name="40% - Énfasis2 5 3" xfId="637" xr:uid="{00000000-0005-0000-0000-0000BC170000}"/>
    <cellStyle name="40% - Énfasis2 5 3 2" xfId="1583" xr:uid="{00000000-0005-0000-0000-0000BD170000}"/>
    <cellStyle name="40% - Énfasis2 5 3 2 2" xfId="3473" xr:uid="{00000000-0005-0000-0000-0000BE170000}"/>
    <cellStyle name="40% - Énfasis2 5 3 2 2 2" xfId="7252" xr:uid="{00000000-0005-0000-0000-0000BF170000}"/>
    <cellStyle name="40% - Énfasis2 5 3 2 2 3" xfId="11028" xr:uid="{00000000-0005-0000-0000-0000C0170000}"/>
    <cellStyle name="40% - Énfasis2 5 3 2 3" xfId="5364" xr:uid="{00000000-0005-0000-0000-0000C1170000}"/>
    <cellStyle name="40% - Énfasis2 5 3 2 4" xfId="9140" xr:uid="{00000000-0005-0000-0000-0000C2170000}"/>
    <cellStyle name="40% - Énfasis2 5 3 3" xfId="2529" xr:uid="{00000000-0005-0000-0000-0000C3170000}"/>
    <cellStyle name="40% - Énfasis2 5 3 3 2" xfId="6308" xr:uid="{00000000-0005-0000-0000-0000C4170000}"/>
    <cellStyle name="40% - Énfasis2 5 3 3 3" xfId="10084" xr:uid="{00000000-0005-0000-0000-0000C5170000}"/>
    <cellStyle name="40% - Énfasis2 5 3 4" xfId="4420" xr:uid="{00000000-0005-0000-0000-0000C6170000}"/>
    <cellStyle name="40% - Énfasis2 5 3 5" xfId="8196" xr:uid="{00000000-0005-0000-0000-0000C7170000}"/>
    <cellStyle name="40% - Énfasis2 5 4" xfId="1111" xr:uid="{00000000-0005-0000-0000-0000C8170000}"/>
    <cellStyle name="40% - Énfasis2 5 4 2" xfId="3001" xr:uid="{00000000-0005-0000-0000-0000C9170000}"/>
    <cellStyle name="40% - Énfasis2 5 4 2 2" xfId="6780" xr:uid="{00000000-0005-0000-0000-0000CA170000}"/>
    <cellStyle name="40% - Énfasis2 5 4 2 3" xfId="10556" xr:uid="{00000000-0005-0000-0000-0000CB170000}"/>
    <cellStyle name="40% - Énfasis2 5 4 3" xfId="4892" xr:uid="{00000000-0005-0000-0000-0000CC170000}"/>
    <cellStyle name="40% - Énfasis2 5 4 4" xfId="8668" xr:uid="{00000000-0005-0000-0000-0000CD170000}"/>
    <cellStyle name="40% - Énfasis2 5 5" xfId="2057" xr:uid="{00000000-0005-0000-0000-0000CE170000}"/>
    <cellStyle name="40% - Énfasis2 5 5 2" xfId="5836" xr:uid="{00000000-0005-0000-0000-0000CF170000}"/>
    <cellStyle name="40% - Énfasis2 5 5 3" xfId="9612" xr:uid="{00000000-0005-0000-0000-0000D0170000}"/>
    <cellStyle name="40% - Énfasis2 5 6" xfId="3948" xr:uid="{00000000-0005-0000-0000-0000D1170000}"/>
    <cellStyle name="40% - Énfasis2 5 7" xfId="7724" xr:uid="{00000000-0005-0000-0000-0000D2170000}"/>
    <cellStyle name="40% - Énfasis2 6" xfId="279" xr:uid="{00000000-0005-0000-0000-0000D3170000}"/>
    <cellStyle name="40% - Énfasis2 6 2" xfId="755" xr:uid="{00000000-0005-0000-0000-0000D4170000}"/>
    <cellStyle name="40% - Énfasis2 6 2 2" xfId="1701" xr:uid="{00000000-0005-0000-0000-0000D5170000}"/>
    <cellStyle name="40% - Énfasis2 6 2 2 2" xfId="3591" xr:uid="{00000000-0005-0000-0000-0000D6170000}"/>
    <cellStyle name="40% - Énfasis2 6 2 2 2 2" xfId="7370" xr:uid="{00000000-0005-0000-0000-0000D7170000}"/>
    <cellStyle name="40% - Énfasis2 6 2 2 2 3" xfId="11146" xr:uid="{00000000-0005-0000-0000-0000D8170000}"/>
    <cellStyle name="40% - Énfasis2 6 2 2 3" xfId="5482" xr:uid="{00000000-0005-0000-0000-0000D9170000}"/>
    <cellStyle name="40% - Énfasis2 6 2 2 4" xfId="9258" xr:uid="{00000000-0005-0000-0000-0000DA170000}"/>
    <cellStyle name="40% - Énfasis2 6 2 3" xfId="2647" xr:uid="{00000000-0005-0000-0000-0000DB170000}"/>
    <cellStyle name="40% - Énfasis2 6 2 3 2" xfId="6426" xr:uid="{00000000-0005-0000-0000-0000DC170000}"/>
    <cellStyle name="40% - Énfasis2 6 2 3 3" xfId="10202" xr:uid="{00000000-0005-0000-0000-0000DD170000}"/>
    <cellStyle name="40% - Énfasis2 6 2 4" xfId="4538" xr:uid="{00000000-0005-0000-0000-0000DE170000}"/>
    <cellStyle name="40% - Énfasis2 6 2 5" xfId="8314" xr:uid="{00000000-0005-0000-0000-0000DF170000}"/>
    <cellStyle name="40% - Énfasis2 6 3" xfId="1229" xr:uid="{00000000-0005-0000-0000-0000E0170000}"/>
    <cellStyle name="40% - Énfasis2 6 3 2" xfId="3119" xr:uid="{00000000-0005-0000-0000-0000E1170000}"/>
    <cellStyle name="40% - Énfasis2 6 3 2 2" xfId="6898" xr:uid="{00000000-0005-0000-0000-0000E2170000}"/>
    <cellStyle name="40% - Énfasis2 6 3 2 3" xfId="10674" xr:uid="{00000000-0005-0000-0000-0000E3170000}"/>
    <cellStyle name="40% - Énfasis2 6 3 3" xfId="5010" xr:uid="{00000000-0005-0000-0000-0000E4170000}"/>
    <cellStyle name="40% - Énfasis2 6 3 4" xfId="8786" xr:uid="{00000000-0005-0000-0000-0000E5170000}"/>
    <cellStyle name="40% - Énfasis2 6 4" xfId="2175" xr:uid="{00000000-0005-0000-0000-0000E6170000}"/>
    <cellStyle name="40% - Énfasis2 6 4 2" xfId="5954" xr:uid="{00000000-0005-0000-0000-0000E7170000}"/>
    <cellStyle name="40% - Énfasis2 6 4 3" xfId="9730" xr:uid="{00000000-0005-0000-0000-0000E8170000}"/>
    <cellStyle name="40% - Énfasis2 6 5" xfId="4066" xr:uid="{00000000-0005-0000-0000-0000E9170000}"/>
    <cellStyle name="40% - Énfasis2 6 6" xfId="7842" xr:uid="{00000000-0005-0000-0000-0000EA170000}"/>
    <cellStyle name="40% - Énfasis2 7" xfId="517" xr:uid="{00000000-0005-0000-0000-0000EB170000}"/>
    <cellStyle name="40% - Énfasis2 7 2" xfId="1465" xr:uid="{00000000-0005-0000-0000-0000EC170000}"/>
    <cellStyle name="40% - Énfasis2 7 2 2" xfId="3355" xr:uid="{00000000-0005-0000-0000-0000ED170000}"/>
    <cellStyle name="40% - Énfasis2 7 2 2 2" xfId="7134" xr:uid="{00000000-0005-0000-0000-0000EE170000}"/>
    <cellStyle name="40% - Énfasis2 7 2 2 3" xfId="10910" xr:uid="{00000000-0005-0000-0000-0000EF170000}"/>
    <cellStyle name="40% - Énfasis2 7 2 3" xfId="5246" xr:uid="{00000000-0005-0000-0000-0000F0170000}"/>
    <cellStyle name="40% - Énfasis2 7 2 4" xfId="9022" xr:uid="{00000000-0005-0000-0000-0000F1170000}"/>
    <cellStyle name="40% - Énfasis2 7 3" xfId="2411" xr:uid="{00000000-0005-0000-0000-0000F2170000}"/>
    <cellStyle name="40% - Énfasis2 7 3 2" xfId="6190" xr:uid="{00000000-0005-0000-0000-0000F3170000}"/>
    <cellStyle name="40% - Énfasis2 7 3 3" xfId="9966" xr:uid="{00000000-0005-0000-0000-0000F4170000}"/>
    <cellStyle name="40% - Énfasis2 7 4" xfId="4302" xr:uid="{00000000-0005-0000-0000-0000F5170000}"/>
    <cellStyle name="40% - Énfasis2 7 5" xfId="8078" xr:uid="{00000000-0005-0000-0000-0000F6170000}"/>
    <cellStyle name="40% - Énfasis2 8" xfId="991" xr:uid="{00000000-0005-0000-0000-0000F7170000}"/>
    <cellStyle name="40% - Énfasis2 8 2" xfId="2883" xr:uid="{00000000-0005-0000-0000-0000F8170000}"/>
    <cellStyle name="40% - Énfasis2 8 2 2" xfId="6662" xr:uid="{00000000-0005-0000-0000-0000F9170000}"/>
    <cellStyle name="40% - Énfasis2 8 2 3" xfId="10438" xr:uid="{00000000-0005-0000-0000-0000FA170000}"/>
    <cellStyle name="40% - Énfasis2 8 3" xfId="4774" xr:uid="{00000000-0005-0000-0000-0000FB170000}"/>
    <cellStyle name="40% - Énfasis2 8 4" xfId="8550" xr:uid="{00000000-0005-0000-0000-0000FC170000}"/>
    <cellStyle name="40% - Énfasis2 9" xfId="1937" xr:uid="{00000000-0005-0000-0000-0000FD170000}"/>
    <cellStyle name="40% - Énfasis2 9 2" xfId="5718" xr:uid="{00000000-0005-0000-0000-0000FE170000}"/>
    <cellStyle name="40% - Énfasis2 9 3" xfId="9494" xr:uid="{00000000-0005-0000-0000-0000FF170000}"/>
    <cellStyle name="40% - Énfasis3" xfId="28" builtinId="39" customBuiltin="1"/>
    <cellStyle name="40% - Énfasis3 10" xfId="3830" xr:uid="{00000000-0005-0000-0000-000001180000}"/>
    <cellStyle name="40% - Énfasis3 11" xfId="7608" xr:uid="{00000000-0005-0000-0000-000002180000}"/>
    <cellStyle name="40% - Énfasis3 2" xfId="51" xr:uid="{00000000-0005-0000-0000-000003180000}"/>
    <cellStyle name="40% - Énfasis3 2 10" xfId="7624" xr:uid="{00000000-0005-0000-0000-000004180000}"/>
    <cellStyle name="40% - Énfasis3 2 2" xfId="82" xr:uid="{00000000-0005-0000-0000-000005180000}"/>
    <cellStyle name="40% - Énfasis3 2 2 2" xfId="145" xr:uid="{00000000-0005-0000-0000-000006180000}"/>
    <cellStyle name="40% - Énfasis3 2 2 2 2" xfId="267" xr:uid="{00000000-0005-0000-0000-000007180000}"/>
    <cellStyle name="40% - Énfasis3 2 2 2 2 2" xfId="505" xr:uid="{00000000-0005-0000-0000-000008180000}"/>
    <cellStyle name="40% - Énfasis3 2 2 2 2 2 2" xfId="979" xr:uid="{00000000-0005-0000-0000-000009180000}"/>
    <cellStyle name="40% - Énfasis3 2 2 2 2 2 2 2" xfId="1925" xr:uid="{00000000-0005-0000-0000-00000A180000}"/>
    <cellStyle name="40% - Énfasis3 2 2 2 2 2 2 2 2" xfId="3815" xr:uid="{00000000-0005-0000-0000-00000B180000}"/>
    <cellStyle name="40% - Énfasis3 2 2 2 2 2 2 2 2 2" xfId="7594" xr:uid="{00000000-0005-0000-0000-00000C180000}"/>
    <cellStyle name="40% - Énfasis3 2 2 2 2 2 2 2 2 3" xfId="11370" xr:uid="{00000000-0005-0000-0000-00000D180000}"/>
    <cellStyle name="40% - Énfasis3 2 2 2 2 2 2 2 3" xfId="5706" xr:uid="{00000000-0005-0000-0000-00000E180000}"/>
    <cellStyle name="40% - Énfasis3 2 2 2 2 2 2 2 4" xfId="9482" xr:uid="{00000000-0005-0000-0000-00000F180000}"/>
    <cellStyle name="40% - Énfasis3 2 2 2 2 2 2 3" xfId="2871" xr:uid="{00000000-0005-0000-0000-000010180000}"/>
    <cellStyle name="40% - Énfasis3 2 2 2 2 2 2 3 2" xfId="6650" xr:uid="{00000000-0005-0000-0000-000011180000}"/>
    <cellStyle name="40% - Énfasis3 2 2 2 2 2 2 3 3" xfId="10426" xr:uid="{00000000-0005-0000-0000-000012180000}"/>
    <cellStyle name="40% - Énfasis3 2 2 2 2 2 2 4" xfId="4762" xr:uid="{00000000-0005-0000-0000-000013180000}"/>
    <cellStyle name="40% - Énfasis3 2 2 2 2 2 2 5" xfId="8538" xr:uid="{00000000-0005-0000-0000-000014180000}"/>
    <cellStyle name="40% - Énfasis3 2 2 2 2 2 3" xfId="1453" xr:uid="{00000000-0005-0000-0000-000015180000}"/>
    <cellStyle name="40% - Énfasis3 2 2 2 2 2 3 2" xfId="3343" xr:uid="{00000000-0005-0000-0000-000016180000}"/>
    <cellStyle name="40% - Énfasis3 2 2 2 2 2 3 2 2" xfId="7122" xr:uid="{00000000-0005-0000-0000-000017180000}"/>
    <cellStyle name="40% - Énfasis3 2 2 2 2 2 3 2 3" xfId="10898" xr:uid="{00000000-0005-0000-0000-000018180000}"/>
    <cellStyle name="40% - Énfasis3 2 2 2 2 2 3 3" xfId="5234" xr:uid="{00000000-0005-0000-0000-000019180000}"/>
    <cellStyle name="40% - Énfasis3 2 2 2 2 2 3 4" xfId="9010" xr:uid="{00000000-0005-0000-0000-00001A180000}"/>
    <cellStyle name="40% - Énfasis3 2 2 2 2 2 4" xfId="2399" xr:uid="{00000000-0005-0000-0000-00001B180000}"/>
    <cellStyle name="40% - Énfasis3 2 2 2 2 2 4 2" xfId="6178" xr:uid="{00000000-0005-0000-0000-00001C180000}"/>
    <cellStyle name="40% - Énfasis3 2 2 2 2 2 4 3" xfId="9954" xr:uid="{00000000-0005-0000-0000-00001D180000}"/>
    <cellStyle name="40% - Énfasis3 2 2 2 2 2 5" xfId="4290" xr:uid="{00000000-0005-0000-0000-00001E180000}"/>
    <cellStyle name="40% - Énfasis3 2 2 2 2 2 6" xfId="8066" xr:uid="{00000000-0005-0000-0000-00001F180000}"/>
    <cellStyle name="40% - Énfasis3 2 2 2 2 3" xfId="743" xr:uid="{00000000-0005-0000-0000-000020180000}"/>
    <cellStyle name="40% - Énfasis3 2 2 2 2 3 2" xfId="1689" xr:uid="{00000000-0005-0000-0000-000021180000}"/>
    <cellStyle name="40% - Énfasis3 2 2 2 2 3 2 2" xfId="3579" xr:uid="{00000000-0005-0000-0000-000022180000}"/>
    <cellStyle name="40% - Énfasis3 2 2 2 2 3 2 2 2" xfId="7358" xr:uid="{00000000-0005-0000-0000-000023180000}"/>
    <cellStyle name="40% - Énfasis3 2 2 2 2 3 2 2 3" xfId="11134" xr:uid="{00000000-0005-0000-0000-000024180000}"/>
    <cellStyle name="40% - Énfasis3 2 2 2 2 3 2 3" xfId="5470" xr:uid="{00000000-0005-0000-0000-000025180000}"/>
    <cellStyle name="40% - Énfasis3 2 2 2 2 3 2 4" xfId="9246" xr:uid="{00000000-0005-0000-0000-000026180000}"/>
    <cellStyle name="40% - Énfasis3 2 2 2 2 3 3" xfId="2635" xr:uid="{00000000-0005-0000-0000-000027180000}"/>
    <cellStyle name="40% - Énfasis3 2 2 2 2 3 3 2" xfId="6414" xr:uid="{00000000-0005-0000-0000-000028180000}"/>
    <cellStyle name="40% - Énfasis3 2 2 2 2 3 3 3" xfId="10190" xr:uid="{00000000-0005-0000-0000-000029180000}"/>
    <cellStyle name="40% - Énfasis3 2 2 2 2 3 4" xfId="4526" xr:uid="{00000000-0005-0000-0000-00002A180000}"/>
    <cellStyle name="40% - Énfasis3 2 2 2 2 3 5" xfId="8302" xr:uid="{00000000-0005-0000-0000-00002B180000}"/>
    <cellStyle name="40% - Énfasis3 2 2 2 2 4" xfId="1217" xr:uid="{00000000-0005-0000-0000-00002C180000}"/>
    <cellStyle name="40% - Énfasis3 2 2 2 2 4 2" xfId="3107" xr:uid="{00000000-0005-0000-0000-00002D180000}"/>
    <cellStyle name="40% - Énfasis3 2 2 2 2 4 2 2" xfId="6886" xr:uid="{00000000-0005-0000-0000-00002E180000}"/>
    <cellStyle name="40% - Énfasis3 2 2 2 2 4 2 3" xfId="10662" xr:uid="{00000000-0005-0000-0000-00002F180000}"/>
    <cellStyle name="40% - Énfasis3 2 2 2 2 4 3" xfId="4998" xr:uid="{00000000-0005-0000-0000-000030180000}"/>
    <cellStyle name="40% - Énfasis3 2 2 2 2 4 4" xfId="8774" xr:uid="{00000000-0005-0000-0000-000031180000}"/>
    <cellStyle name="40% - Énfasis3 2 2 2 2 5" xfId="2163" xr:uid="{00000000-0005-0000-0000-000032180000}"/>
    <cellStyle name="40% - Énfasis3 2 2 2 2 5 2" xfId="5942" xr:uid="{00000000-0005-0000-0000-000033180000}"/>
    <cellStyle name="40% - Énfasis3 2 2 2 2 5 3" xfId="9718" xr:uid="{00000000-0005-0000-0000-000034180000}"/>
    <cellStyle name="40% - Énfasis3 2 2 2 2 6" xfId="4054" xr:uid="{00000000-0005-0000-0000-000035180000}"/>
    <cellStyle name="40% - Énfasis3 2 2 2 2 7" xfId="7830" xr:uid="{00000000-0005-0000-0000-000036180000}"/>
    <cellStyle name="40% - Énfasis3 2 2 2 3" xfId="387" xr:uid="{00000000-0005-0000-0000-000037180000}"/>
    <cellStyle name="40% - Énfasis3 2 2 2 3 2" xfId="861" xr:uid="{00000000-0005-0000-0000-000038180000}"/>
    <cellStyle name="40% - Énfasis3 2 2 2 3 2 2" xfId="1807" xr:uid="{00000000-0005-0000-0000-000039180000}"/>
    <cellStyle name="40% - Énfasis3 2 2 2 3 2 2 2" xfId="3697" xr:uid="{00000000-0005-0000-0000-00003A180000}"/>
    <cellStyle name="40% - Énfasis3 2 2 2 3 2 2 2 2" xfId="7476" xr:uid="{00000000-0005-0000-0000-00003B180000}"/>
    <cellStyle name="40% - Énfasis3 2 2 2 3 2 2 2 3" xfId="11252" xr:uid="{00000000-0005-0000-0000-00003C180000}"/>
    <cellStyle name="40% - Énfasis3 2 2 2 3 2 2 3" xfId="5588" xr:uid="{00000000-0005-0000-0000-00003D180000}"/>
    <cellStyle name="40% - Énfasis3 2 2 2 3 2 2 4" xfId="9364" xr:uid="{00000000-0005-0000-0000-00003E180000}"/>
    <cellStyle name="40% - Énfasis3 2 2 2 3 2 3" xfId="2753" xr:uid="{00000000-0005-0000-0000-00003F180000}"/>
    <cellStyle name="40% - Énfasis3 2 2 2 3 2 3 2" xfId="6532" xr:uid="{00000000-0005-0000-0000-000040180000}"/>
    <cellStyle name="40% - Énfasis3 2 2 2 3 2 3 3" xfId="10308" xr:uid="{00000000-0005-0000-0000-000041180000}"/>
    <cellStyle name="40% - Énfasis3 2 2 2 3 2 4" xfId="4644" xr:uid="{00000000-0005-0000-0000-000042180000}"/>
    <cellStyle name="40% - Énfasis3 2 2 2 3 2 5" xfId="8420" xr:uid="{00000000-0005-0000-0000-000043180000}"/>
    <cellStyle name="40% - Énfasis3 2 2 2 3 3" xfId="1335" xr:uid="{00000000-0005-0000-0000-000044180000}"/>
    <cellStyle name="40% - Énfasis3 2 2 2 3 3 2" xfId="3225" xr:uid="{00000000-0005-0000-0000-000045180000}"/>
    <cellStyle name="40% - Énfasis3 2 2 2 3 3 2 2" xfId="7004" xr:uid="{00000000-0005-0000-0000-000046180000}"/>
    <cellStyle name="40% - Énfasis3 2 2 2 3 3 2 3" xfId="10780" xr:uid="{00000000-0005-0000-0000-000047180000}"/>
    <cellStyle name="40% - Énfasis3 2 2 2 3 3 3" xfId="5116" xr:uid="{00000000-0005-0000-0000-000048180000}"/>
    <cellStyle name="40% - Énfasis3 2 2 2 3 3 4" xfId="8892" xr:uid="{00000000-0005-0000-0000-000049180000}"/>
    <cellStyle name="40% - Énfasis3 2 2 2 3 4" xfId="2281" xr:uid="{00000000-0005-0000-0000-00004A180000}"/>
    <cellStyle name="40% - Énfasis3 2 2 2 3 4 2" xfId="6060" xr:uid="{00000000-0005-0000-0000-00004B180000}"/>
    <cellStyle name="40% - Énfasis3 2 2 2 3 4 3" xfId="9836" xr:uid="{00000000-0005-0000-0000-00004C180000}"/>
    <cellStyle name="40% - Énfasis3 2 2 2 3 5" xfId="4172" xr:uid="{00000000-0005-0000-0000-00004D180000}"/>
    <cellStyle name="40% - Énfasis3 2 2 2 3 6" xfId="7948" xr:uid="{00000000-0005-0000-0000-00004E180000}"/>
    <cellStyle name="40% - Énfasis3 2 2 2 4" xfId="625" xr:uid="{00000000-0005-0000-0000-00004F180000}"/>
    <cellStyle name="40% - Énfasis3 2 2 2 4 2" xfId="1571" xr:uid="{00000000-0005-0000-0000-000050180000}"/>
    <cellStyle name="40% - Énfasis3 2 2 2 4 2 2" xfId="3461" xr:uid="{00000000-0005-0000-0000-000051180000}"/>
    <cellStyle name="40% - Énfasis3 2 2 2 4 2 2 2" xfId="7240" xr:uid="{00000000-0005-0000-0000-000052180000}"/>
    <cellStyle name="40% - Énfasis3 2 2 2 4 2 2 3" xfId="11016" xr:uid="{00000000-0005-0000-0000-000053180000}"/>
    <cellStyle name="40% - Énfasis3 2 2 2 4 2 3" xfId="5352" xr:uid="{00000000-0005-0000-0000-000054180000}"/>
    <cellStyle name="40% - Énfasis3 2 2 2 4 2 4" xfId="9128" xr:uid="{00000000-0005-0000-0000-000055180000}"/>
    <cellStyle name="40% - Énfasis3 2 2 2 4 3" xfId="2517" xr:uid="{00000000-0005-0000-0000-000056180000}"/>
    <cellStyle name="40% - Énfasis3 2 2 2 4 3 2" xfId="6296" xr:uid="{00000000-0005-0000-0000-000057180000}"/>
    <cellStyle name="40% - Énfasis3 2 2 2 4 3 3" xfId="10072" xr:uid="{00000000-0005-0000-0000-000058180000}"/>
    <cellStyle name="40% - Énfasis3 2 2 2 4 4" xfId="4408" xr:uid="{00000000-0005-0000-0000-000059180000}"/>
    <cellStyle name="40% - Énfasis3 2 2 2 4 5" xfId="8184" xr:uid="{00000000-0005-0000-0000-00005A180000}"/>
    <cellStyle name="40% - Énfasis3 2 2 2 5" xfId="1099" xr:uid="{00000000-0005-0000-0000-00005B180000}"/>
    <cellStyle name="40% - Énfasis3 2 2 2 5 2" xfId="2989" xr:uid="{00000000-0005-0000-0000-00005C180000}"/>
    <cellStyle name="40% - Énfasis3 2 2 2 5 2 2" xfId="6768" xr:uid="{00000000-0005-0000-0000-00005D180000}"/>
    <cellStyle name="40% - Énfasis3 2 2 2 5 2 3" xfId="10544" xr:uid="{00000000-0005-0000-0000-00005E180000}"/>
    <cellStyle name="40% - Énfasis3 2 2 2 5 3" xfId="4880" xr:uid="{00000000-0005-0000-0000-00005F180000}"/>
    <cellStyle name="40% - Énfasis3 2 2 2 5 4" xfId="8656" xr:uid="{00000000-0005-0000-0000-000060180000}"/>
    <cellStyle name="40% - Énfasis3 2 2 2 6" xfId="2045" xr:uid="{00000000-0005-0000-0000-000061180000}"/>
    <cellStyle name="40% - Énfasis3 2 2 2 6 2" xfId="5824" xr:uid="{00000000-0005-0000-0000-000062180000}"/>
    <cellStyle name="40% - Énfasis3 2 2 2 6 3" xfId="9600" xr:uid="{00000000-0005-0000-0000-000063180000}"/>
    <cellStyle name="40% - Énfasis3 2 2 2 7" xfId="3936" xr:uid="{00000000-0005-0000-0000-000064180000}"/>
    <cellStyle name="40% - Énfasis3 2 2 2 8" xfId="7712" xr:uid="{00000000-0005-0000-0000-000065180000}"/>
    <cellStyle name="40% - Énfasis3 2 2 3" xfId="208" xr:uid="{00000000-0005-0000-0000-000066180000}"/>
    <cellStyle name="40% - Énfasis3 2 2 3 2" xfId="446" xr:uid="{00000000-0005-0000-0000-000067180000}"/>
    <cellStyle name="40% - Énfasis3 2 2 3 2 2" xfId="920" xr:uid="{00000000-0005-0000-0000-000068180000}"/>
    <cellStyle name="40% - Énfasis3 2 2 3 2 2 2" xfId="1866" xr:uid="{00000000-0005-0000-0000-000069180000}"/>
    <cellStyle name="40% - Énfasis3 2 2 3 2 2 2 2" xfId="3756" xr:uid="{00000000-0005-0000-0000-00006A180000}"/>
    <cellStyle name="40% - Énfasis3 2 2 3 2 2 2 2 2" xfId="7535" xr:uid="{00000000-0005-0000-0000-00006B180000}"/>
    <cellStyle name="40% - Énfasis3 2 2 3 2 2 2 2 3" xfId="11311" xr:uid="{00000000-0005-0000-0000-00006C180000}"/>
    <cellStyle name="40% - Énfasis3 2 2 3 2 2 2 3" xfId="5647" xr:uid="{00000000-0005-0000-0000-00006D180000}"/>
    <cellStyle name="40% - Énfasis3 2 2 3 2 2 2 4" xfId="9423" xr:uid="{00000000-0005-0000-0000-00006E180000}"/>
    <cellStyle name="40% - Énfasis3 2 2 3 2 2 3" xfId="2812" xr:uid="{00000000-0005-0000-0000-00006F180000}"/>
    <cellStyle name="40% - Énfasis3 2 2 3 2 2 3 2" xfId="6591" xr:uid="{00000000-0005-0000-0000-000070180000}"/>
    <cellStyle name="40% - Énfasis3 2 2 3 2 2 3 3" xfId="10367" xr:uid="{00000000-0005-0000-0000-000071180000}"/>
    <cellStyle name="40% - Énfasis3 2 2 3 2 2 4" xfId="4703" xr:uid="{00000000-0005-0000-0000-000072180000}"/>
    <cellStyle name="40% - Énfasis3 2 2 3 2 2 5" xfId="8479" xr:uid="{00000000-0005-0000-0000-000073180000}"/>
    <cellStyle name="40% - Énfasis3 2 2 3 2 3" xfId="1394" xr:uid="{00000000-0005-0000-0000-000074180000}"/>
    <cellStyle name="40% - Énfasis3 2 2 3 2 3 2" xfId="3284" xr:uid="{00000000-0005-0000-0000-000075180000}"/>
    <cellStyle name="40% - Énfasis3 2 2 3 2 3 2 2" xfId="7063" xr:uid="{00000000-0005-0000-0000-000076180000}"/>
    <cellStyle name="40% - Énfasis3 2 2 3 2 3 2 3" xfId="10839" xr:uid="{00000000-0005-0000-0000-000077180000}"/>
    <cellStyle name="40% - Énfasis3 2 2 3 2 3 3" xfId="5175" xr:uid="{00000000-0005-0000-0000-000078180000}"/>
    <cellStyle name="40% - Énfasis3 2 2 3 2 3 4" xfId="8951" xr:uid="{00000000-0005-0000-0000-000079180000}"/>
    <cellStyle name="40% - Énfasis3 2 2 3 2 4" xfId="2340" xr:uid="{00000000-0005-0000-0000-00007A180000}"/>
    <cellStyle name="40% - Énfasis3 2 2 3 2 4 2" xfId="6119" xr:uid="{00000000-0005-0000-0000-00007B180000}"/>
    <cellStyle name="40% - Énfasis3 2 2 3 2 4 3" xfId="9895" xr:uid="{00000000-0005-0000-0000-00007C180000}"/>
    <cellStyle name="40% - Énfasis3 2 2 3 2 5" xfId="4231" xr:uid="{00000000-0005-0000-0000-00007D180000}"/>
    <cellStyle name="40% - Énfasis3 2 2 3 2 6" xfId="8007" xr:uid="{00000000-0005-0000-0000-00007E180000}"/>
    <cellStyle name="40% - Énfasis3 2 2 3 3" xfId="684" xr:uid="{00000000-0005-0000-0000-00007F180000}"/>
    <cellStyle name="40% - Énfasis3 2 2 3 3 2" xfId="1630" xr:uid="{00000000-0005-0000-0000-000080180000}"/>
    <cellStyle name="40% - Énfasis3 2 2 3 3 2 2" xfId="3520" xr:uid="{00000000-0005-0000-0000-000081180000}"/>
    <cellStyle name="40% - Énfasis3 2 2 3 3 2 2 2" xfId="7299" xr:uid="{00000000-0005-0000-0000-000082180000}"/>
    <cellStyle name="40% - Énfasis3 2 2 3 3 2 2 3" xfId="11075" xr:uid="{00000000-0005-0000-0000-000083180000}"/>
    <cellStyle name="40% - Énfasis3 2 2 3 3 2 3" xfId="5411" xr:uid="{00000000-0005-0000-0000-000084180000}"/>
    <cellStyle name="40% - Énfasis3 2 2 3 3 2 4" xfId="9187" xr:uid="{00000000-0005-0000-0000-000085180000}"/>
    <cellStyle name="40% - Énfasis3 2 2 3 3 3" xfId="2576" xr:uid="{00000000-0005-0000-0000-000086180000}"/>
    <cellStyle name="40% - Énfasis3 2 2 3 3 3 2" xfId="6355" xr:uid="{00000000-0005-0000-0000-000087180000}"/>
    <cellStyle name="40% - Énfasis3 2 2 3 3 3 3" xfId="10131" xr:uid="{00000000-0005-0000-0000-000088180000}"/>
    <cellStyle name="40% - Énfasis3 2 2 3 3 4" xfId="4467" xr:uid="{00000000-0005-0000-0000-000089180000}"/>
    <cellStyle name="40% - Énfasis3 2 2 3 3 5" xfId="8243" xr:uid="{00000000-0005-0000-0000-00008A180000}"/>
    <cellStyle name="40% - Énfasis3 2 2 3 4" xfId="1158" xr:uid="{00000000-0005-0000-0000-00008B180000}"/>
    <cellStyle name="40% - Énfasis3 2 2 3 4 2" xfId="3048" xr:uid="{00000000-0005-0000-0000-00008C180000}"/>
    <cellStyle name="40% - Énfasis3 2 2 3 4 2 2" xfId="6827" xr:uid="{00000000-0005-0000-0000-00008D180000}"/>
    <cellStyle name="40% - Énfasis3 2 2 3 4 2 3" xfId="10603" xr:uid="{00000000-0005-0000-0000-00008E180000}"/>
    <cellStyle name="40% - Énfasis3 2 2 3 4 3" xfId="4939" xr:uid="{00000000-0005-0000-0000-00008F180000}"/>
    <cellStyle name="40% - Énfasis3 2 2 3 4 4" xfId="8715" xr:uid="{00000000-0005-0000-0000-000090180000}"/>
    <cellStyle name="40% - Énfasis3 2 2 3 5" xfId="2104" xr:uid="{00000000-0005-0000-0000-000091180000}"/>
    <cellStyle name="40% - Énfasis3 2 2 3 5 2" xfId="5883" xr:uid="{00000000-0005-0000-0000-000092180000}"/>
    <cellStyle name="40% - Énfasis3 2 2 3 5 3" xfId="9659" xr:uid="{00000000-0005-0000-0000-000093180000}"/>
    <cellStyle name="40% - Énfasis3 2 2 3 6" xfId="3995" xr:uid="{00000000-0005-0000-0000-000094180000}"/>
    <cellStyle name="40% - Énfasis3 2 2 3 7" xfId="7771" xr:uid="{00000000-0005-0000-0000-000095180000}"/>
    <cellStyle name="40% - Énfasis3 2 2 4" xfId="328" xr:uid="{00000000-0005-0000-0000-000096180000}"/>
    <cellStyle name="40% - Énfasis3 2 2 4 2" xfId="802" xr:uid="{00000000-0005-0000-0000-000097180000}"/>
    <cellStyle name="40% - Énfasis3 2 2 4 2 2" xfId="1748" xr:uid="{00000000-0005-0000-0000-000098180000}"/>
    <cellStyle name="40% - Énfasis3 2 2 4 2 2 2" xfId="3638" xr:uid="{00000000-0005-0000-0000-000099180000}"/>
    <cellStyle name="40% - Énfasis3 2 2 4 2 2 2 2" xfId="7417" xr:uid="{00000000-0005-0000-0000-00009A180000}"/>
    <cellStyle name="40% - Énfasis3 2 2 4 2 2 2 3" xfId="11193" xr:uid="{00000000-0005-0000-0000-00009B180000}"/>
    <cellStyle name="40% - Énfasis3 2 2 4 2 2 3" xfId="5529" xr:uid="{00000000-0005-0000-0000-00009C180000}"/>
    <cellStyle name="40% - Énfasis3 2 2 4 2 2 4" xfId="9305" xr:uid="{00000000-0005-0000-0000-00009D180000}"/>
    <cellStyle name="40% - Énfasis3 2 2 4 2 3" xfId="2694" xr:uid="{00000000-0005-0000-0000-00009E180000}"/>
    <cellStyle name="40% - Énfasis3 2 2 4 2 3 2" xfId="6473" xr:uid="{00000000-0005-0000-0000-00009F180000}"/>
    <cellStyle name="40% - Énfasis3 2 2 4 2 3 3" xfId="10249" xr:uid="{00000000-0005-0000-0000-0000A0180000}"/>
    <cellStyle name="40% - Énfasis3 2 2 4 2 4" xfId="4585" xr:uid="{00000000-0005-0000-0000-0000A1180000}"/>
    <cellStyle name="40% - Énfasis3 2 2 4 2 5" xfId="8361" xr:uid="{00000000-0005-0000-0000-0000A2180000}"/>
    <cellStyle name="40% - Énfasis3 2 2 4 3" xfId="1276" xr:uid="{00000000-0005-0000-0000-0000A3180000}"/>
    <cellStyle name="40% - Énfasis3 2 2 4 3 2" xfId="3166" xr:uid="{00000000-0005-0000-0000-0000A4180000}"/>
    <cellStyle name="40% - Énfasis3 2 2 4 3 2 2" xfId="6945" xr:uid="{00000000-0005-0000-0000-0000A5180000}"/>
    <cellStyle name="40% - Énfasis3 2 2 4 3 2 3" xfId="10721" xr:uid="{00000000-0005-0000-0000-0000A6180000}"/>
    <cellStyle name="40% - Énfasis3 2 2 4 3 3" xfId="5057" xr:uid="{00000000-0005-0000-0000-0000A7180000}"/>
    <cellStyle name="40% - Énfasis3 2 2 4 3 4" xfId="8833" xr:uid="{00000000-0005-0000-0000-0000A8180000}"/>
    <cellStyle name="40% - Énfasis3 2 2 4 4" xfId="2222" xr:uid="{00000000-0005-0000-0000-0000A9180000}"/>
    <cellStyle name="40% - Énfasis3 2 2 4 4 2" xfId="6001" xr:uid="{00000000-0005-0000-0000-0000AA180000}"/>
    <cellStyle name="40% - Énfasis3 2 2 4 4 3" xfId="9777" xr:uid="{00000000-0005-0000-0000-0000AB180000}"/>
    <cellStyle name="40% - Énfasis3 2 2 4 5" xfId="4113" xr:uid="{00000000-0005-0000-0000-0000AC180000}"/>
    <cellStyle name="40% - Énfasis3 2 2 4 6" xfId="7889" xr:uid="{00000000-0005-0000-0000-0000AD180000}"/>
    <cellStyle name="40% - Énfasis3 2 2 5" xfId="566" xr:uid="{00000000-0005-0000-0000-0000AE180000}"/>
    <cellStyle name="40% - Énfasis3 2 2 5 2" xfId="1512" xr:uid="{00000000-0005-0000-0000-0000AF180000}"/>
    <cellStyle name="40% - Énfasis3 2 2 5 2 2" xfId="3402" xr:uid="{00000000-0005-0000-0000-0000B0180000}"/>
    <cellStyle name="40% - Énfasis3 2 2 5 2 2 2" xfId="7181" xr:uid="{00000000-0005-0000-0000-0000B1180000}"/>
    <cellStyle name="40% - Énfasis3 2 2 5 2 2 3" xfId="10957" xr:uid="{00000000-0005-0000-0000-0000B2180000}"/>
    <cellStyle name="40% - Énfasis3 2 2 5 2 3" xfId="5293" xr:uid="{00000000-0005-0000-0000-0000B3180000}"/>
    <cellStyle name="40% - Énfasis3 2 2 5 2 4" xfId="9069" xr:uid="{00000000-0005-0000-0000-0000B4180000}"/>
    <cellStyle name="40% - Énfasis3 2 2 5 3" xfId="2458" xr:uid="{00000000-0005-0000-0000-0000B5180000}"/>
    <cellStyle name="40% - Énfasis3 2 2 5 3 2" xfId="6237" xr:uid="{00000000-0005-0000-0000-0000B6180000}"/>
    <cellStyle name="40% - Énfasis3 2 2 5 3 3" xfId="10013" xr:uid="{00000000-0005-0000-0000-0000B7180000}"/>
    <cellStyle name="40% - Énfasis3 2 2 5 4" xfId="4349" xr:uid="{00000000-0005-0000-0000-0000B8180000}"/>
    <cellStyle name="40% - Énfasis3 2 2 5 5" xfId="8125" xr:uid="{00000000-0005-0000-0000-0000B9180000}"/>
    <cellStyle name="40% - Énfasis3 2 2 6" xfId="1040" xr:uid="{00000000-0005-0000-0000-0000BA180000}"/>
    <cellStyle name="40% - Énfasis3 2 2 6 2" xfId="2930" xr:uid="{00000000-0005-0000-0000-0000BB180000}"/>
    <cellStyle name="40% - Énfasis3 2 2 6 2 2" xfId="6709" xr:uid="{00000000-0005-0000-0000-0000BC180000}"/>
    <cellStyle name="40% - Énfasis3 2 2 6 2 3" xfId="10485" xr:uid="{00000000-0005-0000-0000-0000BD180000}"/>
    <cellStyle name="40% - Énfasis3 2 2 6 3" xfId="4821" xr:uid="{00000000-0005-0000-0000-0000BE180000}"/>
    <cellStyle name="40% - Énfasis3 2 2 6 4" xfId="8597" xr:uid="{00000000-0005-0000-0000-0000BF180000}"/>
    <cellStyle name="40% - Énfasis3 2 2 7" xfId="1986" xr:uid="{00000000-0005-0000-0000-0000C0180000}"/>
    <cellStyle name="40% - Énfasis3 2 2 7 2" xfId="5765" xr:uid="{00000000-0005-0000-0000-0000C1180000}"/>
    <cellStyle name="40% - Énfasis3 2 2 7 3" xfId="9541" xr:uid="{00000000-0005-0000-0000-0000C2180000}"/>
    <cellStyle name="40% - Énfasis3 2 2 8" xfId="3877" xr:uid="{00000000-0005-0000-0000-0000C3180000}"/>
    <cellStyle name="40% - Énfasis3 2 2 9" xfId="7653" xr:uid="{00000000-0005-0000-0000-0000C4180000}"/>
    <cellStyle name="40% - Énfasis3 2 3" xfId="115" xr:uid="{00000000-0005-0000-0000-0000C5180000}"/>
    <cellStyle name="40% - Énfasis3 2 3 2" xfId="238" xr:uid="{00000000-0005-0000-0000-0000C6180000}"/>
    <cellStyle name="40% - Énfasis3 2 3 2 2" xfId="476" xr:uid="{00000000-0005-0000-0000-0000C7180000}"/>
    <cellStyle name="40% - Énfasis3 2 3 2 2 2" xfId="950" xr:uid="{00000000-0005-0000-0000-0000C8180000}"/>
    <cellStyle name="40% - Énfasis3 2 3 2 2 2 2" xfId="1896" xr:uid="{00000000-0005-0000-0000-0000C9180000}"/>
    <cellStyle name="40% - Énfasis3 2 3 2 2 2 2 2" xfId="3786" xr:uid="{00000000-0005-0000-0000-0000CA180000}"/>
    <cellStyle name="40% - Énfasis3 2 3 2 2 2 2 2 2" xfId="7565" xr:uid="{00000000-0005-0000-0000-0000CB180000}"/>
    <cellStyle name="40% - Énfasis3 2 3 2 2 2 2 2 3" xfId="11341" xr:uid="{00000000-0005-0000-0000-0000CC180000}"/>
    <cellStyle name="40% - Énfasis3 2 3 2 2 2 2 3" xfId="5677" xr:uid="{00000000-0005-0000-0000-0000CD180000}"/>
    <cellStyle name="40% - Énfasis3 2 3 2 2 2 2 4" xfId="9453" xr:uid="{00000000-0005-0000-0000-0000CE180000}"/>
    <cellStyle name="40% - Énfasis3 2 3 2 2 2 3" xfId="2842" xr:uid="{00000000-0005-0000-0000-0000CF180000}"/>
    <cellStyle name="40% - Énfasis3 2 3 2 2 2 3 2" xfId="6621" xr:uid="{00000000-0005-0000-0000-0000D0180000}"/>
    <cellStyle name="40% - Énfasis3 2 3 2 2 2 3 3" xfId="10397" xr:uid="{00000000-0005-0000-0000-0000D1180000}"/>
    <cellStyle name="40% - Énfasis3 2 3 2 2 2 4" xfId="4733" xr:uid="{00000000-0005-0000-0000-0000D2180000}"/>
    <cellStyle name="40% - Énfasis3 2 3 2 2 2 5" xfId="8509" xr:uid="{00000000-0005-0000-0000-0000D3180000}"/>
    <cellStyle name="40% - Énfasis3 2 3 2 2 3" xfId="1424" xr:uid="{00000000-0005-0000-0000-0000D4180000}"/>
    <cellStyle name="40% - Énfasis3 2 3 2 2 3 2" xfId="3314" xr:uid="{00000000-0005-0000-0000-0000D5180000}"/>
    <cellStyle name="40% - Énfasis3 2 3 2 2 3 2 2" xfId="7093" xr:uid="{00000000-0005-0000-0000-0000D6180000}"/>
    <cellStyle name="40% - Énfasis3 2 3 2 2 3 2 3" xfId="10869" xr:uid="{00000000-0005-0000-0000-0000D7180000}"/>
    <cellStyle name="40% - Énfasis3 2 3 2 2 3 3" xfId="5205" xr:uid="{00000000-0005-0000-0000-0000D8180000}"/>
    <cellStyle name="40% - Énfasis3 2 3 2 2 3 4" xfId="8981" xr:uid="{00000000-0005-0000-0000-0000D9180000}"/>
    <cellStyle name="40% - Énfasis3 2 3 2 2 4" xfId="2370" xr:uid="{00000000-0005-0000-0000-0000DA180000}"/>
    <cellStyle name="40% - Énfasis3 2 3 2 2 4 2" xfId="6149" xr:uid="{00000000-0005-0000-0000-0000DB180000}"/>
    <cellStyle name="40% - Énfasis3 2 3 2 2 4 3" xfId="9925" xr:uid="{00000000-0005-0000-0000-0000DC180000}"/>
    <cellStyle name="40% - Énfasis3 2 3 2 2 5" xfId="4261" xr:uid="{00000000-0005-0000-0000-0000DD180000}"/>
    <cellStyle name="40% - Énfasis3 2 3 2 2 6" xfId="8037" xr:uid="{00000000-0005-0000-0000-0000DE180000}"/>
    <cellStyle name="40% - Énfasis3 2 3 2 3" xfId="714" xr:uid="{00000000-0005-0000-0000-0000DF180000}"/>
    <cellStyle name="40% - Énfasis3 2 3 2 3 2" xfId="1660" xr:uid="{00000000-0005-0000-0000-0000E0180000}"/>
    <cellStyle name="40% - Énfasis3 2 3 2 3 2 2" xfId="3550" xr:uid="{00000000-0005-0000-0000-0000E1180000}"/>
    <cellStyle name="40% - Énfasis3 2 3 2 3 2 2 2" xfId="7329" xr:uid="{00000000-0005-0000-0000-0000E2180000}"/>
    <cellStyle name="40% - Énfasis3 2 3 2 3 2 2 3" xfId="11105" xr:uid="{00000000-0005-0000-0000-0000E3180000}"/>
    <cellStyle name="40% - Énfasis3 2 3 2 3 2 3" xfId="5441" xr:uid="{00000000-0005-0000-0000-0000E4180000}"/>
    <cellStyle name="40% - Énfasis3 2 3 2 3 2 4" xfId="9217" xr:uid="{00000000-0005-0000-0000-0000E5180000}"/>
    <cellStyle name="40% - Énfasis3 2 3 2 3 3" xfId="2606" xr:uid="{00000000-0005-0000-0000-0000E6180000}"/>
    <cellStyle name="40% - Énfasis3 2 3 2 3 3 2" xfId="6385" xr:uid="{00000000-0005-0000-0000-0000E7180000}"/>
    <cellStyle name="40% - Énfasis3 2 3 2 3 3 3" xfId="10161" xr:uid="{00000000-0005-0000-0000-0000E8180000}"/>
    <cellStyle name="40% - Énfasis3 2 3 2 3 4" xfId="4497" xr:uid="{00000000-0005-0000-0000-0000E9180000}"/>
    <cellStyle name="40% - Énfasis3 2 3 2 3 5" xfId="8273" xr:uid="{00000000-0005-0000-0000-0000EA180000}"/>
    <cellStyle name="40% - Énfasis3 2 3 2 4" xfId="1188" xr:uid="{00000000-0005-0000-0000-0000EB180000}"/>
    <cellStyle name="40% - Énfasis3 2 3 2 4 2" xfId="3078" xr:uid="{00000000-0005-0000-0000-0000EC180000}"/>
    <cellStyle name="40% - Énfasis3 2 3 2 4 2 2" xfId="6857" xr:uid="{00000000-0005-0000-0000-0000ED180000}"/>
    <cellStyle name="40% - Énfasis3 2 3 2 4 2 3" xfId="10633" xr:uid="{00000000-0005-0000-0000-0000EE180000}"/>
    <cellStyle name="40% - Énfasis3 2 3 2 4 3" xfId="4969" xr:uid="{00000000-0005-0000-0000-0000EF180000}"/>
    <cellStyle name="40% - Énfasis3 2 3 2 4 4" xfId="8745" xr:uid="{00000000-0005-0000-0000-0000F0180000}"/>
    <cellStyle name="40% - Énfasis3 2 3 2 5" xfId="2134" xr:uid="{00000000-0005-0000-0000-0000F1180000}"/>
    <cellStyle name="40% - Énfasis3 2 3 2 5 2" xfId="5913" xr:uid="{00000000-0005-0000-0000-0000F2180000}"/>
    <cellStyle name="40% - Énfasis3 2 3 2 5 3" xfId="9689" xr:uid="{00000000-0005-0000-0000-0000F3180000}"/>
    <cellStyle name="40% - Énfasis3 2 3 2 6" xfId="4025" xr:uid="{00000000-0005-0000-0000-0000F4180000}"/>
    <cellStyle name="40% - Énfasis3 2 3 2 7" xfId="7801" xr:uid="{00000000-0005-0000-0000-0000F5180000}"/>
    <cellStyle name="40% - Énfasis3 2 3 3" xfId="358" xr:uid="{00000000-0005-0000-0000-0000F6180000}"/>
    <cellStyle name="40% - Énfasis3 2 3 3 2" xfId="832" xr:uid="{00000000-0005-0000-0000-0000F7180000}"/>
    <cellStyle name="40% - Énfasis3 2 3 3 2 2" xfId="1778" xr:uid="{00000000-0005-0000-0000-0000F8180000}"/>
    <cellStyle name="40% - Énfasis3 2 3 3 2 2 2" xfId="3668" xr:uid="{00000000-0005-0000-0000-0000F9180000}"/>
    <cellStyle name="40% - Énfasis3 2 3 3 2 2 2 2" xfId="7447" xr:uid="{00000000-0005-0000-0000-0000FA180000}"/>
    <cellStyle name="40% - Énfasis3 2 3 3 2 2 2 3" xfId="11223" xr:uid="{00000000-0005-0000-0000-0000FB180000}"/>
    <cellStyle name="40% - Énfasis3 2 3 3 2 2 3" xfId="5559" xr:uid="{00000000-0005-0000-0000-0000FC180000}"/>
    <cellStyle name="40% - Énfasis3 2 3 3 2 2 4" xfId="9335" xr:uid="{00000000-0005-0000-0000-0000FD180000}"/>
    <cellStyle name="40% - Énfasis3 2 3 3 2 3" xfId="2724" xr:uid="{00000000-0005-0000-0000-0000FE180000}"/>
    <cellStyle name="40% - Énfasis3 2 3 3 2 3 2" xfId="6503" xr:uid="{00000000-0005-0000-0000-0000FF180000}"/>
    <cellStyle name="40% - Énfasis3 2 3 3 2 3 3" xfId="10279" xr:uid="{00000000-0005-0000-0000-000000190000}"/>
    <cellStyle name="40% - Énfasis3 2 3 3 2 4" xfId="4615" xr:uid="{00000000-0005-0000-0000-000001190000}"/>
    <cellStyle name="40% - Énfasis3 2 3 3 2 5" xfId="8391" xr:uid="{00000000-0005-0000-0000-000002190000}"/>
    <cellStyle name="40% - Énfasis3 2 3 3 3" xfId="1306" xr:uid="{00000000-0005-0000-0000-000003190000}"/>
    <cellStyle name="40% - Énfasis3 2 3 3 3 2" xfId="3196" xr:uid="{00000000-0005-0000-0000-000004190000}"/>
    <cellStyle name="40% - Énfasis3 2 3 3 3 2 2" xfId="6975" xr:uid="{00000000-0005-0000-0000-000005190000}"/>
    <cellStyle name="40% - Énfasis3 2 3 3 3 2 3" xfId="10751" xr:uid="{00000000-0005-0000-0000-000006190000}"/>
    <cellStyle name="40% - Énfasis3 2 3 3 3 3" xfId="5087" xr:uid="{00000000-0005-0000-0000-000007190000}"/>
    <cellStyle name="40% - Énfasis3 2 3 3 3 4" xfId="8863" xr:uid="{00000000-0005-0000-0000-000008190000}"/>
    <cellStyle name="40% - Énfasis3 2 3 3 4" xfId="2252" xr:uid="{00000000-0005-0000-0000-000009190000}"/>
    <cellStyle name="40% - Énfasis3 2 3 3 4 2" xfId="6031" xr:uid="{00000000-0005-0000-0000-00000A190000}"/>
    <cellStyle name="40% - Énfasis3 2 3 3 4 3" xfId="9807" xr:uid="{00000000-0005-0000-0000-00000B190000}"/>
    <cellStyle name="40% - Énfasis3 2 3 3 5" xfId="4143" xr:uid="{00000000-0005-0000-0000-00000C190000}"/>
    <cellStyle name="40% - Énfasis3 2 3 3 6" xfId="7919" xr:uid="{00000000-0005-0000-0000-00000D190000}"/>
    <cellStyle name="40% - Énfasis3 2 3 4" xfId="596" xr:uid="{00000000-0005-0000-0000-00000E190000}"/>
    <cellStyle name="40% - Énfasis3 2 3 4 2" xfId="1542" xr:uid="{00000000-0005-0000-0000-00000F190000}"/>
    <cellStyle name="40% - Énfasis3 2 3 4 2 2" xfId="3432" xr:uid="{00000000-0005-0000-0000-000010190000}"/>
    <cellStyle name="40% - Énfasis3 2 3 4 2 2 2" xfId="7211" xr:uid="{00000000-0005-0000-0000-000011190000}"/>
    <cellStyle name="40% - Énfasis3 2 3 4 2 2 3" xfId="10987" xr:uid="{00000000-0005-0000-0000-000012190000}"/>
    <cellStyle name="40% - Énfasis3 2 3 4 2 3" xfId="5323" xr:uid="{00000000-0005-0000-0000-000013190000}"/>
    <cellStyle name="40% - Énfasis3 2 3 4 2 4" xfId="9099" xr:uid="{00000000-0005-0000-0000-000014190000}"/>
    <cellStyle name="40% - Énfasis3 2 3 4 3" xfId="2488" xr:uid="{00000000-0005-0000-0000-000015190000}"/>
    <cellStyle name="40% - Énfasis3 2 3 4 3 2" xfId="6267" xr:uid="{00000000-0005-0000-0000-000016190000}"/>
    <cellStyle name="40% - Énfasis3 2 3 4 3 3" xfId="10043" xr:uid="{00000000-0005-0000-0000-000017190000}"/>
    <cellStyle name="40% - Énfasis3 2 3 4 4" xfId="4379" xr:uid="{00000000-0005-0000-0000-000018190000}"/>
    <cellStyle name="40% - Énfasis3 2 3 4 5" xfId="8155" xr:uid="{00000000-0005-0000-0000-000019190000}"/>
    <cellStyle name="40% - Énfasis3 2 3 5" xfId="1070" xr:uid="{00000000-0005-0000-0000-00001A190000}"/>
    <cellStyle name="40% - Énfasis3 2 3 5 2" xfId="2960" xr:uid="{00000000-0005-0000-0000-00001B190000}"/>
    <cellStyle name="40% - Énfasis3 2 3 5 2 2" xfId="6739" xr:uid="{00000000-0005-0000-0000-00001C190000}"/>
    <cellStyle name="40% - Énfasis3 2 3 5 2 3" xfId="10515" xr:uid="{00000000-0005-0000-0000-00001D190000}"/>
    <cellStyle name="40% - Énfasis3 2 3 5 3" xfId="4851" xr:uid="{00000000-0005-0000-0000-00001E190000}"/>
    <cellStyle name="40% - Énfasis3 2 3 5 4" xfId="8627" xr:uid="{00000000-0005-0000-0000-00001F190000}"/>
    <cellStyle name="40% - Énfasis3 2 3 6" xfId="2016" xr:uid="{00000000-0005-0000-0000-000020190000}"/>
    <cellStyle name="40% - Énfasis3 2 3 6 2" xfId="5795" xr:uid="{00000000-0005-0000-0000-000021190000}"/>
    <cellStyle name="40% - Énfasis3 2 3 6 3" xfId="9571" xr:uid="{00000000-0005-0000-0000-000022190000}"/>
    <cellStyle name="40% - Énfasis3 2 3 7" xfId="3907" xr:uid="{00000000-0005-0000-0000-000023190000}"/>
    <cellStyle name="40% - Énfasis3 2 3 8" xfId="7683" xr:uid="{00000000-0005-0000-0000-000024190000}"/>
    <cellStyle name="40% - Énfasis3 2 4" xfId="179" xr:uid="{00000000-0005-0000-0000-000025190000}"/>
    <cellStyle name="40% - Énfasis3 2 4 2" xfId="417" xr:uid="{00000000-0005-0000-0000-000026190000}"/>
    <cellStyle name="40% - Énfasis3 2 4 2 2" xfId="891" xr:uid="{00000000-0005-0000-0000-000027190000}"/>
    <cellStyle name="40% - Énfasis3 2 4 2 2 2" xfId="1837" xr:uid="{00000000-0005-0000-0000-000028190000}"/>
    <cellStyle name="40% - Énfasis3 2 4 2 2 2 2" xfId="3727" xr:uid="{00000000-0005-0000-0000-000029190000}"/>
    <cellStyle name="40% - Énfasis3 2 4 2 2 2 2 2" xfId="7506" xr:uid="{00000000-0005-0000-0000-00002A190000}"/>
    <cellStyle name="40% - Énfasis3 2 4 2 2 2 2 3" xfId="11282" xr:uid="{00000000-0005-0000-0000-00002B190000}"/>
    <cellStyle name="40% - Énfasis3 2 4 2 2 2 3" xfId="5618" xr:uid="{00000000-0005-0000-0000-00002C190000}"/>
    <cellStyle name="40% - Énfasis3 2 4 2 2 2 4" xfId="9394" xr:uid="{00000000-0005-0000-0000-00002D190000}"/>
    <cellStyle name="40% - Énfasis3 2 4 2 2 3" xfId="2783" xr:uid="{00000000-0005-0000-0000-00002E190000}"/>
    <cellStyle name="40% - Énfasis3 2 4 2 2 3 2" xfId="6562" xr:uid="{00000000-0005-0000-0000-00002F190000}"/>
    <cellStyle name="40% - Énfasis3 2 4 2 2 3 3" xfId="10338" xr:uid="{00000000-0005-0000-0000-000030190000}"/>
    <cellStyle name="40% - Énfasis3 2 4 2 2 4" xfId="4674" xr:uid="{00000000-0005-0000-0000-000031190000}"/>
    <cellStyle name="40% - Énfasis3 2 4 2 2 5" xfId="8450" xr:uid="{00000000-0005-0000-0000-000032190000}"/>
    <cellStyle name="40% - Énfasis3 2 4 2 3" xfId="1365" xr:uid="{00000000-0005-0000-0000-000033190000}"/>
    <cellStyle name="40% - Énfasis3 2 4 2 3 2" xfId="3255" xr:uid="{00000000-0005-0000-0000-000034190000}"/>
    <cellStyle name="40% - Énfasis3 2 4 2 3 2 2" xfId="7034" xr:uid="{00000000-0005-0000-0000-000035190000}"/>
    <cellStyle name="40% - Énfasis3 2 4 2 3 2 3" xfId="10810" xr:uid="{00000000-0005-0000-0000-000036190000}"/>
    <cellStyle name="40% - Énfasis3 2 4 2 3 3" xfId="5146" xr:uid="{00000000-0005-0000-0000-000037190000}"/>
    <cellStyle name="40% - Énfasis3 2 4 2 3 4" xfId="8922" xr:uid="{00000000-0005-0000-0000-000038190000}"/>
    <cellStyle name="40% - Énfasis3 2 4 2 4" xfId="2311" xr:uid="{00000000-0005-0000-0000-000039190000}"/>
    <cellStyle name="40% - Énfasis3 2 4 2 4 2" xfId="6090" xr:uid="{00000000-0005-0000-0000-00003A190000}"/>
    <cellStyle name="40% - Énfasis3 2 4 2 4 3" xfId="9866" xr:uid="{00000000-0005-0000-0000-00003B190000}"/>
    <cellStyle name="40% - Énfasis3 2 4 2 5" xfId="4202" xr:uid="{00000000-0005-0000-0000-00003C190000}"/>
    <cellStyle name="40% - Énfasis3 2 4 2 6" xfId="7978" xr:uid="{00000000-0005-0000-0000-00003D190000}"/>
    <cellStyle name="40% - Énfasis3 2 4 3" xfId="655" xr:uid="{00000000-0005-0000-0000-00003E190000}"/>
    <cellStyle name="40% - Énfasis3 2 4 3 2" xfId="1601" xr:uid="{00000000-0005-0000-0000-00003F190000}"/>
    <cellStyle name="40% - Énfasis3 2 4 3 2 2" xfId="3491" xr:uid="{00000000-0005-0000-0000-000040190000}"/>
    <cellStyle name="40% - Énfasis3 2 4 3 2 2 2" xfId="7270" xr:uid="{00000000-0005-0000-0000-000041190000}"/>
    <cellStyle name="40% - Énfasis3 2 4 3 2 2 3" xfId="11046" xr:uid="{00000000-0005-0000-0000-000042190000}"/>
    <cellStyle name="40% - Énfasis3 2 4 3 2 3" xfId="5382" xr:uid="{00000000-0005-0000-0000-000043190000}"/>
    <cellStyle name="40% - Énfasis3 2 4 3 2 4" xfId="9158" xr:uid="{00000000-0005-0000-0000-000044190000}"/>
    <cellStyle name="40% - Énfasis3 2 4 3 3" xfId="2547" xr:uid="{00000000-0005-0000-0000-000045190000}"/>
    <cellStyle name="40% - Énfasis3 2 4 3 3 2" xfId="6326" xr:uid="{00000000-0005-0000-0000-000046190000}"/>
    <cellStyle name="40% - Énfasis3 2 4 3 3 3" xfId="10102" xr:uid="{00000000-0005-0000-0000-000047190000}"/>
    <cellStyle name="40% - Énfasis3 2 4 3 4" xfId="4438" xr:uid="{00000000-0005-0000-0000-000048190000}"/>
    <cellStyle name="40% - Énfasis3 2 4 3 5" xfId="8214" xr:uid="{00000000-0005-0000-0000-000049190000}"/>
    <cellStyle name="40% - Énfasis3 2 4 4" xfId="1129" xr:uid="{00000000-0005-0000-0000-00004A190000}"/>
    <cellStyle name="40% - Énfasis3 2 4 4 2" xfId="3019" xr:uid="{00000000-0005-0000-0000-00004B190000}"/>
    <cellStyle name="40% - Énfasis3 2 4 4 2 2" xfId="6798" xr:uid="{00000000-0005-0000-0000-00004C190000}"/>
    <cellStyle name="40% - Énfasis3 2 4 4 2 3" xfId="10574" xr:uid="{00000000-0005-0000-0000-00004D190000}"/>
    <cellStyle name="40% - Énfasis3 2 4 4 3" xfId="4910" xr:uid="{00000000-0005-0000-0000-00004E190000}"/>
    <cellStyle name="40% - Énfasis3 2 4 4 4" xfId="8686" xr:uid="{00000000-0005-0000-0000-00004F190000}"/>
    <cellStyle name="40% - Énfasis3 2 4 5" xfId="2075" xr:uid="{00000000-0005-0000-0000-000050190000}"/>
    <cellStyle name="40% - Énfasis3 2 4 5 2" xfId="5854" xr:uid="{00000000-0005-0000-0000-000051190000}"/>
    <cellStyle name="40% - Énfasis3 2 4 5 3" xfId="9630" xr:uid="{00000000-0005-0000-0000-000052190000}"/>
    <cellStyle name="40% - Énfasis3 2 4 6" xfId="3966" xr:uid="{00000000-0005-0000-0000-000053190000}"/>
    <cellStyle name="40% - Énfasis3 2 4 7" xfId="7742" xr:uid="{00000000-0005-0000-0000-000054190000}"/>
    <cellStyle name="40% - Énfasis3 2 5" xfId="299" xr:uid="{00000000-0005-0000-0000-000055190000}"/>
    <cellStyle name="40% - Énfasis3 2 5 2" xfId="773" xr:uid="{00000000-0005-0000-0000-000056190000}"/>
    <cellStyle name="40% - Énfasis3 2 5 2 2" xfId="1719" xr:uid="{00000000-0005-0000-0000-000057190000}"/>
    <cellStyle name="40% - Énfasis3 2 5 2 2 2" xfId="3609" xr:uid="{00000000-0005-0000-0000-000058190000}"/>
    <cellStyle name="40% - Énfasis3 2 5 2 2 2 2" xfId="7388" xr:uid="{00000000-0005-0000-0000-000059190000}"/>
    <cellStyle name="40% - Énfasis3 2 5 2 2 2 3" xfId="11164" xr:uid="{00000000-0005-0000-0000-00005A190000}"/>
    <cellStyle name="40% - Énfasis3 2 5 2 2 3" xfId="5500" xr:uid="{00000000-0005-0000-0000-00005B190000}"/>
    <cellStyle name="40% - Énfasis3 2 5 2 2 4" xfId="9276" xr:uid="{00000000-0005-0000-0000-00005C190000}"/>
    <cellStyle name="40% - Énfasis3 2 5 2 3" xfId="2665" xr:uid="{00000000-0005-0000-0000-00005D190000}"/>
    <cellStyle name="40% - Énfasis3 2 5 2 3 2" xfId="6444" xr:uid="{00000000-0005-0000-0000-00005E190000}"/>
    <cellStyle name="40% - Énfasis3 2 5 2 3 3" xfId="10220" xr:uid="{00000000-0005-0000-0000-00005F190000}"/>
    <cellStyle name="40% - Énfasis3 2 5 2 4" xfId="4556" xr:uid="{00000000-0005-0000-0000-000060190000}"/>
    <cellStyle name="40% - Énfasis3 2 5 2 5" xfId="8332" xr:uid="{00000000-0005-0000-0000-000061190000}"/>
    <cellStyle name="40% - Énfasis3 2 5 3" xfId="1247" xr:uid="{00000000-0005-0000-0000-000062190000}"/>
    <cellStyle name="40% - Énfasis3 2 5 3 2" xfId="3137" xr:uid="{00000000-0005-0000-0000-000063190000}"/>
    <cellStyle name="40% - Énfasis3 2 5 3 2 2" xfId="6916" xr:uid="{00000000-0005-0000-0000-000064190000}"/>
    <cellStyle name="40% - Énfasis3 2 5 3 2 3" xfId="10692" xr:uid="{00000000-0005-0000-0000-000065190000}"/>
    <cellStyle name="40% - Énfasis3 2 5 3 3" xfId="5028" xr:uid="{00000000-0005-0000-0000-000066190000}"/>
    <cellStyle name="40% - Énfasis3 2 5 3 4" xfId="8804" xr:uid="{00000000-0005-0000-0000-000067190000}"/>
    <cellStyle name="40% - Énfasis3 2 5 4" xfId="2193" xr:uid="{00000000-0005-0000-0000-000068190000}"/>
    <cellStyle name="40% - Énfasis3 2 5 4 2" xfId="5972" xr:uid="{00000000-0005-0000-0000-000069190000}"/>
    <cellStyle name="40% - Énfasis3 2 5 4 3" xfId="9748" xr:uid="{00000000-0005-0000-0000-00006A190000}"/>
    <cellStyle name="40% - Énfasis3 2 5 5" xfId="4084" xr:uid="{00000000-0005-0000-0000-00006B190000}"/>
    <cellStyle name="40% - Énfasis3 2 5 6" xfId="7860" xr:uid="{00000000-0005-0000-0000-00006C190000}"/>
    <cellStyle name="40% - Énfasis3 2 6" xfId="537" xr:uid="{00000000-0005-0000-0000-00006D190000}"/>
    <cellStyle name="40% - Énfasis3 2 6 2" xfId="1483" xr:uid="{00000000-0005-0000-0000-00006E190000}"/>
    <cellStyle name="40% - Énfasis3 2 6 2 2" xfId="3373" xr:uid="{00000000-0005-0000-0000-00006F190000}"/>
    <cellStyle name="40% - Énfasis3 2 6 2 2 2" xfId="7152" xr:uid="{00000000-0005-0000-0000-000070190000}"/>
    <cellStyle name="40% - Énfasis3 2 6 2 2 3" xfId="10928" xr:uid="{00000000-0005-0000-0000-000071190000}"/>
    <cellStyle name="40% - Énfasis3 2 6 2 3" xfId="5264" xr:uid="{00000000-0005-0000-0000-000072190000}"/>
    <cellStyle name="40% - Énfasis3 2 6 2 4" xfId="9040" xr:uid="{00000000-0005-0000-0000-000073190000}"/>
    <cellStyle name="40% - Énfasis3 2 6 3" xfId="2429" xr:uid="{00000000-0005-0000-0000-000074190000}"/>
    <cellStyle name="40% - Énfasis3 2 6 3 2" xfId="6208" xr:uid="{00000000-0005-0000-0000-000075190000}"/>
    <cellStyle name="40% - Énfasis3 2 6 3 3" xfId="9984" xr:uid="{00000000-0005-0000-0000-000076190000}"/>
    <cellStyle name="40% - Énfasis3 2 6 4" xfId="4320" xr:uid="{00000000-0005-0000-0000-000077190000}"/>
    <cellStyle name="40% - Énfasis3 2 6 5" xfId="8096" xr:uid="{00000000-0005-0000-0000-000078190000}"/>
    <cellStyle name="40% - Énfasis3 2 7" xfId="1011" xr:uid="{00000000-0005-0000-0000-000079190000}"/>
    <cellStyle name="40% - Énfasis3 2 7 2" xfId="2901" xr:uid="{00000000-0005-0000-0000-00007A190000}"/>
    <cellStyle name="40% - Énfasis3 2 7 2 2" xfId="6680" xr:uid="{00000000-0005-0000-0000-00007B190000}"/>
    <cellStyle name="40% - Énfasis3 2 7 2 3" xfId="10456" xr:uid="{00000000-0005-0000-0000-00007C190000}"/>
    <cellStyle name="40% - Énfasis3 2 7 3" xfId="4792" xr:uid="{00000000-0005-0000-0000-00007D190000}"/>
    <cellStyle name="40% - Énfasis3 2 7 4" xfId="8568" xr:uid="{00000000-0005-0000-0000-00007E190000}"/>
    <cellStyle name="40% - Énfasis3 2 8" xfId="1957" xr:uid="{00000000-0005-0000-0000-00007F190000}"/>
    <cellStyle name="40% - Énfasis3 2 8 2" xfId="5736" xr:uid="{00000000-0005-0000-0000-000080190000}"/>
    <cellStyle name="40% - Énfasis3 2 8 3" xfId="9512" xr:uid="{00000000-0005-0000-0000-000081190000}"/>
    <cellStyle name="40% - Énfasis3 2 9" xfId="3848" xr:uid="{00000000-0005-0000-0000-000082190000}"/>
    <cellStyle name="40% - Énfasis3 3" xfId="64" xr:uid="{00000000-0005-0000-0000-000083190000}"/>
    <cellStyle name="40% - Énfasis3 3 2" xfId="128" xr:uid="{00000000-0005-0000-0000-000084190000}"/>
    <cellStyle name="40% - Énfasis3 3 2 2" xfId="251" xr:uid="{00000000-0005-0000-0000-000085190000}"/>
    <cellStyle name="40% - Énfasis3 3 2 2 2" xfId="489" xr:uid="{00000000-0005-0000-0000-000086190000}"/>
    <cellStyle name="40% - Énfasis3 3 2 2 2 2" xfId="963" xr:uid="{00000000-0005-0000-0000-000087190000}"/>
    <cellStyle name="40% - Énfasis3 3 2 2 2 2 2" xfId="1909" xr:uid="{00000000-0005-0000-0000-000088190000}"/>
    <cellStyle name="40% - Énfasis3 3 2 2 2 2 2 2" xfId="3799" xr:uid="{00000000-0005-0000-0000-000089190000}"/>
    <cellStyle name="40% - Énfasis3 3 2 2 2 2 2 2 2" xfId="7578" xr:uid="{00000000-0005-0000-0000-00008A190000}"/>
    <cellStyle name="40% - Énfasis3 3 2 2 2 2 2 2 3" xfId="11354" xr:uid="{00000000-0005-0000-0000-00008B190000}"/>
    <cellStyle name="40% - Énfasis3 3 2 2 2 2 2 3" xfId="5690" xr:uid="{00000000-0005-0000-0000-00008C190000}"/>
    <cellStyle name="40% - Énfasis3 3 2 2 2 2 2 4" xfId="9466" xr:uid="{00000000-0005-0000-0000-00008D190000}"/>
    <cellStyle name="40% - Énfasis3 3 2 2 2 2 3" xfId="2855" xr:uid="{00000000-0005-0000-0000-00008E190000}"/>
    <cellStyle name="40% - Énfasis3 3 2 2 2 2 3 2" xfId="6634" xr:uid="{00000000-0005-0000-0000-00008F190000}"/>
    <cellStyle name="40% - Énfasis3 3 2 2 2 2 3 3" xfId="10410" xr:uid="{00000000-0005-0000-0000-000090190000}"/>
    <cellStyle name="40% - Énfasis3 3 2 2 2 2 4" xfId="4746" xr:uid="{00000000-0005-0000-0000-000091190000}"/>
    <cellStyle name="40% - Énfasis3 3 2 2 2 2 5" xfId="8522" xr:uid="{00000000-0005-0000-0000-000092190000}"/>
    <cellStyle name="40% - Énfasis3 3 2 2 2 3" xfId="1437" xr:uid="{00000000-0005-0000-0000-000093190000}"/>
    <cellStyle name="40% - Énfasis3 3 2 2 2 3 2" xfId="3327" xr:uid="{00000000-0005-0000-0000-000094190000}"/>
    <cellStyle name="40% - Énfasis3 3 2 2 2 3 2 2" xfId="7106" xr:uid="{00000000-0005-0000-0000-000095190000}"/>
    <cellStyle name="40% - Énfasis3 3 2 2 2 3 2 3" xfId="10882" xr:uid="{00000000-0005-0000-0000-000096190000}"/>
    <cellStyle name="40% - Énfasis3 3 2 2 2 3 3" xfId="5218" xr:uid="{00000000-0005-0000-0000-000097190000}"/>
    <cellStyle name="40% - Énfasis3 3 2 2 2 3 4" xfId="8994" xr:uid="{00000000-0005-0000-0000-000098190000}"/>
    <cellStyle name="40% - Énfasis3 3 2 2 2 4" xfId="2383" xr:uid="{00000000-0005-0000-0000-000099190000}"/>
    <cellStyle name="40% - Énfasis3 3 2 2 2 4 2" xfId="6162" xr:uid="{00000000-0005-0000-0000-00009A190000}"/>
    <cellStyle name="40% - Énfasis3 3 2 2 2 4 3" xfId="9938" xr:uid="{00000000-0005-0000-0000-00009B190000}"/>
    <cellStyle name="40% - Énfasis3 3 2 2 2 5" xfId="4274" xr:uid="{00000000-0005-0000-0000-00009C190000}"/>
    <cellStyle name="40% - Énfasis3 3 2 2 2 6" xfId="8050" xr:uid="{00000000-0005-0000-0000-00009D190000}"/>
    <cellStyle name="40% - Énfasis3 3 2 2 3" xfId="727" xr:uid="{00000000-0005-0000-0000-00009E190000}"/>
    <cellStyle name="40% - Énfasis3 3 2 2 3 2" xfId="1673" xr:uid="{00000000-0005-0000-0000-00009F190000}"/>
    <cellStyle name="40% - Énfasis3 3 2 2 3 2 2" xfId="3563" xr:uid="{00000000-0005-0000-0000-0000A0190000}"/>
    <cellStyle name="40% - Énfasis3 3 2 2 3 2 2 2" xfId="7342" xr:uid="{00000000-0005-0000-0000-0000A1190000}"/>
    <cellStyle name="40% - Énfasis3 3 2 2 3 2 2 3" xfId="11118" xr:uid="{00000000-0005-0000-0000-0000A2190000}"/>
    <cellStyle name="40% - Énfasis3 3 2 2 3 2 3" xfId="5454" xr:uid="{00000000-0005-0000-0000-0000A3190000}"/>
    <cellStyle name="40% - Énfasis3 3 2 2 3 2 4" xfId="9230" xr:uid="{00000000-0005-0000-0000-0000A4190000}"/>
    <cellStyle name="40% - Énfasis3 3 2 2 3 3" xfId="2619" xr:uid="{00000000-0005-0000-0000-0000A5190000}"/>
    <cellStyle name="40% - Énfasis3 3 2 2 3 3 2" xfId="6398" xr:uid="{00000000-0005-0000-0000-0000A6190000}"/>
    <cellStyle name="40% - Énfasis3 3 2 2 3 3 3" xfId="10174" xr:uid="{00000000-0005-0000-0000-0000A7190000}"/>
    <cellStyle name="40% - Énfasis3 3 2 2 3 4" xfId="4510" xr:uid="{00000000-0005-0000-0000-0000A8190000}"/>
    <cellStyle name="40% - Énfasis3 3 2 2 3 5" xfId="8286" xr:uid="{00000000-0005-0000-0000-0000A9190000}"/>
    <cellStyle name="40% - Énfasis3 3 2 2 4" xfId="1201" xr:uid="{00000000-0005-0000-0000-0000AA190000}"/>
    <cellStyle name="40% - Énfasis3 3 2 2 4 2" xfId="3091" xr:uid="{00000000-0005-0000-0000-0000AB190000}"/>
    <cellStyle name="40% - Énfasis3 3 2 2 4 2 2" xfId="6870" xr:uid="{00000000-0005-0000-0000-0000AC190000}"/>
    <cellStyle name="40% - Énfasis3 3 2 2 4 2 3" xfId="10646" xr:uid="{00000000-0005-0000-0000-0000AD190000}"/>
    <cellStyle name="40% - Énfasis3 3 2 2 4 3" xfId="4982" xr:uid="{00000000-0005-0000-0000-0000AE190000}"/>
    <cellStyle name="40% - Énfasis3 3 2 2 4 4" xfId="8758" xr:uid="{00000000-0005-0000-0000-0000AF190000}"/>
    <cellStyle name="40% - Énfasis3 3 2 2 5" xfId="2147" xr:uid="{00000000-0005-0000-0000-0000B0190000}"/>
    <cellStyle name="40% - Énfasis3 3 2 2 5 2" xfId="5926" xr:uid="{00000000-0005-0000-0000-0000B1190000}"/>
    <cellStyle name="40% - Énfasis3 3 2 2 5 3" xfId="9702" xr:uid="{00000000-0005-0000-0000-0000B2190000}"/>
    <cellStyle name="40% - Énfasis3 3 2 2 6" xfId="4038" xr:uid="{00000000-0005-0000-0000-0000B3190000}"/>
    <cellStyle name="40% - Énfasis3 3 2 2 7" xfId="7814" xr:uid="{00000000-0005-0000-0000-0000B4190000}"/>
    <cellStyle name="40% - Énfasis3 3 2 3" xfId="371" xr:uid="{00000000-0005-0000-0000-0000B5190000}"/>
    <cellStyle name="40% - Énfasis3 3 2 3 2" xfId="845" xr:uid="{00000000-0005-0000-0000-0000B6190000}"/>
    <cellStyle name="40% - Énfasis3 3 2 3 2 2" xfId="1791" xr:uid="{00000000-0005-0000-0000-0000B7190000}"/>
    <cellStyle name="40% - Énfasis3 3 2 3 2 2 2" xfId="3681" xr:uid="{00000000-0005-0000-0000-0000B8190000}"/>
    <cellStyle name="40% - Énfasis3 3 2 3 2 2 2 2" xfId="7460" xr:uid="{00000000-0005-0000-0000-0000B9190000}"/>
    <cellStyle name="40% - Énfasis3 3 2 3 2 2 2 3" xfId="11236" xr:uid="{00000000-0005-0000-0000-0000BA190000}"/>
    <cellStyle name="40% - Énfasis3 3 2 3 2 2 3" xfId="5572" xr:uid="{00000000-0005-0000-0000-0000BB190000}"/>
    <cellStyle name="40% - Énfasis3 3 2 3 2 2 4" xfId="9348" xr:uid="{00000000-0005-0000-0000-0000BC190000}"/>
    <cellStyle name="40% - Énfasis3 3 2 3 2 3" xfId="2737" xr:uid="{00000000-0005-0000-0000-0000BD190000}"/>
    <cellStyle name="40% - Énfasis3 3 2 3 2 3 2" xfId="6516" xr:uid="{00000000-0005-0000-0000-0000BE190000}"/>
    <cellStyle name="40% - Énfasis3 3 2 3 2 3 3" xfId="10292" xr:uid="{00000000-0005-0000-0000-0000BF190000}"/>
    <cellStyle name="40% - Énfasis3 3 2 3 2 4" xfId="4628" xr:uid="{00000000-0005-0000-0000-0000C0190000}"/>
    <cellStyle name="40% - Énfasis3 3 2 3 2 5" xfId="8404" xr:uid="{00000000-0005-0000-0000-0000C1190000}"/>
    <cellStyle name="40% - Énfasis3 3 2 3 3" xfId="1319" xr:uid="{00000000-0005-0000-0000-0000C2190000}"/>
    <cellStyle name="40% - Énfasis3 3 2 3 3 2" xfId="3209" xr:uid="{00000000-0005-0000-0000-0000C3190000}"/>
    <cellStyle name="40% - Énfasis3 3 2 3 3 2 2" xfId="6988" xr:uid="{00000000-0005-0000-0000-0000C4190000}"/>
    <cellStyle name="40% - Énfasis3 3 2 3 3 2 3" xfId="10764" xr:uid="{00000000-0005-0000-0000-0000C5190000}"/>
    <cellStyle name="40% - Énfasis3 3 2 3 3 3" xfId="5100" xr:uid="{00000000-0005-0000-0000-0000C6190000}"/>
    <cellStyle name="40% - Énfasis3 3 2 3 3 4" xfId="8876" xr:uid="{00000000-0005-0000-0000-0000C7190000}"/>
    <cellStyle name="40% - Énfasis3 3 2 3 4" xfId="2265" xr:uid="{00000000-0005-0000-0000-0000C8190000}"/>
    <cellStyle name="40% - Énfasis3 3 2 3 4 2" xfId="6044" xr:uid="{00000000-0005-0000-0000-0000C9190000}"/>
    <cellStyle name="40% - Énfasis3 3 2 3 4 3" xfId="9820" xr:uid="{00000000-0005-0000-0000-0000CA190000}"/>
    <cellStyle name="40% - Énfasis3 3 2 3 5" xfId="4156" xr:uid="{00000000-0005-0000-0000-0000CB190000}"/>
    <cellStyle name="40% - Énfasis3 3 2 3 6" xfId="7932" xr:uid="{00000000-0005-0000-0000-0000CC190000}"/>
    <cellStyle name="40% - Énfasis3 3 2 4" xfId="609" xr:uid="{00000000-0005-0000-0000-0000CD190000}"/>
    <cellStyle name="40% - Énfasis3 3 2 4 2" xfId="1555" xr:uid="{00000000-0005-0000-0000-0000CE190000}"/>
    <cellStyle name="40% - Énfasis3 3 2 4 2 2" xfId="3445" xr:uid="{00000000-0005-0000-0000-0000CF190000}"/>
    <cellStyle name="40% - Énfasis3 3 2 4 2 2 2" xfId="7224" xr:uid="{00000000-0005-0000-0000-0000D0190000}"/>
    <cellStyle name="40% - Énfasis3 3 2 4 2 2 3" xfId="11000" xr:uid="{00000000-0005-0000-0000-0000D1190000}"/>
    <cellStyle name="40% - Énfasis3 3 2 4 2 3" xfId="5336" xr:uid="{00000000-0005-0000-0000-0000D2190000}"/>
    <cellStyle name="40% - Énfasis3 3 2 4 2 4" xfId="9112" xr:uid="{00000000-0005-0000-0000-0000D3190000}"/>
    <cellStyle name="40% - Énfasis3 3 2 4 3" xfId="2501" xr:uid="{00000000-0005-0000-0000-0000D4190000}"/>
    <cellStyle name="40% - Énfasis3 3 2 4 3 2" xfId="6280" xr:uid="{00000000-0005-0000-0000-0000D5190000}"/>
    <cellStyle name="40% - Énfasis3 3 2 4 3 3" xfId="10056" xr:uid="{00000000-0005-0000-0000-0000D6190000}"/>
    <cellStyle name="40% - Énfasis3 3 2 4 4" xfId="4392" xr:uid="{00000000-0005-0000-0000-0000D7190000}"/>
    <cellStyle name="40% - Énfasis3 3 2 4 5" xfId="8168" xr:uid="{00000000-0005-0000-0000-0000D8190000}"/>
    <cellStyle name="40% - Énfasis3 3 2 5" xfId="1083" xr:uid="{00000000-0005-0000-0000-0000D9190000}"/>
    <cellStyle name="40% - Énfasis3 3 2 5 2" xfId="2973" xr:uid="{00000000-0005-0000-0000-0000DA190000}"/>
    <cellStyle name="40% - Énfasis3 3 2 5 2 2" xfId="6752" xr:uid="{00000000-0005-0000-0000-0000DB190000}"/>
    <cellStyle name="40% - Énfasis3 3 2 5 2 3" xfId="10528" xr:uid="{00000000-0005-0000-0000-0000DC190000}"/>
    <cellStyle name="40% - Énfasis3 3 2 5 3" xfId="4864" xr:uid="{00000000-0005-0000-0000-0000DD190000}"/>
    <cellStyle name="40% - Énfasis3 3 2 5 4" xfId="8640" xr:uid="{00000000-0005-0000-0000-0000DE190000}"/>
    <cellStyle name="40% - Énfasis3 3 2 6" xfId="2029" xr:uid="{00000000-0005-0000-0000-0000DF190000}"/>
    <cellStyle name="40% - Énfasis3 3 2 6 2" xfId="5808" xr:uid="{00000000-0005-0000-0000-0000E0190000}"/>
    <cellStyle name="40% - Énfasis3 3 2 6 3" xfId="9584" xr:uid="{00000000-0005-0000-0000-0000E1190000}"/>
    <cellStyle name="40% - Énfasis3 3 2 7" xfId="3920" xr:uid="{00000000-0005-0000-0000-0000E2190000}"/>
    <cellStyle name="40% - Énfasis3 3 2 8" xfId="7696" xr:uid="{00000000-0005-0000-0000-0000E3190000}"/>
    <cellStyle name="40% - Énfasis3 3 3" xfId="192" xr:uid="{00000000-0005-0000-0000-0000E4190000}"/>
    <cellStyle name="40% - Énfasis3 3 3 2" xfId="430" xr:uid="{00000000-0005-0000-0000-0000E5190000}"/>
    <cellStyle name="40% - Énfasis3 3 3 2 2" xfId="904" xr:uid="{00000000-0005-0000-0000-0000E6190000}"/>
    <cellStyle name="40% - Énfasis3 3 3 2 2 2" xfId="1850" xr:uid="{00000000-0005-0000-0000-0000E7190000}"/>
    <cellStyle name="40% - Énfasis3 3 3 2 2 2 2" xfId="3740" xr:uid="{00000000-0005-0000-0000-0000E8190000}"/>
    <cellStyle name="40% - Énfasis3 3 3 2 2 2 2 2" xfId="7519" xr:uid="{00000000-0005-0000-0000-0000E9190000}"/>
    <cellStyle name="40% - Énfasis3 3 3 2 2 2 2 3" xfId="11295" xr:uid="{00000000-0005-0000-0000-0000EA190000}"/>
    <cellStyle name="40% - Énfasis3 3 3 2 2 2 3" xfId="5631" xr:uid="{00000000-0005-0000-0000-0000EB190000}"/>
    <cellStyle name="40% - Énfasis3 3 3 2 2 2 4" xfId="9407" xr:uid="{00000000-0005-0000-0000-0000EC190000}"/>
    <cellStyle name="40% - Énfasis3 3 3 2 2 3" xfId="2796" xr:uid="{00000000-0005-0000-0000-0000ED190000}"/>
    <cellStyle name="40% - Énfasis3 3 3 2 2 3 2" xfId="6575" xr:uid="{00000000-0005-0000-0000-0000EE190000}"/>
    <cellStyle name="40% - Énfasis3 3 3 2 2 3 3" xfId="10351" xr:uid="{00000000-0005-0000-0000-0000EF190000}"/>
    <cellStyle name="40% - Énfasis3 3 3 2 2 4" xfId="4687" xr:uid="{00000000-0005-0000-0000-0000F0190000}"/>
    <cellStyle name="40% - Énfasis3 3 3 2 2 5" xfId="8463" xr:uid="{00000000-0005-0000-0000-0000F1190000}"/>
    <cellStyle name="40% - Énfasis3 3 3 2 3" xfId="1378" xr:uid="{00000000-0005-0000-0000-0000F2190000}"/>
    <cellStyle name="40% - Énfasis3 3 3 2 3 2" xfId="3268" xr:uid="{00000000-0005-0000-0000-0000F3190000}"/>
    <cellStyle name="40% - Énfasis3 3 3 2 3 2 2" xfId="7047" xr:uid="{00000000-0005-0000-0000-0000F4190000}"/>
    <cellStyle name="40% - Énfasis3 3 3 2 3 2 3" xfId="10823" xr:uid="{00000000-0005-0000-0000-0000F5190000}"/>
    <cellStyle name="40% - Énfasis3 3 3 2 3 3" xfId="5159" xr:uid="{00000000-0005-0000-0000-0000F6190000}"/>
    <cellStyle name="40% - Énfasis3 3 3 2 3 4" xfId="8935" xr:uid="{00000000-0005-0000-0000-0000F7190000}"/>
    <cellStyle name="40% - Énfasis3 3 3 2 4" xfId="2324" xr:uid="{00000000-0005-0000-0000-0000F8190000}"/>
    <cellStyle name="40% - Énfasis3 3 3 2 4 2" xfId="6103" xr:uid="{00000000-0005-0000-0000-0000F9190000}"/>
    <cellStyle name="40% - Énfasis3 3 3 2 4 3" xfId="9879" xr:uid="{00000000-0005-0000-0000-0000FA190000}"/>
    <cellStyle name="40% - Énfasis3 3 3 2 5" xfId="4215" xr:uid="{00000000-0005-0000-0000-0000FB190000}"/>
    <cellStyle name="40% - Énfasis3 3 3 2 6" xfId="7991" xr:uid="{00000000-0005-0000-0000-0000FC190000}"/>
    <cellStyle name="40% - Énfasis3 3 3 3" xfId="668" xr:uid="{00000000-0005-0000-0000-0000FD190000}"/>
    <cellStyle name="40% - Énfasis3 3 3 3 2" xfId="1614" xr:uid="{00000000-0005-0000-0000-0000FE190000}"/>
    <cellStyle name="40% - Énfasis3 3 3 3 2 2" xfId="3504" xr:uid="{00000000-0005-0000-0000-0000FF190000}"/>
    <cellStyle name="40% - Énfasis3 3 3 3 2 2 2" xfId="7283" xr:uid="{00000000-0005-0000-0000-0000001A0000}"/>
    <cellStyle name="40% - Énfasis3 3 3 3 2 2 3" xfId="11059" xr:uid="{00000000-0005-0000-0000-0000011A0000}"/>
    <cellStyle name="40% - Énfasis3 3 3 3 2 3" xfId="5395" xr:uid="{00000000-0005-0000-0000-0000021A0000}"/>
    <cellStyle name="40% - Énfasis3 3 3 3 2 4" xfId="9171" xr:uid="{00000000-0005-0000-0000-0000031A0000}"/>
    <cellStyle name="40% - Énfasis3 3 3 3 3" xfId="2560" xr:uid="{00000000-0005-0000-0000-0000041A0000}"/>
    <cellStyle name="40% - Énfasis3 3 3 3 3 2" xfId="6339" xr:uid="{00000000-0005-0000-0000-0000051A0000}"/>
    <cellStyle name="40% - Énfasis3 3 3 3 3 3" xfId="10115" xr:uid="{00000000-0005-0000-0000-0000061A0000}"/>
    <cellStyle name="40% - Énfasis3 3 3 3 4" xfId="4451" xr:uid="{00000000-0005-0000-0000-0000071A0000}"/>
    <cellStyle name="40% - Énfasis3 3 3 3 5" xfId="8227" xr:uid="{00000000-0005-0000-0000-0000081A0000}"/>
    <cellStyle name="40% - Énfasis3 3 3 4" xfId="1142" xr:uid="{00000000-0005-0000-0000-0000091A0000}"/>
    <cellStyle name="40% - Énfasis3 3 3 4 2" xfId="3032" xr:uid="{00000000-0005-0000-0000-00000A1A0000}"/>
    <cellStyle name="40% - Énfasis3 3 3 4 2 2" xfId="6811" xr:uid="{00000000-0005-0000-0000-00000B1A0000}"/>
    <cellStyle name="40% - Énfasis3 3 3 4 2 3" xfId="10587" xr:uid="{00000000-0005-0000-0000-00000C1A0000}"/>
    <cellStyle name="40% - Énfasis3 3 3 4 3" xfId="4923" xr:uid="{00000000-0005-0000-0000-00000D1A0000}"/>
    <cellStyle name="40% - Énfasis3 3 3 4 4" xfId="8699" xr:uid="{00000000-0005-0000-0000-00000E1A0000}"/>
    <cellStyle name="40% - Énfasis3 3 3 5" xfId="2088" xr:uid="{00000000-0005-0000-0000-00000F1A0000}"/>
    <cellStyle name="40% - Énfasis3 3 3 5 2" xfId="5867" xr:uid="{00000000-0005-0000-0000-0000101A0000}"/>
    <cellStyle name="40% - Énfasis3 3 3 5 3" xfId="9643" xr:uid="{00000000-0005-0000-0000-0000111A0000}"/>
    <cellStyle name="40% - Énfasis3 3 3 6" xfId="3979" xr:uid="{00000000-0005-0000-0000-0000121A0000}"/>
    <cellStyle name="40% - Énfasis3 3 3 7" xfId="7755" xr:uid="{00000000-0005-0000-0000-0000131A0000}"/>
    <cellStyle name="40% - Énfasis3 3 4" xfId="312" xr:uid="{00000000-0005-0000-0000-0000141A0000}"/>
    <cellStyle name="40% - Énfasis3 3 4 2" xfId="786" xr:uid="{00000000-0005-0000-0000-0000151A0000}"/>
    <cellStyle name="40% - Énfasis3 3 4 2 2" xfId="1732" xr:uid="{00000000-0005-0000-0000-0000161A0000}"/>
    <cellStyle name="40% - Énfasis3 3 4 2 2 2" xfId="3622" xr:uid="{00000000-0005-0000-0000-0000171A0000}"/>
    <cellStyle name="40% - Énfasis3 3 4 2 2 2 2" xfId="7401" xr:uid="{00000000-0005-0000-0000-0000181A0000}"/>
    <cellStyle name="40% - Énfasis3 3 4 2 2 2 3" xfId="11177" xr:uid="{00000000-0005-0000-0000-0000191A0000}"/>
    <cellStyle name="40% - Énfasis3 3 4 2 2 3" xfId="5513" xr:uid="{00000000-0005-0000-0000-00001A1A0000}"/>
    <cellStyle name="40% - Énfasis3 3 4 2 2 4" xfId="9289" xr:uid="{00000000-0005-0000-0000-00001B1A0000}"/>
    <cellStyle name="40% - Énfasis3 3 4 2 3" xfId="2678" xr:uid="{00000000-0005-0000-0000-00001C1A0000}"/>
    <cellStyle name="40% - Énfasis3 3 4 2 3 2" xfId="6457" xr:uid="{00000000-0005-0000-0000-00001D1A0000}"/>
    <cellStyle name="40% - Énfasis3 3 4 2 3 3" xfId="10233" xr:uid="{00000000-0005-0000-0000-00001E1A0000}"/>
    <cellStyle name="40% - Énfasis3 3 4 2 4" xfId="4569" xr:uid="{00000000-0005-0000-0000-00001F1A0000}"/>
    <cellStyle name="40% - Énfasis3 3 4 2 5" xfId="8345" xr:uid="{00000000-0005-0000-0000-0000201A0000}"/>
    <cellStyle name="40% - Énfasis3 3 4 3" xfId="1260" xr:uid="{00000000-0005-0000-0000-0000211A0000}"/>
    <cellStyle name="40% - Énfasis3 3 4 3 2" xfId="3150" xr:uid="{00000000-0005-0000-0000-0000221A0000}"/>
    <cellStyle name="40% - Énfasis3 3 4 3 2 2" xfId="6929" xr:uid="{00000000-0005-0000-0000-0000231A0000}"/>
    <cellStyle name="40% - Énfasis3 3 4 3 2 3" xfId="10705" xr:uid="{00000000-0005-0000-0000-0000241A0000}"/>
    <cellStyle name="40% - Énfasis3 3 4 3 3" xfId="5041" xr:uid="{00000000-0005-0000-0000-0000251A0000}"/>
    <cellStyle name="40% - Énfasis3 3 4 3 4" xfId="8817" xr:uid="{00000000-0005-0000-0000-0000261A0000}"/>
    <cellStyle name="40% - Énfasis3 3 4 4" xfId="2206" xr:uid="{00000000-0005-0000-0000-0000271A0000}"/>
    <cellStyle name="40% - Énfasis3 3 4 4 2" xfId="5985" xr:uid="{00000000-0005-0000-0000-0000281A0000}"/>
    <cellStyle name="40% - Énfasis3 3 4 4 3" xfId="9761" xr:uid="{00000000-0005-0000-0000-0000291A0000}"/>
    <cellStyle name="40% - Énfasis3 3 4 5" xfId="4097" xr:uid="{00000000-0005-0000-0000-00002A1A0000}"/>
    <cellStyle name="40% - Énfasis3 3 4 6" xfId="7873" xr:uid="{00000000-0005-0000-0000-00002B1A0000}"/>
    <cellStyle name="40% - Énfasis3 3 5" xfId="550" xr:uid="{00000000-0005-0000-0000-00002C1A0000}"/>
    <cellStyle name="40% - Énfasis3 3 5 2" xfId="1496" xr:uid="{00000000-0005-0000-0000-00002D1A0000}"/>
    <cellStyle name="40% - Énfasis3 3 5 2 2" xfId="3386" xr:uid="{00000000-0005-0000-0000-00002E1A0000}"/>
    <cellStyle name="40% - Énfasis3 3 5 2 2 2" xfId="7165" xr:uid="{00000000-0005-0000-0000-00002F1A0000}"/>
    <cellStyle name="40% - Énfasis3 3 5 2 2 3" xfId="10941" xr:uid="{00000000-0005-0000-0000-0000301A0000}"/>
    <cellStyle name="40% - Énfasis3 3 5 2 3" xfId="5277" xr:uid="{00000000-0005-0000-0000-0000311A0000}"/>
    <cellStyle name="40% - Énfasis3 3 5 2 4" xfId="9053" xr:uid="{00000000-0005-0000-0000-0000321A0000}"/>
    <cellStyle name="40% - Énfasis3 3 5 3" xfId="2442" xr:uid="{00000000-0005-0000-0000-0000331A0000}"/>
    <cellStyle name="40% - Énfasis3 3 5 3 2" xfId="6221" xr:uid="{00000000-0005-0000-0000-0000341A0000}"/>
    <cellStyle name="40% - Énfasis3 3 5 3 3" xfId="9997" xr:uid="{00000000-0005-0000-0000-0000351A0000}"/>
    <cellStyle name="40% - Énfasis3 3 5 4" xfId="4333" xr:uid="{00000000-0005-0000-0000-0000361A0000}"/>
    <cellStyle name="40% - Énfasis3 3 5 5" xfId="8109" xr:uid="{00000000-0005-0000-0000-0000371A0000}"/>
    <cellStyle name="40% - Énfasis3 3 6" xfId="1024" xr:uid="{00000000-0005-0000-0000-0000381A0000}"/>
    <cellStyle name="40% - Énfasis3 3 6 2" xfId="2914" xr:uid="{00000000-0005-0000-0000-0000391A0000}"/>
    <cellStyle name="40% - Énfasis3 3 6 2 2" xfId="6693" xr:uid="{00000000-0005-0000-0000-00003A1A0000}"/>
    <cellStyle name="40% - Énfasis3 3 6 2 3" xfId="10469" xr:uid="{00000000-0005-0000-0000-00003B1A0000}"/>
    <cellStyle name="40% - Énfasis3 3 6 3" xfId="4805" xr:uid="{00000000-0005-0000-0000-00003C1A0000}"/>
    <cellStyle name="40% - Énfasis3 3 6 4" xfId="8581" xr:uid="{00000000-0005-0000-0000-00003D1A0000}"/>
    <cellStyle name="40% - Énfasis3 3 7" xfId="1970" xr:uid="{00000000-0005-0000-0000-00003E1A0000}"/>
    <cellStyle name="40% - Énfasis3 3 7 2" xfId="5749" xr:uid="{00000000-0005-0000-0000-00003F1A0000}"/>
    <cellStyle name="40% - Énfasis3 3 7 3" xfId="9525" xr:uid="{00000000-0005-0000-0000-0000401A0000}"/>
    <cellStyle name="40% - Énfasis3 3 8" xfId="3861" xr:uid="{00000000-0005-0000-0000-0000411A0000}"/>
    <cellStyle name="40% - Énfasis3 3 9" xfId="7637" xr:uid="{00000000-0005-0000-0000-0000421A0000}"/>
    <cellStyle name="40% - Énfasis3 4" xfId="97" xr:uid="{00000000-0005-0000-0000-0000431A0000}"/>
    <cellStyle name="40% - Énfasis3 4 2" xfId="222" xr:uid="{00000000-0005-0000-0000-0000441A0000}"/>
    <cellStyle name="40% - Énfasis3 4 2 2" xfId="460" xr:uid="{00000000-0005-0000-0000-0000451A0000}"/>
    <cellStyle name="40% - Énfasis3 4 2 2 2" xfId="934" xr:uid="{00000000-0005-0000-0000-0000461A0000}"/>
    <cellStyle name="40% - Énfasis3 4 2 2 2 2" xfId="1880" xr:uid="{00000000-0005-0000-0000-0000471A0000}"/>
    <cellStyle name="40% - Énfasis3 4 2 2 2 2 2" xfId="3770" xr:uid="{00000000-0005-0000-0000-0000481A0000}"/>
    <cellStyle name="40% - Énfasis3 4 2 2 2 2 2 2" xfId="7549" xr:uid="{00000000-0005-0000-0000-0000491A0000}"/>
    <cellStyle name="40% - Énfasis3 4 2 2 2 2 2 3" xfId="11325" xr:uid="{00000000-0005-0000-0000-00004A1A0000}"/>
    <cellStyle name="40% - Énfasis3 4 2 2 2 2 3" xfId="5661" xr:uid="{00000000-0005-0000-0000-00004B1A0000}"/>
    <cellStyle name="40% - Énfasis3 4 2 2 2 2 4" xfId="9437" xr:uid="{00000000-0005-0000-0000-00004C1A0000}"/>
    <cellStyle name="40% - Énfasis3 4 2 2 2 3" xfId="2826" xr:uid="{00000000-0005-0000-0000-00004D1A0000}"/>
    <cellStyle name="40% - Énfasis3 4 2 2 2 3 2" xfId="6605" xr:uid="{00000000-0005-0000-0000-00004E1A0000}"/>
    <cellStyle name="40% - Énfasis3 4 2 2 2 3 3" xfId="10381" xr:uid="{00000000-0005-0000-0000-00004F1A0000}"/>
    <cellStyle name="40% - Énfasis3 4 2 2 2 4" xfId="4717" xr:uid="{00000000-0005-0000-0000-0000501A0000}"/>
    <cellStyle name="40% - Énfasis3 4 2 2 2 5" xfId="8493" xr:uid="{00000000-0005-0000-0000-0000511A0000}"/>
    <cellStyle name="40% - Énfasis3 4 2 2 3" xfId="1408" xr:uid="{00000000-0005-0000-0000-0000521A0000}"/>
    <cellStyle name="40% - Énfasis3 4 2 2 3 2" xfId="3298" xr:uid="{00000000-0005-0000-0000-0000531A0000}"/>
    <cellStyle name="40% - Énfasis3 4 2 2 3 2 2" xfId="7077" xr:uid="{00000000-0005-0000-0000-0000541A0000}"/>
    <cellStyle name="40% - Énfasis3 4 2 2 3 2 3" xfId="10853" xr:uid="{00000000-0005-0000-0000-0000551A0000}"/>
    <cellStyle name="40% - Énfasis3 4 2 2 3 3" xfId="5189" xr:uid="{00000000-0005-0000-0000-0000561A0000}"/>
    <cellStyle name="40% - Énfasis3 4 2 2 3 4" xfId="8965" xr:uid="{00000000-0005-0000-0000-0000571A0000}"/>
    <cellStyle name="40% - Énfasis3 4 2 2 4" xfId="2354" xr:uid="{00000000-0005-0000-0000-0000581A0000}"/>
    <cellStyle name="40% - Énfasis3 4 2 2 4 2" xfId="6133" xr:uid="{00000000-0005-0000-0000-0000591A0000}"/>
    <cellStyle name="40% - Énfasis3 4 2 2 4 3" xfId="9909" xr:uid="{00000000-0005-0000-0000-00005A1A0000}"/>
    <cellStyle name="40% - Énfasis3 4 2 2 5" xfId="4245" xr:uid="{00000000-0005-0000-0000-00005B1A0000}"/>
    <cellStyle name="40% - Énfasis3 4 2 2 6" xfId="8021" xr:uid="{00000000-0005-0000-0000-00005C1A0000}"/>
    <cellStyle name="40% - Énfasis3 4 2 3" xfId="698" xr:uid="{00000000-0005-0000-0000-00005D1A0000}"/>
    <cellStyle name="40% - Énfasis3 4 2 3 2" xfId="1644" xr:uid="{00000000-0005-0000-0000-00005E1A0000}"/>
    <cellStyle name="40% - Énfasis3 4 2 3 2 2" xfId="3534" xr:uid="{00000000-0005-0000-0000-00005F1A0000}"/>
    <cellStyle name="40% - Énfasis3 4 2 3 2 2 2" xfId="7313" xr:uid="{00000000-0005-0000-0000-0000601A0000}"/>
    <cellStyle name="40% - Énfasis3 4 2 3 2 2 3" xfId="11089" xr:uid="{00000000-0005-0000-0000-0000611A0000}"/>
    <cellStyle name="40% - Énfasis3 4 2 3 2 3" xfId="5425" xr:uid="{00000000-0005-0000-0000-0000621A0000}"/>
    <cellStyle name="40% - Énfasis3 4 2 3 2 4" xfId="9201" xr:uid="{00000000-0005-0000-0000-0000631A0000}"/>
    <cellStyle name="40% - Énfasis3 4 2 3 3" xfId="2590" xr:uid="{00000000-0005-0000-0000-0000641A0000}"/>
    <cellStyle name="40% - Énfasis3 4 2 3 3 2" xfId="6369" xr:uid="{00000000-0005-0000-0000-0000651A0000}"/>
    <cellStyle name="40% - Énfasis3 4 2 3 3 3" xfId="10145" xr:uid="{00000000-0005-0000-0000-0000661A0000}"/>
    <cellStyle name="40% - Énfasis3 4 2 3 4" xfId="4481" xr:uid="{00000000-0005-0000-0000-0000671A0000}"/>
    <cellStyle name="40% - Énfasis3 4 2 3 5" xfId="8257" xr:uid="{00000000-0005-0000-0000-0000681A0000}"/>
    <cellStyle name="40% - Énfasis3 4 2 4" xfId="1172" xr:uid="{00000000-0005-0000-0000-0000691A0000}"/>
    <cellStyle name="40% - Énfasis3 4 2 4 2" xfId="3062" xr:uid="{00000000-0005-0000-0000-00006A1A0000}"/>
    <cellStyle name="40% - Énfasis3 4 2 4 2 2" xfId="6841" xr:uid="{00000000-0005-0000-0000-00006B1A0000}"/>
    <cellStyle name="40% - Énfasis3 4 2 4 2 3" xfId="10617" xr:uid="{00000000-0005-0000-0000-00006C1A0000}"/>
    <cellStyle name="40% - Énfasis3 4 2 4 3" xfId="4953" xr:uid="{00000000-0005-0000-0000-00006D1A0000}"/>
    <cellStyle name="40% - Énfasis3 4 2 4 4" xfId="8729" xr:uid="{00000000-0005-0000-0000-00006E1A0000}"/>
    <cellStyle name="40% - Énfasis3 4 2 5" xfId="2118" xr:uid="{00000000-0005-0000-0000-00006F1A0000}"/>
    <cellStyle name="40% - Énfasis3 4 2 5 2" xfId="5897" xr:uid="{00000000-0005-0000-0000-0000701A0000}"/>
    <cellStyle name="40% - Énfasis3 4 2 5 3" xfId="9673" xr:uid="{00000000-0005-0000-0000-0000711A0000}"/>
    <cellStyle name="40% - Énfasis3 4 2 6" xfId="4009" xr:uid="{00000000-0005-0000-0000-0000721A0000}"/>
    <cellStyle name="40% - Énfasis3 4 2 7" xfId="7785" xr:uid="{00000000-0005-0000-0000-0000731A0000}"/>
    <cellStyle name="40% - Énfasis3 4 3" xfId="342" xr:uid="{00000000-0005-0000-0000-0000741A0000}"/>
    <cellStyle name="40% - Énfasis3 4 3 2" xfId="816" xr:uid="{00000000-0005-0000-0000-0000751A0000}"/>
    <cellStyle name="40% - Énfasis3 4 3 2 2" xfId="1762" xr:uid="{00000000-0005-0000-0000-0000761A0000}"/>
    <cellStyle name="40% - Énfasis3 4 3 2 2 2" xfId="3652" xr:uid="{00000000-0005-0000-0000-0000771A0000}"/>
    <cellStyle name="40% - Énfasis3 4 3 2 2 2 2" xfId="7431" xr:uid="{00000000-0005-0000-0000-0000781A0000}"/>
    <cellStyle name="40% - Énfasis3 4 3 2 2 2 3" xfId="11207" xr:uid="{00000000-0005-0000-0000-0000791A0000}"/>
    <cellStyle name="40% - Énfasis3 4 3 2 2 3" xfId="5543" xr:uid="{00000000-0005-0000-0000-00007A1A0000}"/>
    <cellStyle name="40% - Énfasis3 4 3 2 2 4" xfId="9319" xr:uid="{00000000-0005-0000-0000-00007B1A0000}"/>
    <cellStyle name="40% - Énfasis3 4 3 2 3" xfId="2708" xr:uid="{00000000-0005-0000-0000-00007C1A0000}"/>
    <cellStyle name="40% - Énfasis3 4 3 2 3 2" xfId="6487" xr:uid="{00000000-0005-0000-0000-00007D1A0000}"/>
    <cellStyle name="40% - Énfasis3 4 3 2 3 3" xfId="10263" xr:uid="{00000000-0005-0000-0000-00007E1A0000}"/>
    <cellStyle name="40% - Énfasis3 4 3 2 4" xfId="4599" xr:uid="{00000000-0005-0000-0000-00007F1A0000}"/>
    <cellStyle name="40% - Énfasis3 4 3 2 5" xfId="8375" xr:uid="{00000000-0005-0000-0000-0000801A0000}"/>
    <cellStyle name="40% - Énfasis3 4 3 3" xfId="1290" xr:uid="{00000000-0005-0000-0000-0000811A0000}"/>
    <cellStyle name="40% - Énfasis3 4 3 3 2" xfId="3180" xr:uid="{00000000-0005-0000-0000-0000821A0000}"/>
    <cellStyle name="40% - Énfasis3 4 3 3 2 2" xfId="6959" xr:uid="{00000000-0005-0000-0000-0000831A0000}"/>
    <cellStyle name="40% - Énfasis3 4 3 3 2 3" xfId="10735" xr:uid="{00000000-0005-0000-0000-0000841A0000}"/>
    <cellStyle name="40% - Énfasis3 4 3 3 3" xfId="5071" xr:uid="{00000000-0005-0000-0000-0000851A0000}"/>
    <cellStyle name="40% - Énfasis3 4 3 3 4" xfId="8847" xr:uid="{00000000-0005-0000-0000-0000861A0000}"/>
    <cellStyle name="40% - Énfasis3 4 3 4" xfId="2236" xr:uid="{00000000-0005-0000-0000-0000871A0000}"/>
    <cellStyle name="40% - Énfasis3 4 3 4 2" xfId="6015" xr:uid="{00000000-0005-0000-0000-0000881A0000}"/>
    <cellStyle name="40% - Énfasis3 4 3 4 3" xfId="9791" xr:uid="{00000000-0005-0000-0000-0000891A0000}"/>
    <cellStyle name="40% - Énfasis3 4 3 5" xfId="4127" xr:uid="{00000000-0005-0000-0000-00008A1A0000}"/>
    <cellStyle name="40% - Énfasis3 4 3 6" xfId="7903" xr:uid="{00000000-0005-0000-0000-00008B1A0000}"/>
    <cellStyle name="40% - Énfasis3 4 4" xfId="580" xr:uid="{00000000-0005-0000-0000-00008C1A0000}"/>
    <cellStyle name="40% - Énfasis3 4 4 2" xfId="1526" xr:uid="{00000000-0005-0000-0000-00008D1A0000}"/>
    <cellStyle name="40% - Énfasis3 4 4 2 2" xfId="3416" xr:uid="{00000000-0005-0000-0000-00008E1A0000}"/>
    <cellStyle name="40% - Énfasis3 4 4 2 2 2" xfId="7195" xr:uid="{00000000-0005-0000-0000-00008F1A0000}"/>
    <cellStyle name="40% - Énfasis3 4 4 2 2 3" xfId="10971" xr:uid="{00000000-0005-0000-0000-0000901A0000}"/>
    <cellStyle name="40% - Énfasis3 4 4 2 3" xfId="5307" xr:uid="{00000000-0005-0000-0000-0000911A0000}"/>
    <cellStyle name="40% - Énfasis3 4 4 2 4" xfId="9083" xr:uid="{00000000-0005-0000-0000-0000921A0000}"/>
    <cellStyle name="40% - Énfasis3 4 4 3" xfId="2472" xr:uid="{00000000-0005-0000-0000-0000931A0000}"/>
    <cellStyle name="40% - Énfasis3 4 4 3 2" xfId="6251" xr:uid="{00000000-0005-0000-0000-0000941A0000}"/>
    <cellStyle name="40% - Énfasis3 4 4 3 3" xfId="10027" xr:uid="{00000000-0005-0000-0000-0000951A0000}"/>
    <cellStyle name="40% - Énfasis3 4 4 4" xfId="4363" xr:uid="{00000000-0005-0000-0000-0000961A0000}"/>
    <cellStyle name="40% - Énfasis3 4 4 5" xfId="8139" xr:uid="{00000000-0005-0000-0000-0000971A0000}"/>
    <cellStyle name="40% - Énfasis3 4 5" xfId="1054" xr:uid="{00000000-0005-0000-0000-0000981A0000}"/>
    <cellStyle name="40% - Énfasis3 4 5 2" xfId="2944" xr:uid="{00000000-0005-0000-0000-0000991A0000}"/>
    <cellStyle name="40% - Énfasis3 4 5 2 2" xfId="6723" xr:uid="{00000000-0005-0000-0000-00009A1A0000}"/>
    <cellStyle name="40% - Énfasis3 4 5 2 3" xfId="10499" xr:uid="{00000000-0005-0000-0000-00009B1A0000}"/>
    <cellStyle name="40% - Énfasis3 4 5 3" xfId="4835" xr:uid="{00000000-0005-0000-0000-00009C1A0000}"/>
    <cellStyle name="40% - Énfasis3 4 5 4" xfId="8611" xr:uid="{00000000-0005-0000-0000-00009D1A0000}"/>
    <cellStyle name="40% - Énfasis3 4 6" xfId="2000" xr:uid="{00000000-0005-0000-0000-00009E1A0000}"/>
    <cellStyle name="40% - Énfasis3 4 6 2" xfId="5779" xr:uid="{00000000-0005-0000-0000-00009F1A0000}"/>
    <cellStyle name="40% - Énfasis3 4 6 3" xfId="9555" xr:uid="{00000000-0005-0000-0000-0000A01A0000}"/>
    <cellStyle name="40% - Énfasis3 4 7" xfId="3891" xr:uid="{00000000-0005-0000-0000-0000A11A0000}"/>
    <cellStyle name="40% - Énfasis3 4 8" xfId="7667" xr:uid="{00000000-0005-0000-0000-0000A21A0000}"/>
    <cellStyle name="40% - Énfasis3 5" xfId="161" xr:uid="{00000000-0005-0000-0000-0000A31A0000}"/>
    <cellStyle name="40% - Énfasis3 5 2" xfId="401" xr:uid="{00000000-0005-0000-0000-0000A41A0000}"/>
    <cellStyle name="40% - Énfasis3 5 2 2" xfId="875" xr:uid="{00000000-0005-0000-0000-0000A51A0000}"/>
    <cellStyle name="40% - Énfasis3 5 2 2 2" xfId="1821" xr:uid="{00000000-0005-0000-0000-0000A61A0000}"/>
    <cellStyle name="40% - Énfasis3 5 2 2 2 2" xfId="3711" xr:uid="{00000000-0005-0000-0000-0000A71A0000}"/>
    <cellStyle name="40% - Énfasis3 5 2 2 2 2 2" xfId="7490" xr:uid="{00000000-0005-0000-0000-0000A81A0000}"/>
    <cellStyle name="40% - Énfasis3 5 2 2 2 2 3" xfId="11266" xr:uid="{00000000-0005-0000-0000-0000A91A0000}"/>
    <cellStyle name="40% - Énfasis3 5 2 2 2 3" xfId="5602" xr:uid="{00000000-0005-0000-0000-0000AA1A0000}"/>
    <cellStyle name="40% - Énfasis3 5 2 2 2 4" xfId="9378" xr:uid="{00000000-0005-0000-0000-0000AB1A0000}"/>
    <cellStyle name="40% - Énfasis3 5 2 2 3" xfId="2767" xr:uid="{00000000-0005-0000-0000-0000AC1A0000}"/>
    <cellStyle name="40% - Énfasis3 5 2 2 3 2" xfId="6546" xr:uid="{00000000-0005-0000-0000-0000AD1A0000}"/>
    <cellStyle name="40% - Énfasis3 5 2 2 3 3" xfId="10322" xr:uid="{00000000-0005-0000-0000-0000AE1A0000}"/>
    <cellStyle name="40% - Énfasis3 5 2 2 4" xfId="4658" xr:uid="{00000000-0005-0000-0000-0000AF1A0000}"/>
    <cellStyle name="40% - Énfasis3 5 2 2 5" xfId="8434" xr:uid="{00000000-0005-0000-0000-0000B01A0000}"/>
    <cellStyle name="40% - Énfasis3 5 2 3" xfId="1349" xr:uid="{00000000-0005-0000-0000-0000B11A0000}"/>
    <cellStyle name="40% - Énfasis3 5 2 3 2" xfId="3239" xr:uid="{00000000-0005-0000-0000-0000B21A0000}"/>
    <cellStyle name="40% - Énfasis3 5 2 3 2 2" xfId="7018" xr:uid="{00000000-0005-0000-0000-0000B31A0000}"/>
    <cellStyle name="40% - Énfasis3 5 2 3 2 3" xfId="10794" xr:uid="{00000000-0005-0000-0000-0000B41A0000}"/>
    <cellStyle name="40% - Énfasis3 5 2 3 3" xfId="5130" xr:uid="{00000000-0005-0000-0000-0000B51A0000}"/>
    <cellStyle name="40% - Énfasis3 5 2 3 4" xfId="8906" xr:uid="{00000000-0005-0000-0000-0000B61A0000}"/>
    <cellStyle name="40% - Énfasis3 5 2 4" xfId="2295" xr:uid="{00000000-0005-0000-0000-0000B71A0000}"/>
    <cellStyle name="40% - Énfasis3 5 2 4 2" xfId="6074" xr:uid="{00000000-0005-0000-0000-0000B81A0000}"/>
    <cellStyle name="40% - Énfasis3 5 2 4 3" xfId="9850" xr:uid="{00000000-0005-0000-0000-0000B91A0000}"/>
    <cellStyle name="40% - Énfasis3 5 2 5" xfId="4186" xr:uid="{00000000-0005-0000-0000-0000BA1A0000}"/>
    <cellStyle name="40% - Énfasis3 5 2 6" xfId="7962" xr:uid="{00000000-0005-0000-0000-0000BB1A0000}"/>
    <cellStyle name="40% - Énfasis3 5 3" xfId="639" xr:uid="{00000000-0005-0000-0000-0000BC1A0000}"/>
    <cellStyle name="40% - Énfasis3 5 3 2" xfId="1585" xr:uid="{00000000-0005-0000-0000-0000BD1A0000}"/>
    <cellStyle name="40% - Énfasis3 5 3 2 2" xfId="3475" xr:uid="{00000000-0005-0000-0000-0000BE1A0000}"/>
    <cellStyle name="40% - Énfasis3 5 3 2 2 2" xfId="7254" xr:uid="{00000000-0005-0000-0000-0000BF1A0000}"/>
    <cellStyle name="40% - Énfasis3 5 3 2 2 3" xfId="11030" xr:uid="{00000000-0005-0000-0000-0000C01A0000}"/>
    <cellStyle name="40% - Énfasis3 5 3 2 3" xfId="5366" xr:uid="{00000000-0005-0000-0000-0000C11A0000}"/>
    <cellStyle name="40% - Énfasis3 5 3 2 4" xfId="9142" xr:uid="{00000000-0005-0000-0000-0000C21A0000}"/>
    <cellStyle name="40% - Énfasis3 5 3 3" xfId="2531" xr:uid="{00000000-0005-0000-0000-0000C31A0000}"/>
    <cellStyle name="40% - Énfasis3 5 3 3 2" xfId="6310" xr:uid="{00000000-0005-0000-0000-0000C41A0000}"/>
    <cellStyle name="40% - Énfasis3 5 3 3 3" xfId="10086" xr:uid="{00000000-0005-0000-0000-0000C51A0000}"/>
    <cellStyle name="40% - Énfasis3 5 3 4" xfId="4422" xr:uid="{00000000-0005-0000-0000-0000C61A0000}"/>
    <cellStyle name="40% - Énfasis3 5 3 5" xfId="8198" xr:uid="{00000000-0005-0000-0000-0000C71A0000}"/>
    <cellStyle name="40% - Énfasis3 5 4" xfId="1113" xr:uid="{00000000-0005-0000-0000-0000C81A0000}"/>
    <cellStyle name="40% - Énfasis3 5 4 2" xfId="3003" xr:uid="{00000000-0005-0000-0000-0000C91A0000}"/>
    <cellStyle name="40% - Énfasis3 5 4 2 2" xfId="6782" xr:uid="{00000000-0005-0000-0000-0000CA1A0000}"/>
    <cellStyle name="40% - Énfasis3 5 4 2 3" xfId="10558" xr:uid="{00000000-0005-0000-0000-0000CB1A0000}"/>
    <cellStyle name="40% - Énfasis3 5 4 3" xfId="4894" xr:uid="{00000000-0005-0000-0000-0000CC1A0000}"/>
    <cellStyle name="40% - Énfasis3 5 4 4" xfId="8670" xr:uid="{00000000-0005-0000-0000-0000CD1A0000}"/>
    <cellStyle name="40% - Énfasis3 5 5" xfId="2059" xr:uid="{00000000-0005-0000-0000-0000CE1A0000}"/>
    <cellStyle name="40% - Énfasis3 5 5 2" xfId="5838" xr:uid="{00000000-0005-0000-0000-0000CF1A0000}"/>
    <cellStyle name="40% - Énfasis3 5 5 3" xfId="9614" xr:uid="{00000000-0005-0000-0000-0000D01A0000}"/>
    <cellStyle name="40% - Énfasis3 5 6" xfId="3950" xr:uid="{00000000-0005-0000-0000-0000D11A0000}"/>
    <cellStyle name="40% - Énfasis3 5 7" xfId="7726" xr:uid="{00000000-0005-0000-0000-0000D21A0000}"/>
    <cellStyle name="40% - Énfasis3 6" xfId="281" xr:uid="{00000000-0005-0000-0000-0000D31A0000}"/>
    <cellStyle name="40% - Énfasis3 6 2" xfId="757" xr:uid="{00000000-0005-0000-0000-0000D41A0000}"/>
    <cellStyle name="40% - Énfasis3 6 2 2" xfId="1703" xr:uid="{00000000-0005-0000-0000-0000D51A0000}"/>
    <cellStyle name="40% - Énfasis3 6 2 2 2" xfId="3593" xr:uid="{00000000-0005-0000-0000-0000D61A0000}"/>
    <cellStyle name="40% - Énfasis3 6 2 2 2 2" xfId="7372" xr:uid="{00000000-0005-0000-0000-0000D71A0000}"/>
    <cellStyle name="40% - Énfasis3 6 2 2 2 3" xfId="11148" xr:uid="{00000000-0005-0000-0000-0000D81A0000}"/>
    <cellStyle name="40% - Énfasis3 6 2 2 3" xfId="5484" xr:uid="{00000000-0005-0000-0000-0000D91A0000}"/>
    <cellStyle name="40% - Énfasis3 6 2 2 4" xfId="9260" xr:uid="{00000000-0005-0000-0000-0000DA1A0000}"/>
    <cellStyle name="40% - Énfasis3 6 2 3" xfId="2649" xr:uid="{00000000-0005-0000-0000-0000DB1A0000}"/>
    <cellStyle name="40% - Énfasis3 6 2 3 2" xfId="6428" xr:uid="{00000000-0005-0000-0000-0000DC1A0000}"/>
    <cellStyle name="40% - Énfasis3 6 2 3 3" xfId="10204" xr:uid="{00000000-0005-0000-0000-0000DD1A0000}"/>
    <cellStyle name="40% - Énfasis3 6 2 4" xfId="4540" xr:uid="{00000000-0005-0000-0000-0000DE1A0000}"/>
    <cellStyle name="40% - Énfasis3 6 2 5" xfId="8316" xr:uid="{00000000-0005-0000-0000-0000DF1A0000}"/>
    <cellStyle name="40% - Énfasis3 6 3" xfId="1231" xr:uid="{00000000-0005-0000-0000-0000E01A0000}"/>
    <cellStyle name="40% - Énfasis3 6 3 2" xfId="3121" xr:uid="{00000000-0005-0000-0000-0000E11A0000}"/>
    <cellStyle name="40% - Énfasis3 6 3 2 2" xfId="6900" xr:uid="{00000000-0005-0000-0000-0000E21A0000}"/>
    <cellStyle name="40% - Énfasis3 6 3 2 3" xfId="10676" xr:uid="{00000000-0005-0000-0000-0000E31A0000}"/>
    <cellStyle name="40% - Énfasis3 6 3 3" xfId="5012" xr:uid="{00000000-0005-0000-0000-0000E41A0000}"/>
    <cellStyle name="40% - Énfasis3 6 3 4" xfId="8788" xr:uid="{00000000-0005-0000-0000-0000E51A0000}"/>
    <cellStyle name="40% - Énfasis3 6 4" xfId="2177" xr:uid="{00000000-0005-0000-0000-0000E61A0000}"/>
    <cellStyle name="40% - Énfasis3 6 4 2" xfId="5956" xr:uid="{00000000-0005-0000-0000-0000E71A0000}"/>
    <cellStyle name="40% - Énfasis3 6 4 3" xfId="9732" xr:uid="{00000000-0005-0000-0000-0000E81A0000}"/>
    <cellStyle name="40% - Énfasis3 6 5" xfId="4068" xr:uid="{00000000-0005-0000-0000-0000E91A0000}"/>
    <cellStyle name="40% - Énfasis3 6 6" xfId="7844" xr:uid="{00000000-0005-0000-0000-0000EA1A0000}"/>
    <cellStyle name="40% - Énfasis3 7" xfId="519" xr:uid="{00000000-0005-0000-0000-0000EB1A0000}"/>
    <cellStyle name="40% - Énfasis3 7 2" xfId="1467" xr:uid="{00000000-0005-0000-0000-0000EC1A0000}"/>
    <cellStyle name="40% - Énfasis3 7 2 2" xfId="3357" xr:uid="{00000000-0005-0000-0000-0000ED1A0000}"/>
    <cellStyle name="40% - Énfasis3 7 2 2 2" xfId="7136" xr:uid="{00000000-0005-0000-0000-0000EE1A0000}"/>
    <cellStyle name="40% - Énfasis3 7 2 2 3" xfId="10912" xr:uid="{00000000-0005-0000-0000-0000EF1A0000}"/>
    <cellStyle name="40% - Énfasis3 7 2 3" xfId="5248" xr:uid="{00000000-0005-0000-0000-0000F01A0000}"/>
    <cellStyle name="40% - Énfasis3 7 2 4" xfId="9024" xr:uid="{00000000-0005-0000-0000-0000F11A0000}"/>
    <cellStyle name="40% - Énfasis3 7 3" xfId="2413" xr:uid="{00000000-0005-0000-0000-0000F21A0000}"/>
    <cellStyle name="40% - Énfasis3 7 3 2" xfId="6192" xr:uid="{00000000-0005-0000-0000-0000F31A0000}"/>
    <cellStyle name="40% - Énfasis3 7 3 3" xfId="9968" xr:uid="{00000000-0005-0000-0000-0000F41A0000}"/>
    <cellStyle name="40% - Énfasis3 7 4" xfId="4304" xr:uid="{00000000-0005-0000-0000-0000F51A0000}"/>
    <cellStyle name="40% - Énfasis3 7 5" xfId="8080" xr:uid="{00000000-0005-0000-0000-0000F61A0000}"/>
    <cellStyle name="40% - Énfasis3 8" xfId="993" xr:uid="{00000000-0005-0000-0000-0000F71A0000}"/>
    <cellStyle name="40% - Énfasis3 8 2" xfId="2885" xr:uid="{00000000-0005-0000-0000-0000F81A0000}"/>
    <cellStyle name="40% - Énfasis3 8 2 2" xfId="6664" xr:uid="{00000000-0005-0000-0000-0000F91A0000}"/>
    <cellStyle name="40% - Énfasis3 8 2 3" xfId="10440" xr:uid="{00000000-0005-0000-0000-0000FA1A0000}"/>
    <cellStyle name="40% - Énfasis3 8 3" xfId="4776" xr:uid="{00000000-0005-0000-0000-0000FB1A0000}"/>
    <cellStyle name="40% - Énfasis3 8 4" xfId="8552" xr:uid="{00000000-0005-0000-0000-0000FC1A0000}"/>
    <cellStyle name="40% - Énfasis3 9" xfId="1939" xr:uid="{00000000-0005-0000-0000-0000FD1A0000}"/>
    <cellStyle name="40% - Énfasis3 9 2" xfId="5720" xr:uid="{00000000-0005-0000-0000-0000FE1A0000}"/>
    <cellStyle name="40% - Énfasis3 9 3" xfId="9496" xr:uid="{00000000-0005-0000-0000-0000FF1A0000}"/>
    <cellStyle name="40% - Énfasis4" xfId="32" builtinId="43" customBuiltin="1"/>
    <cellStyle name="40% - Énfasis4 10" xfId="3832" xr:uid="{00000000-0005-0000-0000-0000011B0000}"/>
    <cellStyle name="40% - Énfasis4 11" xfId="7610" xr:uid="{00000000-0005-0000-0000-0000021B0000}"/>
    <cellStyle name="40% - Énfasis4 2" xfId="53" xr:uid="{00000000-0005-0000-0000-0000031B0000}"/>
    <cellStyle name="40% - Énfasis4 2 10" xfId="7626" xr:uid="{00000000-0005-0000-0000-0000041B0000}"/>
    <cellStyle name="40% - Énfasis4 2 2" xfId="84" xr:uid="{00000000-0005-0000-0000-0000051B0000}"/>
    <cellStyle name="40% - Énfasis4 2 2 2" xfId="147" xr:uid="{00000000-0005-0000-0000-0000061B0000}"/>
    <cellStyle name="40% - Énfasis4 2 2 2 2" xfId="269" xr:uid="{00000000-0005-0000-0000-0000071B0000}"/>
    <cellStyle name="40% - Énfasis4 2 2 2 2 2" xfId="507" xr:uid="{00000000-0005-0000-0000-0000081B0000}"/>
    <cellStyle name="40% - Énfasis4 2 2 2 2 2 2" xfId="981" xr:uid="{00000000-0005-0000-0000-0000091B0000}"/>
    <cellStyle name="40% - Énfasis4 2 2 2 2 2 2 2" xfId="1927" xr:uid="{00000000-0005-0000-0000-00000A1B0000}"/>
    <cellStyle name="40% - Énfasis4 2 2 2 2 2 2 2 2" xfId="3817" xr:uid="{00000000-0005-0000-0000-00000B1B0000}"/>
    <cellStyle name="40% - Énfasis4 2 2 2 2 2 2 2 2 2" xfId="7596" xr:uid="{00000000-0005-0000-0000-00000C1B0000}"/>
    <cellStyle name="40% - Énfasis4 2 2 2 2 2 2 2 2 3" xfId="11372" xr:uid="{00000000-0005-0000-0000-00000D1B0000}"/>
    <cellStyle name="40% - Énfasis4 2 2 2 2 2 2 2 3" xfId="5708" xr:uid="{00000000-0005-0000-0000-00000E1B0000}"/>
    <cellStyle name="40% - Énfasis4 2 2 2 2 2 2 2 4" xfId="9484" xr:uid="{00000000-0005-0000-0000-00000F1B0000}"/>
    <cellStyle name="40% - Énfasis4 2 2 2 2 2 2 3" xfId="2873" xr:uid="{00000000-0005-0000-0000-0000101B0000}"/>
    <cellStyle name="40% - Énfasis4 2 2 2 2 2 2 3 2" xfId="6652" xr:uid="{00000000-0005-0000-0000-0000111B0000}"/>
    <cellStyle name="40% - Énfasis4 2 2 2 2 2 2 3 3" xfId="10428" xr:uid="{00000000-0005-0000-0000-0000121B0000}"/>
    <cellStyle name="40% - Énfasis4 2 2 2 2 2 2 4" xfId="4764" xr:uid="{00000000-0005-0000-0000-0000131B0000}"/>
    <cellStyle name="40% - Énfasis4 2 2 2 2 2 2 5" xfId="8540" xr:uid="{00000000-0005-0000-0000-0000141B0000}"/>
    <cellStyle name="40% - Énfasis4 2 2 2 2 2 3" xfId="1455" xr:uid="{00000000-0005-0000-0000-0000151B0000}"/>
    <cellStyle name="40% - Énfasis4 2 2 2 2 2 3 2" xfId="3345" xr:uid="{00000000-0005-0000-0000-0000161B0000}"/>
    <cellStyle name="40% - Énfasis4 2 2 2 2 2 3 2 2" xfId="7124" xr:uid="{00000000-0005-0000-0000-0000171B0000}"/>
    <cellStyle name="40% - Énfasis4 2 2 2 2 2 3 2 3" xfId="10900" xr:uid="{00000000-0005-0000-0000-0000181B0000}"/>
    <cellStyle name="40% - Énfasis4 2 2 2 2 2 3 3" xfId="5236" xr:uid="{00000000-0005-0000-0000-0000191B0000}"/>
    <cellStyle name="40% - Énfasis4 2 2 2 2 2 3 4" xfId="9012" xr:uid="{00000000-0005-0000-0000-00001A1B0000}"/>
    <cellStyle name="40% - Énfasis4 2 2 2 2 2 4" xfId="2401" xr:uid="{00000000-0005-0000-0000-00001B1B0000}"/>
    <cellStyle name="40% - Énfasis4 2 2 2 2 2 4 2" xfId="6180" xr:uid="{00000000-0005-0000-0000-00001C1B0000}"/>
    <cellStyle name="40% - Énfasis4 2 2 2 2 2 4 3" xfId="9956" xr:uid="{00000000-0005-0000-0000-00001D1B0000}"/>
    <cellStyle name="40% - Énfasis4 2 2 2 2 2 5" xfId="4292" xr:uid="{00000000-0005-0000-0000-00001E1B0000}"/>
    <cellStyle name="40% - Énfasis4 2 2 2 2 2 6" xfId="8068" xr:uid="{00000000-0005-0000-0000-00001F1B0000}"/>
    <cellStyle name="40% - Énfasis4 2 2 2 2 3" xfId="745" xr:uid="{00000000-0005-0000-0000-0000201B0000}"/>
    <cellStyle name="40% - Énfasis4 2 2 2 2 3 2" xfId="1691" xr:uid="{00000000-0005-0000-0000-0000211B0000}"/>
    <cellStyle name="40% - Énfasis4 2 2 2 2 3 2 2" xfId="3581" xr:uid="{00000000-0005-0000-0000-0000221B0000}"/>
    <cellStyle name="40% - Énfasis4 2 2 2 2 3 2 2 2" xfId="7360" xr:uid="{00000000-0005-0000-0000-0000231B0000}"/>
    <cellStyle name="40% - Énfasis4 2 2 2 2 3 2 2 3" xfId="11136" xr:uid="{00000000-0005-0000-0000-0000241B0000}"/>
    <cellStyle name="40% - Énfasis4 2 2 2 2 3 2 3" xfId="5472" xr:uid="{00000000-0005-0000-0000-0000251B0000}"/>
    <cellStyle name="40% - Énfasis4 2 2 2 2 3 2 4" xfId="9248" xr:uid="{00000000-0005-0000-0000-0000261B0000}"/>
    <cellStyle name="40% - Énfasis4 2 2 2 2 3 3" xfId="2637" xr:uid="{00000000-0005-0000-0000-0000271B0000}"/>
    <cellStyle name="40% - Énfasis4 2 2 2 2 3 3 2" xfId="6416" xr:uid="{00000000-0005-0000-0000-0000281B0000}"/>
    <cellStyle name="40% - Énfasis4 2 2 2 2 3 3 3" xfId="10192" xr:uid="{00000000-0005-0000-0000-0000291B0000}"/>
    <cellStyle name="40% - Énfasis4 2 2 2 2 3 4" xfId="4528" xr:uid="{00000000-0005-0000-0000-00002A1B0000}"/>
    <cellStyle name="40% - Énfasis4 2 2 2 2 3 5" xfId="8304" xr:uid="{00000000-0005-0000-0000-00002B1B0000}"/>
    <cellStyle name="40% - Énfasis4 2 2 2 2 4" xfId="1219" xr:uid="{00000000-0005-0000-0000-00002C1B0000}"/>
    <cellStyle name="40% - Énfasis4 2 2 2 2 4 2" xfId="3109" xr:uid="{00000000-0005-0000-0000-00002D1B0000}"/>
    <cellStyle name="40% - Énfasis4 2 2 2 2 4 2 2" xfId="6888" xr:uid="{00000000-0005-0000-0000-00002E1B0000}"/>
    <cellStyle name="40% - Énfasis4 2 2 2 2 4 2 3" xfId="10664" xr:uid="{00000000-0005-0000-0000-00002F1B0000}"/>
    <cellStyle name="40% - Énfasis4 2 2 2 2 4 3" xfId="5000" xr:uid="{00000000-0005-0000-0000-0000301B0000}"/>
    <cellStyle name="40% - Énfasis4 2 2 2 2 4 4" xfId="8776" xr:uid="{00000000-0005-0000-0000-0000311B0000}"/>
    <cellStyle name="40% - Énfasis4 2 2 2 2 5" xfId="2165" xr:uid="{00000000-0005-0000-0000-0000321B0000}"/>
    <cellStyle name="40% - Énfasis4 2 2 2 2 5 2" xfId="5944" xr:uid="{00000000-0005-0000-0000-0000331B0000}"/>
    <cellStyle name="40% - Énfasis4 2 2 2 2 5 3" xfId="9720" xr:uid="{00000000-0005-0000-0000-0000341B0000}"/>
    <cellStyle name="40% - Énfasis4 2 2 2 2 6" xfId="4056" xr:uid="{00000000-0005-0000-0000-0000351B0000}"/>
    <cellStyle name="40% - Énfasis4 2 2 2 2 7" xfId="7832" xr:uid="{00000000-0005-0000-0000-0000361B0000}"/>
    <cellStyle name="40% - Énfasis4 2 2 2 3" xfId="389" xr:uid="{00000000-0005-0000-0000-0000371B0000}"/>
    <cellStyle name="40% - Énfasis4 2 2 2 3 2" xfId="863" xr:uid="{00000000-0005-0000-0000-0000381B0000}"/>
    <cellStyle name="40% - Énfasis4 2 2 2 3 2 2" xfId="1809" xr:uid="{00000000-0005-0000-0000-0000391B0000}"/>
    <cellStyle name="40% - Énfasis4 2 2 2 3 2 2 2" xfId="3699" xr:uid="{00000000-0005-0000-0000-00003A1B0000}"/>
    <cellStyle name="40% - Énfasis4 2 2 2 3 2 2 2 2" xfId="7478" xr:uid="{00000000-0005-0000-0000-00003B1B0000}"/>
    <cellStyle name="40% - Énfasis4 2 2 2 3 2 2 2 3" xfId="11254" xr:uid="{00000000-0005-0000-0000-00003C1B0000}"/>
    <cellStyle name="40% - Énfasis4 2 2 2 3 2 2 3" xfId="5590" xr:uid="{00000000-0005-0000-0000-00003D1B0000}"/>
    <cellStyle name="40% - Énfasis4 2 2 2 3 2 2 4" xfId="9366" xr:uid="{00000000-0005-0000-0000-00003E1B0000}"/>
    <cellStyle name="40% - Énfasis4 2 2 2 3 2 3" xfId="2755" xr:uid="{00000000-0005-0000-0000-00003F1B0000}"/>
    <cellStyle name="40% - Énfasis4 2 2 2 3 2 3 2" xfId="6534" xr:uid="{00000000-0005-0000-0000-0000401B0000}"/>
    <cellStyle name="40% - Énfasis4 2 2 2 3 2 3 3" xfId="10310" xr:uid="{00000000-0005-0000-0000-0000411B0000}"/>
    <cellStyle name="40% - Énfasis4 2 2 2 3 2 4" xfId="4646" xr:uid="{00000000-0005-0000-0000-0000421B0000}"/>
    <cellStyle name="40% - Énfasis4 2 2 2 3 2 5" xfId="8422" xr:uid="{00000000-0005-0000-0000-0000431B0000}"/>
    <cellStyle name="40% - Énfasis4 2 2 2 3 3" xfId="1337" xr:uid="{00000000-0005-0000-0000-0000441B0000}"/>
    <cellStyle name="40% - Énfasis4 2 2 2 3 3 2" xfId="3227" xr:uid="{00000000-0005-0000-0000-0000451B0000}"/>
    <cellStyle name="40% - Énfasis4 2 2 2 3 3 2 2" xfId="7006" xr:uid="{00000000-0005-0000-0000-0000461B0000}"/>
    <cellStyle name="40% - Énfasis4 2 2 2 3 3 2 3" xfId="10782" xr:uid="{00000000-0005-0000-0000-0000471B0000}"/>
    <cellStyle name="40% - Énfasis4 2 2 2 3 3 3" xfId="5118" xr:uid="{00000000-0005-0000-0000-0000481B0000}"/>
    <cellStyle name="40% - Énfasis4 2 2 2 3 3 4" xfId="8894" xr:uid="{00000000-0005-0000-0000-0000491B0000}"/>
    <cellStyle name="40% - Énfasis4 2 2 2 3 4" xfId="2283" xr:uid="{00000000-0005-0000-0000-00004A1B0000}"/>
    <cellStyle name="40% - Énfasis4 2 2 2 3 4 2" xfId="6062" xr:uid="{00000000-0005-0000-0000-00004B1B0000}"/>
    <cellStyle name="40% - Énfasis4 2 2 2 3 4 3" xfId="9838" xr:uid="{00000000-0005-0000-0000-00004C1B0000}"/>
    <cellStyle name="40% - Énfasis4 2 2 2 3 5" xfId="4174" xr:uid="{00000000-0005-0000-0000-00004D1B0000}"/>
    <cellStyle name="40% - Énfasis4 2 2 2 3 6" xfId="7950" xr:uid="{00000000-0005-0000-0000-00004E1B0000}"/>
    <cellStyle name="40% - Énfasis4 2 2 2 4" xfId="627" xr:uid="{00000000-0005-0000-0000-00004F1B0000}"/>
    <cellStyle name="40% - Énfasis4 2 2 2 4 2" xfId="1573" xr:uid="{00000000-0005-0000-0000-0000501B0000}"/>
    <cellStyle name="40% - Énfasis4 2 2 2 4 2 2" xfId="3463" xr:uid="{00000000-0005-0000-0000-0000511B0000}"/>
    <cellStyle name="40% - Énfasis4 2 2 2 4 2 2 2" xfId="7242" xr:uid="{00000000-0005-0000-0000-0000521B0000}"/>
    <cellStyle name="40% - Énfasis4 2 2 2 4 2 2 3" xfId="11018" xr:uid="{00000000-0005-0000-0000-0000531B0000}"/>
    <cellStyle name="40% - Énfasis4 2 2 2 4 2 3" xfId="5354" xr:uid="{00000000-0005-0000-0000-0000541B0000}"/>
    <cellStyle name="40% - Énfasis4 2 2 2 4 2 4" xfId="9130" xr:uid="{00000000-0005-0000-0000-0000551B0000}"/>
    <cellStyle name="40% - Énfasis4 2 2 2 4 3" xfId="2519" xr:uid="{00000000-0005-0000-0000-0000561B0000}"/>
    <cellStyle name="40% - Énfasis4 2 2 2 4 3 2" xfId="6298" xr:uid="{00000000-0005-0000-0000-0000571B0000}"/>
    <cellStyle name="40% - Énfasis4 2 2 2 4 3 3" xfId="10074" xr:uid="{00000000-0005-0000-0000-0000581B0000}"/>
    <cellStyle name="40% - Énfasis4 2 2 2 4 4" xfId="4410" xr:uid="{00000000-0005-0000-0000-0000591B0000}"/>
    <cellStyle name="40% - Énfasis4 2 2 2 4 5" xfId="8186" xr:uid="{00000000-0005-0000-0000-00005A1B0000}"/>
    <cellStyle name="40% - Énfasis4 2 2 2 5" xfId="1101" xr:uid="{00000000-0005-0000-0000-00005B1B0000}"/>
    <cellStyle name="40% - Énfasis4 2 2 2 5 2" xfId="2991" xr:uid="{00000000-0005-0000-0000-00005C1B0000}"/>
    <cellStyle name="40% - Énfasis4 2 2 2 5 2 2" xfId="6770" xr:uid="{00000000-0005-0000-0000-00005D1B0000}"/>
    <cellStyle name="40% - Énfasis4 2 2 2 5 2 3" xfId="10546" xr:uid="{00000000-0005-0000-0000-00005E1B0000}"/>
    <cellStyle name="40% - Énfasis4 2 2 2 5 3" xfId="4882" xr:uid="{00000000-0005-0000-0000-00005F1B0000}"/>
    <cellStyle name="40% - Énfasis4 2 2 2 5 4" xfId="8658" xr:uid="{00000000-0005-0000-0000-0000601B0000}"/>
    <cellStyle name="40% - Énfasis4 2 2 2 6" xfId="2047" xr:uid="{00000000-0005-0000-0000-0000611B0000}"/>
    <cellStyle name="40% - Énfasis4 2 2 2 6 2" xfId="5826" xr:uid="{00000000-0005-0000-0000-0000621B0000}"/>
    <cellStyle name="40% - Énfasis4 2 2 2 6 3" xfId="9602" xr:uid="{00000000-0005-0000-0000-0000631B0000}"/>
    <cellStyle name="40% - Énfasis4 2 2 2 7" xfId="3938" xr:uid="{00000000-0005-0000-0000-0000641B0000}"/>
    <cellStyle name="40% - Énfasis4 2 2 2 8" xfId="7714" xr:uid="{00000000-0005-0000-0000-0000651B0000}"/>
    <cellStyle name="40% - Énfasis4 2 2 3" xfId="210" xr:uid="{00000000-0005-0000-0000-0000661B0000}"/>
    <cellStyle name="40% - Énfasis4 2 2 3 2" xfId="448" xr:uid="{00000000-0005-0000-0000-0000671B0000}"/>
    <cellStyle name="40% - Énfasis4 2 2 3 2 2" xfId="922" xr:uid="{00000000-0005-0000-0000-0000681B0000}"/>
    <cellStyle name="40% - Énfasis4 2 2 3 2 2 2" xfId="1868" xr:uid="{00000000-0005-0000-0000-0000691B0000}"/>
    <cellStyle name="40% - Énfasis4 2 2 3 2 2 2 2" xfId="3758" xr:uid="{00000000-0005-0000-0000-00006A1B0000}"/>
    <cellStyle name="40% - Énfasis4 2 2 3 2 2 2 2 2" xfId="7537" xr:uid="{00000000-0005-0000-0000-00006B1B0000}"/>
    <cellStyle name="40% - Énfasis4 2 2 3 2 2 2 2 3" xfId="11313" xr:uid="{00000000-0005-0000-0000-00006C1B0000}"/>
    <cellStyle name="40% - Énfasis4 2 2 3 2 2 2 3" xfId="5649" xr:uid="{00000000-0005-0000-0000-00006D1B0000}"/>
    <cellStyle name="40% - Énfasis4 2 2 3 2 2 2 4" xfId="9425" xr:uid="{00000000-0005-0000-0000-00006E1B0000}"/>
    <cellStyle name="40% - Énfasis4 2 2 3 2 2 3" xfId="2814" xr:uid="{00000000-0005-0000-0000-00006F1B0000}"/>
    <cellStyle name="40% - Énfasis4 2 2 3 2 2 3 2" xfId="6593" xr:uid="{00000000-0005-0000-0000-0000701B0000}"/>
    <cellStyle name="40% - Énfasis4 2 2 3 2 2 3 3" xfId="10369" xr:uid="{00000000-0005-0000-0000-0000711B0000}"/>
    <cellStyle name="40% - Énfasis4 2 2 3 2 2 4" xfId="4705" xr:uid="{00000000-0005-0000-0000-0000721B0000}"/>
    <cellStyle name="40% - Énfasis4 2 2 3 2 2 5" xfId="8481" xr:uid="{00000000-0005-0000-0000-0000731B0000}"/>
    <cellStyle name="40% - Énfasis4 2 2 3 2 3" xfId="1396" xr:uid="{00000000-0005-0000-0000-0000741B0000}"/>
    <cellStyle name="40% - Énfasis4 2 2 3 2 3 2" xfId="3286" xr:uid="{00000000-0005-0000-0000-0000751B0000}"/>
    <cellStyle name="40% - Énfasis4 2 2 3 2 3 2 2" xfId="7065" xr:uid="{00000000-0005-0000-0000-0000761B0000}"/>
    <cellStyle name="40% - Énfasis4 2 2 3 2 3 2 3" xfId="10841" xr:uid="{00000000-0005-0000-0000-0000771B0000}"/>
    <cellStyle name="40% - Énfasis4 2 2 3 2 3 3" xfId="5177" xr:uid="{00000000-0005-0000-0000-0000781B0000}"/>
    <cellStyle name="40% - Énfasis4 2 2 3 2 3 4" xfId="8953" xr:uid="{00000000-0005-0000-0000-0000791B0000}"/>
    <cellStyle name="40% - Énfasis4 2 2 3 2 4" xfId="2342" xr:uid="{00000000-0005-0000-0000-00007A1B0000}"/>
    <cellStyle name="40% - Énfasis4 2 2 3 2 4 2" xfId="6121" xr:uid="{00000000-0005-0000-0000-00007B1B0000}"/>
    <cellStyle name="40% - Énfasis4 2 2 3 2 4 3" xfId="9897" xr:uid="{00000000-0005-0000-0000-00007C1B0000}"/>
    <cellStyle name="40% - Énfasis4 2 2 3 2 5" xfId="4233" xr:uid="{00000000-0005-0000-0000-00007D1B0000}"/>
    <cellStyle name="40% - Énfasis4 2 2 3 2 6" xfId="8009" xr:uid="{00000000-0005-0000-0000-00007E1B0000}"/>
    <cellStyle name="40% - Énfasis4 2 2 3 3" xfId="686" xr:uid="{00000000-0005-0000-0000-00007F1B0000}"/>
    <cellStyle name="40% - Énfasis4 2 2 3 3 2" xfId="1632" xr:uid="{00000000-0005-0000-0000-0000801B0000}"/>
    <cellStyle name="40% - Énfasis4 2 2 3 3 2 2" xfId="3522" xr:uid="{00000000-0005-0000-0000-0000811B0000}"/>
    <cellStyle name="40% - Énfasis4 2 2 3 3 2 2 2" xfId="7301" xr:uid="{00000000-0005-0000-0000-0000821B0000}"/>
    <cellStyle name="40% - Énfasis4 2 2 3 3 2 2 3" xfId="11077" xr:uid="{00000000-0005-0000-0000-0000831B0000}"/>
    <cellStyle name="40% - Énfasis4 2 2 3 3 2 3" xfId="5413" xr:uid="{00000000-0005-0000-0000-0000841B0000}"/>
    <cellStyle name="40% - Énfasis4 2 2 3 3 2 4" xfId="9189" xr:uid="{00000000-0005-0000-0000-0000851B0000}"/>
    <cellStyle name="40% - Énfasis4 2 2 3 3 3" xfId="2578" xr:uid="{00000000-0005-0000-0000-0000861B0000}"/>
    <cellStyle name="40% - Énfasis4 2 2 3 3 3 2" xfId="6357" xr:uid="{00000000-0005-0000-0000-0000871B0000}"/>
    <cellStyle name="40% - Énfasis4 2 2 3 3 3 3" xfId="10133" xr:uid="{00000000-0005-0000-0000-0000881B0000}"/>
    <cellStyle name="40% - Énfasis4 2 2 3 3 4" xfId="4469" xr:uid="{00000000-0005-0000-0000-0000891B0000}"/>
    <cellStyle name="40% - Énfasis4 2 2 3 3 5" xfId="8245" xr:uid="{00000000-0005-0000-0000-00008A1B0000}"/>
    <cellStyle name="40% - Énfasis4 2 2 3 4" xfId="1160" xr:uid="{00000000-0005-0000-0000-00008B1B0000}"/>
    <cellStyle name="40% - Énfasis4 2 2 3 4 2" xfId="3050" xr:uid="{00000000-0005-0000-0000-00008C1B0000}"/>
    <cellStyle name="40% - Énfasis4 2 2 3 4 2 2" xfId="6829" xr:uid="{00000000-0005-0000-0000-00008D1B0000}"/>
    <cellStyle name="40% - Énfasis4 2 2 3 4 2 3" xfId="10605" xr:uid="{00000000-0005-0000-0000-00008E1B0000}"/>
    <cellStyle name="40% - Énfasis4 2 2 3 4 3" xfId="4941" xr:uid="{00000000-0005-0000-0000-00008F1B0000}"/>
    <cellStyle name="40% - Énfasis4 2 2 3 4 4" xfId="8717" xr:uid="{00000000-0005-0000-0000-0000901B0000}"/>
    <cellStyle name="40% - Énfasis4 2 2 3 5" xfId="2106" xr:uid="{00000000-0005-0000-0000-0000911B0000}"/>
    <cellStyle name="40% - Énfasis4 2 2 3 5 2" xfId="5885" xr:uid="{00000000-0005-0000-0000-0000921B0000}"/>
    <cellStyle name="40% - Énfasis4 2 2 3 5 3" xfId="9661" xr:uid="{00000000-0005-0000-0000-0000931B0000}"/>
    <cellStyle name="40% - Énfasis4 2 2 3 6" xfId="3997" xr:uid="{00000000-0005-0000-0000-0000941B0000}"/>
    <cellStyle name="40% - Énfasis4 2 2 3 7" xfId="7773" xr:uid="{00000000-0005-0000-0000-0000951B0000}"/>
    <cellStyle name="40% - Énfasis4 2 2 4" xfId="330" xr:uid="{00000000-0005-0000-0000-0000961B0000}"/>
    <cellStyle name="40% - Énfasis4 2 2 4 2" xfId="804" xr:uid="{00000000-0005-0000-0000-0000971B0000}"/>
    <cellStyle name="40% - Énfasis4 2 2 4 2 2" xfId="1750" xr:uid="{00000000-0005-0000-0000-0000981B0000}"/>
    <cellStyle name="40% - Énfasis4 2 2 4 2 2 2" xfId="3640" xr:uid="{00000000-0005-0000-0000-0000991B0000}"/>
    <cellStyle name="40% - Énfasis4 2 2 4 2 2 2 2" xfId="7419" xr:uid="{00000000-0005-0000-0000-00009A1B0000}"/>
    <cellStyle name="40% - Énfasis4 2 2 4 2 2 2 3" xfId="11195" xr:uid="{00000000-0005-0000-0000-00009B1B0000}"/>
    <cellStyle name="40% - Énfasis4 2 2 4 2 2 3" xfId="5531" xr:uid="{00000000-0005-0000-0000-00009C1B0000}"/>
    <cellStyle name="40% - Énfasis4 2 2 4 2 2 4" xfId="9307" xr:uid="{00000000-0005-0000-0000-00009D1B0000}"/>
    <cellStyle name="40% - Énfasis4 2 2 4 2 3" xfId="2696" xr:uid="{00000000-0005-0000-0000-00009E1B0000}"/>
    <cellStyle name="40% - Énfasis4 2 2 4 2 3 2" xfId="6475" xr:uid="{00000000-0005-0000-0000-00009F1B0000}"/>
    <cellStyle name="40% - Énfasis4 2 2 4 2 3 3" xfId="10251" xr:uid="{00000000-0005-0000-0000-0000A01B0000}"/>
    <cellStyle name="40% - Énfasis4 2 2 4 2 4" xfId="4587" xr:uid="{00000000-0005-0000-0000-0000A11B0000}"/>
    <cellStyle name="40% - Énfasis4 2 2 4 2 5" xfId="8363" xr:uid="{00000000-0005-0000-0000-0000A21B0000}"/>
    <cellStyle name="40% - Énfasis4 2 2 4 3" xfId="1278" xr:uid="{00000000-0005-0000-0000-0000A31B0000}"/>
    <cellStyle name="40% - Énfasis4 2 2 4 3 2" xfId="3168" xr:uid="{00000000-0005-0000-0000-0000A41B0000}"/>
    <cellStyle name="40% - Énfasis4 2 2 4 3 2 2" xfId="6947" xr:uid="{00000000-0005-0000-0000-0000A51B0000}"/>
    <cellStyle name="40% - Énfasis4 2 2 4 3 2 3" xfId="10723" xr:uid="{00000000-0005-0000-0000-0000A61B0000}"/>
    <cellStyle name="40% - Énfasis4 2 2 4 3 3" xfId="5059" xr:uid="{00000000-0005-0000-0000-0000A71B0000}"/>
    <cellStyle name="40% - Énfasis4 2 2 4 3 4" xfId="8835" xr:uid="{00000000-0005-0000-0000-0000A81B0000}"/>
    <cellStyle name="40% - Énfasis4 2 2 4 4" xfId="2224" xr:uid="{00000000-0005-0000-0000-0000A91B0000}"/>
    <cellStyle name="40% - Énfasis4 2 2 4 4 2" xfId="6003" xr:uid="{00000000-0005-0000-0000-0000AA1B0000}"/>
    <cellStyle name="40% - Énfasis4 2 2 4 4 3" xfId="9779" xr:uid="{00000000-0005-0000-0000-0000AB1B0000}"/>
    <cellStyle name="40% - Énfasis4 2 2 4 5" xfId="4115" xr:uid="{00000000-0005-0000-0000-0000AC1B0000}"/>
    <cellStyle name="40% - Énfasis4 2 2 4 6" xfId="7891" xr:uid="{00000000-0005-0000-0000-0000AD1B0000}"/>
    <cellStyle name="40% - Énfasis4 2 2 5" xfId="568" xr:uid="{00000000-0005-0000-0000-0000AE1B0000}"/>
    <cellStyle name="40% - Énfasis4 2 2 5 2" xfId="1514" xr:uid="{00000000-0005-0000-0000-0000AF1B0000}"/>
    <cellStyle name="40% - Énfasis4 2 2 5 2 2" xfId="3404" xr:uid="{00000000-0005-0000-0000-0000B01B0000}"/>
    <cellStyle name="40% - Énfasis4 2 2 5 2 2 2" xfId="7183" xr:uid="{00000000-0005-0000-0000-0000B11B0000}"/>
    <cellStyle name="40% - Énfasis4 2 2 5 2 2 3" xfId="10959" xr:uid="{00000000-0005-0000-0000-0000B21B0000}"/>
    <cellStyle name="40% - Énfasis4 2 2 5 2 3" xfId="5295" xr:uid="{00000000-0005-0000-0000-0000B31B0000}"/>
    <cellStyle name="40% - Énfasis4 2 2 5 2 4" xfId="9071" xr:uid="{00000000-0005-0000-0000-0000B41B0000}"/>
    <cellStyle name="40% - Énfasis4 2 2 5 3" xfId="2460" xr:uid="{00000000-0005-0000-0000-0000B51B0000}"/>
    <cellStyle name="40% - Énfasis4 2 2 5 3 2" xfId="6239" xr:uid="{00000000-0005-0000-0000-0000B61B0000}"/>
    <cellStyle name="40% - Énfasis4 2 2 5 3 3" xfId="10015" xr:uid="{00000000-0005-0000-0000-0000B71B0000}"/>
    <cellStyle name="40% - Énfasis4 2 2 5 4" xfId="4351" xr:uid="{00000000-0005-0000-0000-0000B81B0000}"/>
    <cellStyle name="40% - Énfasis4 2 2 5 5" xfId="8127" xr:uid="{00000000-0005-0000-0000-0000B91B0000}"/>
    <cellStyle name="40% - Énfasis4 2 2 6" xfId="1042" xr:uid="{00000000-0005-0000-0000-0000BA1B0000}"/>
    <cellStyle name="40% - Énfasis4 2 2 6 2" xfId="2932" xr:uid="{00000000-0005-0000-0000-0000BB1B0000}"/>
    <cellStyle name="40% - Énfasis4 2 2 6 2 2" xfId="6711" xr:uid="{00000000-0005-0000-0000-0000BC1B0000}"/>
    <cellStyle name="40% - Énfasis4 2 2 6 2 3" xfId="10487" xr:uid="{00000000-0005-0000-0000-0000BD1B0000}"/>
    <cellStyle name="40% - Énfasis4 2 2 6 3" xfId="4823" xr:uid="{00000000-0005-0000-0000-0000BE1B0000}"/>
    <cellStyle name="40% - Énfasis4 2 2 6 4" xfId="8599" xr:uid="{00000000-0005-0000-0000-0000BF1B0000}"/>
    <cellStyle name="40% - Énfasis4 2 2 7" xfId="1988" xr:uid="{00000000-0005-0000-0000-0000C01B0000}"/>
    <cellStyle name="40% - Énfasis4 2 2 7 2" xfId="5767" xr:uid="{00000000-0005-0000-0000-0000C11B0000}"/>
    <cellStyle name="40% - Énfasis4 2 2 7 3" xfId="9543" xr:uid="{00000000-0005-0000-0000-0000C21B0000}"/>
    <cellStyle name="40% - Énfasis4 2 2 8" xfId="3879" xr:uid="{00000000-0005-0000-0000-0000C31B0000}"/>
    <cellStyle name="40% - Énfasis4 2 2 9" xfId="7655" xr:uid="{00000000-0005-0000-0000-0000C41B0000}"/>
    <cellStyle name="40% - Énfasis4 2 3" xfId="117" xr:uid="{00000000-0005-0000-0000-0000C51B0000}"/>
    <cellStyle name="40% - Énfasis4 2 3 2" xfId="240" xr:uid="{00000000-0005-0000-0000-0000C61B0000}"/>
    <cellStyle name="40% - Énfasis4 2 3 2 2" xfId="478" xr:uid="{00000000-0005-0000-0000-0000C71B0000}"/>
    <cellStyle name="40% - Énfasis4 2 3 2 2 2" xfId="952" xr:uid="{00000000-0005-0000-0000-0000C81B0000}"/>
    <cellStyle name="40% - Énfasis4 2 3 2 2 2 2" xfId="1898" xr:uid="{00000000-0005-0000-0000-0000C91B0000}"/>
    <cellStyle name="40% - Énfasis4 2 3 2 2 2 2 2" xfId="3788" xr:uid="{00000000-0005-0000-0000-0000CA1B0000}"/>
    <cellStyle name="40% - Énfasis4 2 3 2 2 2 2 2 2" xfId="7567" xr:uid="{00000000-0005-0000-0000-0000CB1B0000}"/>
    <cellStyle name="40% - Énfasis4 2 3 2 2 2 2 2 3" xfId="11343" xr:uid="{00000000-0005-0000-0000-0000CC1B0000}"/>
    <cellStyle name="40% - Énfasis4 2 3 2 2 2 2 3" xfId="5679" xr:uid="{00000000-0005-0000-0000-0000CD1B0000}"/>
    <cellStyle name="40% - Énfasis4 2 3 2 2 2 2 4" xfId="9455" xr:uid="{00000000-0005-0000-0000-0000CE1B0000}"/>
    <cellStyle name="40% - Énfasis4 2 3 2 2 2 3" xfId="2844" xr:uid="{00000000-0005-0000-0000-0000CF1B0000}"/>
    <cellStyle name="40% - Énfasis4 2 3 2 2 2 3 2" xfId="6623" xr:uid="{00000000-0005-0000-0000-0000D01B0000}"/>
    <cellStyle name="40% - Énfasis4 2 3 2 2 2 3 3" xfId="10399" xr:uid="{00000000-0005-0000-0000-0000D11B0000}"/>
    <cellStyle name="40% - Énfasis4 2 3 2 2 2 4" xfId="4735" xr:uid="{00000000-0005-0000-0000-0000D21B0000}"/>
    <cellStyle name="40% - Énfasis4 2 3 2 2 2 5" xfId="8511" xr:uid="{00000000-0005-0000-0000-0000D31B0000}"/>
    <cellStyle name="40% - Énfasis4 2 3 2 2 3" xfId="1426" xr:uid="{00000000-0005-0000-0000-0000D41B0000}"/>
    <cellStyle name="40% - Énfasis4 2 3 2 2 3 2" xfId="3316" xr:uid="{00000000-0005-0000-0000-0000D51B0000}"/>
    <cellStyle name="40% - Énfasis4 2 3 2 2 3 2 2" xfId="7095" xr:uid="{00000000-0005-0000-0000-0000D61B0000}"/>
    <cellStyle name="40% - Énfasis4 2 3 2 2 3 2 3" xfId="10871" xr:uid="{00000000-0005-0000-0000-0000D71B0000}"/>
    <cellStyle name="40% - Énfasis4 2 3 2 2 3 3" xfId="5207" xr:uid="{00000000-0005-0000-0000-0000D81B0000}"/>
    <cellStyle name="40% - Énfasis4 2 3 2 2 3 4" xfId="8983" xr:uid="{00000000-0005-0000-0000-0000D91B0000}"/>
    <cellStyle name="40% - Énfasis4 2 3 2 2 4" xfId="2372" xr:uid="{00000000-0005-0000-0000-0000DA1B0000}"/>
    <cellStyle name="40% - Énfasis4 2 3 2 2 4 2" xfId="6151" xr:uid="{00000000-0005-0000-0000-0000DB1B0000}"/>
    <cellStyle name="40% - Énfasis4 2 3 2 2 4 3" xfId="9927" xr:uid="{00000000-0005-0000-0000-0000DC1B0000}"/>
    <cellStyle name="40% - Énfasis4 2 3 2 2 5" xfId="4263" xr:uid="{00000000-0005-0000-0000-0000DD1B0000}"/>
    <cellStyle name="40% - Énfasis4 2 3 2 2 6" xfId="8039" xr:uid="{00000000-0005-0000-0000-0000DE1B0000}"/>
    <cellStyle name="40% - Énfasis4 2 3 2 3" xfId="716" xr:uid="{00000000-0005-0000-0000-0000DF1B0000}"/>
    <cellStyle name="40% - Énfasis4 2 3 2 3 2" xfId="1662" xr:uid="{00000000-0005-0000-0000-0000E01B0000}"/>
    <cellStyle name="40% - Énfasis4 2 3 2 3 2 2" xfId="3552" xr:uid="{00000000-0005-0000-0000-0000E11B0000}"/>
    <cellStyle name="40% - Énfasis4 2 3 2 3 2 2 2" xfId="7331" xr:uid="{00000000-0005-0000-0000-0000E21B0000}"/>
    <cellStyle name="40% - Énfasis4 2 3 2 3 2 2 3" xfId="11107" xr:uid="{00000000-0005-0000-0000-0000E31B0000}"/>
    <cellStyle name="40% - Énfasis4 2 3 2 3 2 3" xfId="5443" xr:uid="{00000000-0005-0000-0000-0000E41B0000}"/>
    <cellStyle name="40% - Énfasis4 2 3 2 3 2 4" xfId="9219" xr:uid="{00000000-0005-0000-0000-0000E51B0000}"/>
    <cellStyle name="40% - Énfasis4 2 3 2 3 3" xfId="2608" xr:uid="{00000000-0005-0000-0000-0000E61B0000}"/>
    <cellStyle name="40% - Énfasis4 2 3 2 3 3 2" xfId="6387" xr:uid="{00000000-0005-0000-0000-0000E71B0000}"/>
    <cellStyle name="40% - Énfasis4 2 3 2 3 3 3" xfId="10163" xr:uid="{00000000-0005-0000-0000-0000E81B0000}"/>
    <cellStyle name="40% - Énfasis4 2 3 2 3 4" xfId="4499" xr:uid="{00000000-0005-0000-0000-0000E91B0000}"/>
    <cellStyle name="40% - Énfasis4 2 3 2 3 5" xfId="8275" xr:uid="{00000000-0005-0000-0000-0000EA1B0000}"/>
    <cellStyle name="40% - Énfasis4 2 3 2 4" xfId="1190" xr:uid="{00000000-0005-0000-0000-0000EB1B0000}"/>
    <cellStyle name="40% - Énfasis4 2 3 2 4 2" xfId="3080" xr:uid="{00000000-0005-0000-0000-0000EC1B0000}"/>
    <cellStyle name="40% - Énfasis4 2 3 2 4 2 2" xfId="6859" xr:uid="{00000000-0005-0000-0000-0000ED1B0000}"/>
    <cellStyle name="40% - Énfasis4 2 3 2 4 2 3" xfId="10635" xr:uid="{00000000-0005-0000-0000-0000EE1B0000}"/>
    <cellStyle name="40% - Énfasis4 2 3 2 4 3" xfId="4971" xr:uid="{00000000-0005-0000-0000-0000EF1B0000}"/>
    <cellStyle name="40% - Énfasis4 2 3 2 4 4" xfId="8747" xr:uid="{00000000-0005-0000-0000-0000F01B0000}"/>
    <cellStyle name="40% - Énfasis4 2 3 2 5" xfId="2136" xr:uid="{00000000-0005-0000-0000-0000F11B0000}"/>
    <cellStyle name="40% - Énfasis4 2 3 2 5 2" xfId="5915" xr:uid="{00000000-0005-0000-0000-0000F21B0000}"/>
    <cellStyle name="40% - Énfasis4 2 3 2 5 3" xfId="9691" xr:uid="{00000000-0005-0000-0000-0000F31B0000}"/>
    <cellStyle name="40% - Énfasis4 2 3 2 6" xfId="4027" xr:uid="{00000000-0005-0000-0000-0000F41B0000}"/>
    <cellStyle name="40% - Énfasis4 2 3 2 7" xfId="7803" xr:uid="{00000000-0005-0000-0000-0000F51B0000}"/>
    <cellStyle name="40% - Énfasis4 2 3 3" xfId="360" xr:uid="{00000000-0005-0000-0000-0000F61B0000}"/>
    <cellStyle name="40% - Énfasis4 2 3 3 2" xfId="834" xr:uid="{00000000-0005-0000-0000-0000F71B0000}"/>
    <cellStyle name="40% - Énfasis4 2 3 3 2 2" xfId="1780" xr:uid="{00000000-0005-0000-0000-0000F81B0000}"/>
    <cellStyle name="40% - Énfasis4 2 3 3 2 2 2" xfId="3670" xr:uid="{00000000-0005-0000-0000-0000F91B0000}"/>
    <cellStyle name="40% - Énfasis4 2 3 3 2 2 2 2" xfId="7449" xr:uid="{00000000-0005-0000-0000-0000FA1B0000}"/>
    <cellStyle name="40% - Énfasis4 2 3 3 2 2 2 3" xfId="11225" xr:uid="{00000000-0005-0000-0000-0000FB1B0000}"/>
    <cellStyle name="40% - Énfasis4 2 3 3 2 2 3" xfId="5561" xr:uid="{00000000-0005-0000-0000-0000FC1B0000}"/>
    <cellStyle name="40% - Énfasis4 2 3 3 2 2 4" xfId="9337" xr:uid="{00000000-0005-0000-0000-0000FD1B0000}"/>
    <cellStyle name="40% - Énfasis4 2 3 3 2 3" xfId="2726" xr:uid="{00000000-0005-0000-0000-0000FE1B0000}"/>
    <cellStyle name="40% - Énfasis4 2 3 3 2 3 2" xfId="6505" xr:uid="{00000000-0005-0000-0000-0000FF1B0000}"/>
    <cellStyle name="40% - Énfasis4 2 3 3 2 3 3" xfId="10281" xr:uid="{00000000-0005-0000-0000-0000001C0000}"/>
    <cellStyle name="40% - Énfasis4 2 3 3 2 4" xfId="4617" xr:uid="{00000000-0005-0000-0000-0000011C0000}"/>
    <cellStyle name="40% - Énfasis4 2 3 3 2 5" xfId="8393" xr:uid="{00000000-0005-0000-0000-0000021C0000}"/>
    <cellStyle name="40% - Énfasis4 2 3 3 3" xfId="1308" xr:uid="{00000000-0005-0000-0000-0000031C0000}"/>
    <cellStyle name="40% - Énfasis4 2 3 3 3 2" xfId="3198" xr:uid="{00000000-0005-0000-0000-0000041C0000}"/>
    <cellStyle name="40% - Énfasis4 2 3 3 3 2 2" xfId="6977" xr:uid="{00000000-0005-0000-0000-0000051C0000}"/>
    <cellStyle name="40% - Énfasis4 2 3 3 3 2 3" xfId="10753" xr:uid="{00000000-0005-0000-0000-0000061C0000}"/>
    <cellStyle name="40% - Énfasis4 2 3 3 3 3" xfId="5089" xr:uid="{00000000-0005-0000-0000-0000071C0000}"/>
    <cellStyle name="40% - Énfasis4 2 3 3 3 4" xfId="8865" xr:uid="{00000000-0005-0000-0000-0000081C0000}"/>
    <cellStyle name="40% - Énfasis4 2 3 3 4" xfId="2254" xr:uid="{00000000-0005-0000-0000-0000091C0000}"/>
    <cellStyle name="40% - Énfasis4 2 3 3 4 2" xfId="6033" xr:uid="{00000000-0005-0000-0000-00000A1C0000}"/>
    <cellStyle name="40% - Énfasis4 2 3 3 4 3" xfId="9809" xr:uid="{00000000-0005-0000-0000-00000B1C0000}"/>
    <cellStyle name="40% - Énfasis4 2 3 3 5" xfId="4145" xr:uid="{00000000-0005-0000-0000-00000C1C0000}"/>
    <cellStyle name="40% - Énfasis4 2 3 3 6" xfId="7921" xr:uid="{00000000-0005-0000-0000-00000D1C0000}"/>
    <cellStyle name="40% - Énfasis4 2 3 4" xfId="598" xr:uid="{00000000-0005-0000-0000-00000E1C0000}"/>
    <cellStyle name="40% - Énfasis4 2 3 4 2" xfId="1544" xr:uid="{00000000-0005-0000-0000-00000F1C0000}"/>
    <cellStyle name="40% - Énfasis4 2 3 4 2 2" xfId="3434" xr:uid="{00000000-0005-0000-0000-0000101C0000}"/>
    <cellStyle name="40% - Énfasis4 2 3 4 2 2 2" xfId="7213" xr:uid="{00000000-0005-0000-0000-0000111C0000}"/>
    <cellStyle name="40% - Énfasis4 2 3 4 2 2 3" xfId="10989" xr:uid="{00000000-0005-0000-0000-0000121C0000}"/>
    <cellStyle name="40% - Énfasis4 2 3 4 2 3" xfId="5325" xr:uid="{00000000-0005-0000-0000-0000131C0000}"/>
    <cellStyle name="40% - Énfasis4 2 3 4 2 4" xfId="9101" xr:uid="{00000000-0005-0000-0000-0000141C0000}"/>
    <cellStyle name="40% - Énfasis4 2 3 4 3" xfId="2490" xr:uid="{00000000-0005-0000-0000-0000151C0000}"/>
    <cellStyle name="40% - Énfasis4 2 3 4 3 2" xfId="6269" xr:uid="{00000000-0005-0000-0000-0000161C0000}"/>
    <cellStyle name="40% - Énfasis4 2 3 4 3 3" xfId="10045" xr:uid="{00000000-0005-0000-0000-0000171C0000}"/>
    <cellStyle name="40% - Énfasis4 2 3 4 4" xfId="4381" xr:uid="{00000000-0005-0000-0000-0000181C0000}"/>
    <cellStyle name="40% - Énfasis4 2 3 4 5" xfId="8157" xr:uid="{00000000-0005-0000-0000-0000191C0000}"/>
    <cellStyle name="40% - Énfasis4 2 3 5" xfId="1072" xr:uid="{00000000-0005-0000-0000-00001A1C0000}"/>
    <cellStyle name="40% - Énfasis4 2 3 5 2" xfId="2962" xr:uid="{00000000-0005-0000-0000-00001B1C0000}"/>
    <cellStyle name="40% - Énfasis4 2 3 5 2 2" xfId="6741" xr:uid="{00000000-0005-0000-0000-00001C1C0000}"/>
    <cellStyle name="40% - Énfasis4 2 3 5 2 3" xfId="10517" xr:uid="{00000000-0005-0000-0000-00001D1C0000}"/>
    <cellStyle name="40% - Énfasis4 2 3 5 3" xfId="4853" xr:uid="{00000000-0005-0000-0000-00001E1C0000}"/>
    <cellStyle name="40% - Énfasis4 2 3 5 4" xfId="8629" xr:uid="{00000000-0005-0000-0000-00001F1C0000}"/>
    <cellStyle name="40% - Énfasis4 2 3 6" xfId="2018" xr:uid="{00000000-0005-0000-0000-0000201C0000}"/>
    <cellStyle name="40% - Énfasis4 2 3 6 2" xfId="5797" xr:uid="{00000000-0005-0000-0000-0000211C0000}"/>
    <cellStyle name="40% - Énfasis4 2 3 6 3" xfId="9573" xr:uid="{00000000-0005-0000-0000-0000221C0000}"/>
    <cellStyle name="40% - Énfasis4 2 3 7" xfId="3909" xr:uid="{00000000-0005-0000-0000-0000231C0000}"/>
    <cellStyle name="40% - Énfasis4 2 3 8" xfId="7685" xr:uid="{00000000-0005-0000-0000-0000241C0000}"/>
    <cellStyle name="40% - Énfasis4 2 4" xfId="181" xr:uid="{00000000-0005-0000-0000-0000251C0000}"/>
    <cellStyle name="40% - Énfasis4 2 4 2" xfId="419" xr:uid="{00000000-0005-0000-0000-0000261C0000}"/>
    <cellStyle name="40% - Énfasis4 2 4 2 2" xfId="893" xr:uid="{00000000-0005-0000-0000-0000271C0000}"/>
    <cellStyle name="40% - Énfasis4 2 4 2 2 2" xfId="1839" xr:uid="{00000000-0005-0000-0000-0000281C0000}"/>
    <cellStyle name="40% - Énfasis4 2 4 2 2 2 2" xfId="3729" xr:uid="{00000000-0005-0000-0000-0000291C0000}"/>
    <cellStyle name="40% - Énfasis4 2 4 2 2 2 2 2" xfId="7508" xr:uid="{00000000-0005-0000-0000-00002A1C0000}"/>
    <cellStyle name="40% - Énfasis4 2 4 2 2 2 2 3" xfId="11284" xr:uid="{00000000-0005-0000-0000-00002B1C0000}"/>
    <cellStyle name="40% - Énfasis4 2 4 2 2 2 3" xfId="5620" xr:uid="{00000000-0005-0000-0000-00002C1C0000}"/>
    <cellStyle name="40% - Énfasis4 2 4 2 2 2 4" xfId="9396" xr:uid="{00000000-0005-0000-0000-00002D1C0000}"/>
    <cellStyle name="40% - Énfasis4 2 4 2 2 3" xfId="2785" xr:uid="{00000000-0005-0000-0000-00002E1C0000}"/>
    <cellStyle name="40% - Énfasis4 2 4 2 2 3 2" xfId="6564" xr:uid="{00000000-0005-0000-0000-00002F1C0000}"/>
    <cellStyle name="40% - Énfasis4 2 4 2 2 3 3" xfId="10340" xr:uid="{00000000-0005-0000-0000-0000301C0000}"/>
    <cellStyle name="40% - Énfasis4 2 4 2 2 4" xfId="4676" xr:uid="{00000000-0005-0000-0000-0000311C0000}"/>
    <cellStyle name="40% - Énfasis4 2 4 2 2 5" xfId="8452" xr:uid="{00000000-0005-0000-0000-0000321C0000}"/>
    <cellStyle name="40% - Énfasis4 2 4 2 3" xfId="1367" xr:uid="{00000000-0005-0000-0000-0000331C0000}"/>
    <cellStyle name="40% - Énfasis4 2 4 2 3 2" xfId="3257" xr:uid="{00000000-0005-0000-0000-0000341C0000}"/>
    <cellStyle name="40% - Énfasis4 2 4 2 3 2 2" xfId="7036" xr:uid="{00000000-0005-0000-0000-0000351C0000}"/>
    <cellStyle name="40% - Énfasis4 2 4 2 3 2 3" xfId="10812" xr:uid="{00000000-0005-0000-0000-0000361C0000}"/>
    <cellStyle name="40% - Énfasis4 2 4 2 3 3" xfId="5148" xr:uid="{00000000-0005-0000-0000-0000371C0000}"/>
    <cellStyle name="40% - Énfasis4 2 4 2 3 4" xfId="8924" xr:uid="{00000000-0005-0000-0000-0000381C0000}"/>
    <cellStyle name="40% - Énfasis4 2 4 2 4" xfId="2313" xr:uid="{00000000-0005-0000-0000-0000391C0000}"/>
    <cellStyle name="40% - Énfasis4 2 4 2 4 2" xfId="6092" xr:uid="{00000000-0005-0000-0000-00003A1C0000}"/>
    <cellStyle name="40% - Énfasis4 2 4 2 4 3" xfId="9868" xr:uid="{00000000-0005-0000-0000-00003B1C0000}"/>
    <cellStyle name="40% - Énfasis4 2 4 2 5" xfId="4204" xr:uid="{00000000-0005-0000-0000-00003C1C0000}"/>
    <cellStyle name="40% - Énfasis4 2 4 2 6" xfId="7980" xr:uid="{00000000-0005-0000-0000-00003D1C0000}"/>
    <cellStyle name="40% - Énfasis4 2 4 3" xfId="657" xr:uid="{00000000-0005-0000-0000-00003E1C0000}"/>
    <cellStyle name="40% - Énfasis4 2 4 3 2" xfId="1603" xr:uid="{00000000-0005-0000-0000-00003F1C0000}"/>
    <cellStyle name="40% - Énfasis4 2 4 3 2 2" xfId="3493" xr:uid="{00000000-0005-0000-0000-0000401C0000}"/>
    <cellStyle name="40% - Énfasis4 2 4 3 2 2 2" xfId="7272" xr:uid="{00000000-0005-0000-0000-0000411C0000}"/>
    <cellStyle name="40% - Énfasis4 2 4 3 2 2 3" xfId="11048" xr:uid="{00000000-0005-0000-0000-0000421C0000}"/>
    <cellStyle name="40% - Énfasis4 2 4 3 2 3" xfId="5384" xr:uid="{00000000-0005-0000-0000-0000431C0000}"/>
    <cellStyle name="40% - Énfasis4 2 4 3 2 4" xfId="9160" xr:uid="{00000000-0005-0000-0000-0000441C0000}"/>
    <cellStyle name="40% - Énfasis4 2 4 3 3" xfId="2549" xr:uid="{00000000-0005-0000-0000-0000451C0000}"/>
    <cellStyle name="40% - Énfasis4 2 4 3 3 2" xfId="6328" xr:uid="{00000000-0005-0000-0000-0000461C0000}"/>
    <cellStyle name="40% - Énfasis4 2 4 3 3 3" xfId="10104" xr:uid="{00000000-0005-0000-0000-0000471C0000}"/>
    <cellStyle name="40% - Énfasis4 2 4 3 4" xfId="4440" xr:uid="{00000000-0005-0000-0000-0000481C0000}"/>
    <cellStyle name="40% - Énfasis4 2 4 3 5" xfId="8216" xr:uid="{00000000-0005-0000-0000-0000491C0000}"/>
    <cellStyle name="40% - Énfasis4 2 4 4" xfId="1131" xr:uid="{00000000-0005-0000-0000-00004A1C0000}"/>
    <cellStyle name="40% - Énfasis4 2 4 4 2" xfId="3021" xr:uid="{00000000-0005-0000-0000-00004B1C0000}"/>
    <cellStyle name="40% - Énfasis4 2 4 4 2 2" xfId="6800" xr:uid="{00000000-0005-0000-0000-00004C1C0000}"/>
    <cellStyle name="40% - Énfasis4 2 4 4 2 3" xfId="10576" xr:uid="{00000000-0005-0000-0000-00004D1C0000}"/>
    <cellStyle name="40% - Énfasis4 2 4 4 3" xfId="4912" xr:uid="{00000000-0005-0000-0000-00004E1C0000}"/>
    <cellStyle name="40% - Énfasis4 2 4 4 4" xfId="8688" xr:uid="{00000000-0005-0000-0000-00004F1C0000}"/>
    <cellStyle name="40% - Énfasis4 2 4 5" xfId="2077" xr:uid="{00000000-0005-0000-0000-0000501C0000}"/>
    <cellStyle name="40% - Énfasis4 2 4 5 2" xfId="5856" xr:uid="{00000000-0005-0000-0000-0000511C0000}"/>
    <cellStyle name="40% - Énfasis4 2 4 5 3" xfId="9632" xr:uid="{00000000-0005-0000-0000-0000521C0000}"/>
    <cellStyle name="40% - Énfasis4 2 4 6" xfId="3968" xr:uid="{00000000-0005-0000-0000-0000531C0000}"/>
    <cellStyle name="40% - Énfasis4 2 4 7" xfId="7744" xr:uid="{00000000-0005-0000-0000-0000541C0000}"/>
    <cellStyle name="40% - Énfasis4 2 5" xfId="301" xr:uid="{00000000-0005-0000-0000-0000551C0000}"/>
    <cellStyle name="40% - Énfasis4 2 5 2" xfId="775" xr:uid="{00000000-0005-0000-0000-0000561C0000}"/>
    <cellStyle name="40% - Énfasis4 2 5 2 2" xfId="1721" xr:uid="{00000000-0005-0000-0000-0000571C0000}"/>
    <cellStyle name="40% - Énfasis4 2 5 2 2 2" xfId="3611" xr:uid="{00000000-0005-0000-0000-0000581C0000}"/>
    <cellStyle name="40% - Énfasis4 2 5 2 2 2 2" xfId="7390" xr:uid="{00000000-0005-0000-0000-0000591C0000}"/>
    <cellStyle name="40% - Énfasis4 2 5 2 2 2 3" xfId="11166" xr:uid="{00000000-0005-0000-0000-00005A1C0000}"/>
    <cellStyle name="40% - Énfasis4 2 5 2 2 3" xfId="5502" xr:uid="{00000000-0005-0000-0000-00005B1C0000}"/>
    <cellStyle name="40% - Énfasis4 2 5 2 2 4" xfId="9278" xr:uid="{00000000-0005-0000-0000-00005C1C0000}"/>
    <cellStyle name="40% - Énfasis4 2 5 2 3" xfId="2667" xr:uid="{00000000-0005-0000-0000-00005D1C0000}"/>
    <cellStyle name="40% - Énfasis4 2 5 2 3 2" xfId="6446" xr:uid="{00000000-0005-0000-0000-00005E1C0000}"/>
    <cellStyle name="40% - Énfasis4 2 5 2 3 3" xfId="10222" xr:uid="{00000000-0005-0000-0000-00005F1C0000}"/>
    <cellStyle name="40% - Énfasis4 2 5 2 4" xfId="4558" xr:uid="{00000000-0005-0000-0000-0000601C0000}"/>
    <cellStyle name="40% - Énfasis4 2 5 2 5" xfId="8334" xr:uid="{00000000-0005-0000-0000-0000611C0000}"/>
    <cellStyle name="40% - Énfasis4 2 5 3" xfId="1249" xr:uid="{00000000-0005-0000-0000-0000621C0000}"/>
    <cellStyle name="40% - Énfasis4 2 5 3 2" xfId="3139" xr:uid="{00000000-0005-0000-0000-0000631C0000}"/>
    <cellStyle name="40% - Énfasis4 2 5 3 2 2" xfId="6918" xr:uid="{00000000-0005-0000-0000-0000641C0000}"/>
    <cellStyle name="40% - Énfasis4 2 5 3 2 3" xfId="10694" xr:uid="{00000000-0005-0000-0000-0000651C0000}"/>
    <cellStyle name="40% - Énfasis4 2 5 3 3" xfId="5030" xr:uid="{00000000-0005-0000-0000-0000661C0000}"/>
    <cellStyle name="40% - Énfasis4 2 5 3 4" xfId="8806" xr:uid="{00000000-0005-0000-0000-0000671C0000}"/>
    <cellStyle name="40% - Énfasis4 2 5 4" xfId="2195" xr:uid="{00000000-0005-0000-0000-0000681C0000}"/>
    <cellStyle name="40% - Énfasis4 2 5 4 2" xfId="5974" xr:uid="{00000000-0005-0000-0000-0000691C0000}"/>
    <cellStyle name="40% - Énfasis4 2 5 4 3" xfId="9750" xr:uid="{00000000-0005-0000-0000-00006A1C0000}"/>
    <cellStyle name="40% - Énfasis4 2 5 5" xfId="4086" xr:uid="{00000000-0005-0000-0000-00006B1C0000}"/>
    <cellStyle name="40% - Énfasis4 2 5 6" xfId="7862" xr:uid="{00000000-0005-0000-0000-00006C1C0000}"/>
    <cellStyle name="40% - Énfasis4 2 6" xfId="539" xr:uid="{00000000-0005-0000-0000-00006D1C0000}"/>
    <cellStyle name="40% - Énfasis4 2 6 2" xfId="1485" xr:uid="{00000000-0005-0000-0000-00006E1C0000}"/>
    <cellStyle name="40% - Énfasis4 2 6 2 2" xfId="3375" xr:uid="{00000000-0005-0000-0000-00006F1C0000}"/>
    <cellStyle name="40% - Énfasis4 2 6 2 2 2" xfId="7154" xr:uid="{00000000-0005-0000-0000-0000701C0000}"/>
    <cellStyle name="40% - Énfasis4 2 6 2 2 3" xfId="10930" xr:uid="{00000000-0005-0000-0000-0000711C0000}"/>
    <cellStyle name="40% - Énfasis4 2 6 2 3" xfId="5266" xr:uid="{00000000-0005-0000-0000-0000721C0000}"/>
    <cellStyle name="40% - Énfasis4 2 6 2 4" xfId="9042" xr:uid="{00000000-0005-0000-0000-0000731C0000}"/>
    <cellStyle name="40% - Énfasis4 2 6 3" xfId="2431" xr:uid="{00000000-0005-0000-0000-0000741C0000}"/>
    <cellStyle name="40% - Énfasis4 2 6 3 2" xfId="6210" xr:uid="{00000000-0005-0000-0000-0000751C0000}"/>
    <cellStyle name="40% - Énfasis4 2 6 3 3" xfId="9986" xr:uid="{00000000-0005-0000-0000-0000761C0000}"/>
    <cellStyle name="40% - Énfasis4 2 6 4" xfId="4322" xr:uid="{00000000-0005-0000-0000-0000771C0000}"/>
    <cellStyle name="40% - Énfasis4 2 6 5" xfId="8098" xr:uid="{00000000-0005-0000-0000-0000781C0000}"/>
    <cellStyle name="40% - Énfasis4 2 7" xfId="1013" xr:uid="{00000000-0005-0000-0000-0000791C0000}"/>
    <cellStyle name="40% - Énfasis4 2 7 2" xfId="2903" xr:uid="{00000000-0005-0000-0000-00007A1C0000}"/>
    <cellStyle name="40% - Énfasis4 2 7 2 2" xfId="6682" xr:uid="{00000000-0005-0000-0000-00007B1C0000}"/>
    <cellStyle name="40% - Énfasis4 2 7 2 3" xfId="10458" xr:uid="{00000000-0005-0000-0000-00007C1C0000}"/>
    <cellStyle name="40% - Énfasis4 2 7 3" xfId="4794" xr:uid="{00000000-0005-0000-0000-00007D1C0000}"/>
    <cellStyle name="40% - Énfasis4 2 7 4" xfId="8570" xr:uid="{00000000-0005-0000-0000-00007E1C0000}"/>
    <cellStyle name="40% - Énfasis4 2 8" xfId="1959" xr:uid="{00000000-0005-0000-0000-00007F1C0000}"/>
    <cellStyle name="40% - Énfasis4 2 8 2" xfId="5738" xr:uid="{00000000-0005-0000-0000-0000801C0000}"/>
    <cellStyle name="40% - Énfasis4 2 8 3" xfId="9514" xr:uid="{00000000-0005-0000-0000-0000811C0000}"/>
    <cellStyle name="40% - Énfasis4 2 9" xfId="3850" xr:uid="{00000000-0005-0000-0000-0000821C0000}"/>
    <cellStyle name="40% - Énfasis4 3" xfId="66" xr:uid="{00000000-0005-0000-0000-0000831C0000}"/>
    <cellStyle name="40% - Énfasis4 3 2" xfId="130" xr:uid="{00000000-0005-0000-0000-0000841C0000}"/>
    <cellStyle name="40% - Énfasis4 3 2 2" xfId="253" xr:uid="{00000000-0005-0000-0000-0000851C0000}"/>
    <cellStyle name="40% - Énfasis4 3 2 2 2" xfId="491" xr:uid="{00000000-0005-0000-0000-0000861C0000}"/>
    <cellStyle name="40% - Énfasis4 3 2 2 2 2" xfId="965" xr:uid="{00000000-0005-0000-0000-0000871C0000}"/>
    <cellStyle name="40% - Énfasis4 3 2 2 2 2 2" xfId="1911" xr:uid="{00000000-0005-0000-0000-0000881C0000}"/>
    <cellStyle name="40% - Énfasis4 3 2 2 2 2 2 2" xfId="3801" xr:uid="{00000000-0005-0000-0000-0000891C0000}"/>
    <cellStyle name="40% - Énfasis4 3 2 2 2 2 2 2 2" xfId="7580" xr:uid="{00000000-0005-0000-0000-00008A1C0000}"/>
    <cellStyle name="40% - Énfasis4 3 2 2 2 2 2 2 3" xfId="11356" xr:uid="{00000000-0005-0000-0000-00008B1C0000}"/>
    <cellStyle name="40% - Énfasis4 3 2 2 2 2 2 3" xfId="5692" xr:uid="{00000000-0005-0000-0000-00008C1C0000}"/>
    <cellStyle name="40% - Énfasis4 3 2 2 2 2 2 4" xfId="9468" xr:uid="{00000000-0005-0000-0000-00008D1C0000}"/>
    <cellStyle name="40% - Énfasis4 3 2 2 2 2 3" xfId="2857" xr:uid="{00000000-0005-0000-0000-00008E1C0000}"/>
    <cellStyle name="40% - Énfasis4 3 2 2 2 2 3 2" xfId="6636" xr:uid="{00000000-0005-0000-0000-00008F1C0000}"/>
    <cellStyle name="40% - Énfasis4 3 2 2 2 2 3 3" xfId="10412" xr:uid="{00000000-0005-0000-0000-0000901C0000}"/>
    <cellStyle name="40% - Énfasis4 3 2 2 2 2 4" xfId="4748" xr:uid="{00000000-0005-0000-0000-0000911C0000}"/>
    <cellStyle name="40% - Énfasis4 3 2 2 2 2 5" xfId="8524" xr:uid="{00000000-0005-0000-0000-0000921C0000}"/>
    <cellStyle name="40% - Énfasis4 3 2 2 2 3" xfId="1439" xr:uid="{00000000-0005-0000-0000-0000931C0000}"/>
    <cellStyle name="40% - Énfasis4 3 2 2 2 3 2" xfId="3329" xr:uid="{00000000-0005-0000-0000-0000941C0000}"/>
    <cellStyle name="40% - Énfasis4 3 2 2 2 3 2 2" xfId="7108" xr:uid="{00000000-0005-0000-0000-0000951C0000}"/>
    <cellStyle name="40% - Énfasis4 3 2 2 2 3 2 3" xfId="10884" xr:uid="{00000000-0005-0000-0000-0000961C0000}"/>
    <cellStyle name="40% - Énfasis4 3 2 2 2 3 3" xfId="5220" xr:uid="{00000000-0005-0000-0000-0000971C0000}"/>
    <cellStyle name="40% - Énfasis4 3 2 2 2 3 4" xfId="8996" xr:uid="{00000000-0005-0000-0000-0000981C0000}"/>
    <cellStyle name="40% - Énfasis4 3 2 2 2 4" xfId="2385" xr:uid="{00000000-0005-0000-0000-0000991C0000}"/>
    <cellStyle name="40% - Énfasis4 3 2 2 2 4 2" xfId="6164" xr:uid="{00000000-0005-0000-0000-00009A1C0000}"/>
    <cellStyle name="40% - Énfasis4 3 2 2 2 4 3" xfId="9940" xr:uid="{00000000-0005-0000-0000-00009B1C0000}"/>
    <cellStyle name="40% - Énfasis4 3 2 2 2 5" xfId="4276" xr:uid="{00000000-0005-0000-0000-00009C1C0000}"/>
    <cellStyle name="40% - Énfasis4 3 2 2 2 6" xfId="8052" xr:uid="{00000000-0005-0000-0000-00009D1C0000}"/>
    <cellStyle name="40% - Énfasis4 3 2 2 3" xfId="729" xr:uid="{00000000-0005-0000-0000-00009E1C0000}"/>
    <cellStyle name="40% - Énfasis4 3 2 2 3 2" xfId="1675" xr:uid="{00000000-0005-0000-0000-00009F1C0000}"/>
    <cellStyle name="40% - Énfasis4 3 2 2 3 2 2" xfId="3565" xr:uid="{00000000-0005-0000-0000-0000A01C0000}"/>
    <cellStyle name="40% - Énfasis4 3 2 2 3 2 2 2" xfId="7344" xr:uid="{00000000-0005-0000-0000-0000A11C0000}"/>
    <cellStyle name="40% - Énfasis4 3 2 2 3 2 2 3" xfId="11120" xr:uid="{00000000-0005-0000-0000-0000A21C0000}"/>
    <cellStyle name="40% - Énfasis4 3 2 2 3 2 3" xfId="5456" xr:uid="{00000000-0005-0000-0000-0000A31C0000}"/>
    <cellStyle name="40% - Énfasis4 3 2 2 3 2 4" xfId="9232" xr:uid="{00000000-0005-0000-0000-0000A41C0000}"/>
    <cellStyle name="40% - Énfasis4 3 2 2 3 3" xfId="2621" xr:uid="{00000000-0005-0000-0000-0000A51C0000}"/>
    <cellStyle name="40% - Énfasis4 3 2 2 3 3 2" xfId="6400" xr:uid="{00000000-0005-0000-0000-0000A61C0000}"/>
    <cellStyle name="40% - Énfasis4 3 2 2 3 3 3" xfId="10176" xr:uid="{00000000-0005-0000-0000-0000A71C0000}"/>
    <cellStyle name="40% - Énfasis4 3 2 2 3 4" xfId="4512" xr:uid="{00000000-0005-0000-0000-0000A81C0000}"/>
    <cellStyle name="40% - Énfasis4 3 2 2 3 5" xfId="8288" xr:uid="{00000000-0005-0000-0000-0000A91C0000}"/>
    <cellStyle name="40% - Énfasis4 3 2 2 4" xfId="1203" xr:uid="{00000000-0005-0000-0000-0000AA1C0000}"/>
    <cellStyle name="40% - Énfasis4 3 2 2 4 2" xfId="3093" xr:uid="{00000000-0005-0000-0000-0000AB1C0000}"/>
    <cellStyle name="40% - Énfasis4 3 2 2 4 2 2" xfId="6872" xr:uid="{00000000-0005-0000-0000-0000AC1C0000}"/>
    <cellStyle name="40% - Énfasis4 3 2 2 4 2 3" xfId="10648" xr:uid="{00000000-0005-0000-0000-0000AD1C0000}"/>
    <cellStyle name="40% - Énfasis4 3 2 2 4 3" xfId="4984" xr:uid="{00000000-0005-0000-0000-0000AE1C0000}"/>
    <cellStyle name="40% - Énfasis4 3 2 2 4 4" xfId="8760" xr:uid="{00000000-0005-0000-0000-0000AF1C0000}"/>
    <cellStyle name="40% - Énfasis4 3 2 2 5" xfId="2149" xr:uid="{00000000-0005-0000-0000-0000B01C0000}"/>
    <cellStyle name="40% - Énfasis4 3 2 2 5 2" xfId="5928" xr:uid="{00000000-0005-0000-0000-0000B11C0000}"/>
    <cellStyle name="40% - Énfasis4 3 2 2 5 3" xfId="9704" xr:uid="{00000000-0005-0000-0000-0000B21C0000}"/>
    <cellStyle name="40% - Énfasis4 3 2 2 6" xfId="4040" xr:uid="{00000000-0005-0000-0000-0000B31C0000}"/>
    <cellStyle name="40% - Énfasis4 3 2 2 7" xfId="7816" xr:uid="{00000000-0005-0000-0000-0000B41C0000}"/>
    <cellStyle name="40% - Énfasis4 3 2 3" xfId="373" xr:uid="{00000000-0005-0000-0000-0000B51C0000}"/>
    <cellStyle name="40% - Énfasis4 3 2 3 2" xfId="847" xr:uid="{00000000-0005-0000-0000-0000B61C0000}"/>
    <cellStyle name="40% - Énfasis4 3 2 3 2 2" xfId="1793" xr:uid="{00000000-0005-0000-0000-0000B71C0000}"/>
    <cellStyle name="40% - Énfasis4 3 2 3 2 2 2" xfId="3683" xr:uid="{00000000-0005-0000-0000-0000B81C0000}"/>
    <cellStyle name="40% - Énfasis4 3 2 3 2 2 2 2" xfId="7462" xr:uid="{00000000-0005-0000-0000-0000B91C0000}"/>
    <cellStyle name="40% - Énfasis4 3 2 3 2 2 2 3" xfId="11238" xr:uid="{00000000-0005-0000-0000-0000BA1C0000}"/>
    <cellStyle name="40% - Énfasis4 3 2 3 2 2 3" xfId="5574" xr:uid="{00000000-0005-0000-0000-0000BB1C0000}"/>
    <cellStyle name="40% - Énfasis4 3 2 3 2 2 4" xfId="9350" xr:uid="{00000000-0005-0000-0000-0000BC1C0000}"/>
    <cellStyle name="40% - Énfasis4 3 2 3 2 3" xfId="2739" xr:uid="{00000000-0005-0000-0000-0000BD1C0000}"/>
    <cellStyle name="40% - Énfasis4 3 2 3 2 3 2" xfId="6518" xr:uid="{00000000-0005-0000-0000-0000BE1C0000}"/>
    <cellStyle name="40% - Énfasis4 3 2 3 2 3 3" xfId="10294" xr:uid="{00000000-0005-0000-0000-0000BF1C0000}"/>
    <cellStyle name="40% - Énfasis4 3 2 3 2 4" xfId="4630" xr:uid="{00000000-0005-0000-0000-0000C01C0000}"/>
    <cellStyle name="40% - Énfasis4 3 2 3 2 5" xfId="8406" xr:uid="{00000000-0005-0000-0000-0000C11C0000}"/>
    <cellStyle name="40% - Énfasis4 3 2 3 3" xfId="1321" xr:uid="{00000000-0005-0000-0000-0000C21C0000}"/>
    <cellStyle name="40% - Énfasis4 3 2 3 3 2" xfId="3211" xr:uid="{00000000-0005-0000-0000-0000C31C0000}"/>
    <cellStyle name="40% - Énfasis4 3 2 3 3 2 2" xfId="6990" xr:uid="{00000000-0005-0000-0000-0000C41C0000}"/>
    <cellStyle name="40% - Énfasis4 3 2 3 3 2 3" xfId="10766" xr:uid="{00000000-0005-0000-0000-0000C51C0000}"/>
    <cellStyle name="40% - Énfasis4 3 2 3 3 3" xfId="5102" xr:uid="{00000000-0005-0000-0000-0000C61C0000}"/>
    <cellStyle name="40% - Énfasis4 3 2 3 3 4" xfId="8878" xr:uid="{00000000-0005-0000-0000-0000C71C0000}"/>
    <cellStyle name="40% - Énfasis4 3 2 3 4" xfId="2267" xr:uid="{00000000-0005-0000-0000-0000C81C0000}"/>
    <cellStyle name="40% - Énfasis4 3 2 3 4 2" xfId="6046" xr:uid="{00000000-0005-0000-0000-0000C91C0000}"/>
    <cellStyle name="40% - Énfasis4 3 2 3 4 3" xfId="9822" xr:uid="{00000000-0005-0000-0000-0000CA1C0000}"/>
    <cellStyle name="40% - Énfasis4 3 2 3 5" xfId="4158" xr:uid="{00000000-0005-0000-0000-0000CB1C0000}"/>
    <cellStyle name="40% - Énfasis4 3 2 3 6" xfId="7934" xr:uid="{00000000-0005-0000-0000-0000CC1C0000}"/>
    <cellStyle name="40% - Énfasis4 3 2 4" xfId="611" xr:uid="{00000000-0005-0000-0000-0000CD1C0000}"/>
    <cellStyle name="40% - Énfasis4 3 2 4 2" xfId="1557" xr:uid="{00000000-0005-0000-0000-0000CE1C0000}"/>
    <cellStyle name="40% - Énfasis4 3 2 4 2 2" xfId="3447" xr:uid="{00000000-0005-0000-0000-0000CF1C0000}"/>
    <cellStyle name="40% - Énfasis4 3 2 4 2 2 2" xfId="7226" xr:uid="{00000000-0005-0000-0000-0000D01C0000}"/>
    <cellStyle name="40% - Énfasis4 3 2 4 2 2 3" xfId="11002" xr:uid="{00000000-0005-0000-0000-0000D11C0000}"/>
    <cellStyle name="40% - Énfasis4 3 2 4 2 3" xfId="5338" xr:uid="{00000000-0005-0000-0000-0000D21C0000}"/>
    <cellStyle name="40% - Énfasis4 3 2 4 2 4" xfId="9114" xr:uid="{00000000-0005-0000-0000-0000D31C0000}"/>
    <cellStyle name="40% - Énfasis4 3 2 4 3" xfId="2503" xr:uid="{00000000-0005-0000-0000-0000D41C0000}"/>
    <cellStyle name="40% - Énfasis4 3 2 4 3 2" xfId="6282" xr:uid="{00000000-0005-0000-0000-0000D51C0000}"/>
    <cellStyle name="40% - Énfasis4 3 2 4 3 3" xfId="10058" xr:uid="{00000000-0005-0000-0000-0000D61C0000}"/>
    <cellStyle name="40% - Énfasis4 3 2 4 4" xfId="4394" xr:uid="{00000000-0005-0000-0000-0000D71C0000}"/>
    <cellStyle name="40% - Énfasis4 3 2 4 5" xfId="8170" xr:uid="{00000000-0005-0000-0000-0000D81C0000}"/>
    <cellStyle name="40% - Énfasis4 3 2 5" xfId="1085" xr:uid="{00000000-0005-0000-0000-0000D91C0000}"/>
    <cellStyle name="40% - Énfasis4 3 2 5 2" xfId="2975" xr:uid="{00000000-0005-0000-0000-0000DA1C0000}"/>
    <cellStyle name="40% - Énfasis4 3 2 5 2 2" xfId="6754" xr:uid="{00000000-0005-0000-0000-0000DB1C0000}"/>
    <cellStyle name="40% - Énfasis4 3 2 5 2 3" xfId="10530" xr:uid="{00000000-0005-0000-0000-0000DC1C0000}"/>
    <cellStyle name="40% - Énfasis4 3 2 5 3" xfId="4866" xr:uid="{00000000-0005-0000-0000-0000DD1C0000}"/>
    <cellStyle name="40% - Énfasis4 3 2 5 4" xfId="8642" xr:uid="{00000000-0005-0000-0000-0000DE1C0000}"/>
    <cellStyle name="40% - Énfasis4 3 2 6" xfId="2031" xr:uid="{00000000-0005-0000-0000-0000DF1C0000}"/>
    <cellStyle name="40% - Énfasis4 3 2 6 2" xfId="5810" xr:uid="{00000000-0005-0000-0000-0000E01C0000}"/>
    <cellStyle name="40% - Énfasis4 3 2 6 3" xfId="9586" xr:uid="{00000000-0005-0000-0000-0000E11C0000}"/>
    <cellStyle name="40% - Énfasis4 3 2 7" xfId="3922" xr:uid="{00000000-0005-0000-0000-0000E21C0000}"/>
    <cellStyle name="40% - Énfasis4 3 2 8" xfId="7698" xr:uid="{00000000-0005-0000-0000-0000E31C0000}"/>
    <cellStyle name="40% - Énfasis4 3 3" xfId="194" xr:uid="{00000000-0005-0000-0000-0000E41C0000}"/>
    <cellStyle name="40% - Énfasis4 3 3 2" xfId="432" xr:uid="{00000000-0005-0000-0000-0000E51C0000}"/>
    <cellStyle name="40% - Énfasis4 3 3 2 2" xfId="906" xr:uid="{00000000-0005-0000-0000-0000E61C0000}"/>
    <cellStyle name="40% - Énfasis4 3 3 2 2 2" xfId="1852" xr:uid="{00000000-0005-0000-0000-0000E71C0000}"/>
    <cellStyle name="40% - Énfasis4 3 3 2 2 2 2" xfId="3742" xr:uid="{00000000-0005-0000-0000-0000E81C0000}"/>
    <cellStyle name="40% - Énfasis4 3 3 2 2 2 2 2" xfId="7521" xr:uid="{00000000-0005-0000-0000-0000E91C0000}"/>
    <cellStyle name="40% - Énfasis4 3 3 2 2 2 2 3" xfId="11297" xr:uid="{00000000-0005-0000-0000-0000EA1C0000}"/>
    <cellStyle name="40% - Énfasis4 3 3 2 2 2 3" xfId="5633" xr:uid="{00000000-0005-0000-0000-0000EB1C0000}"/>
    <cellStyle name="40% - Énfasis4 3 3 2 2 2 4" xfId="9409" xr:uid="{00000000-0005-0000-0000-0000EC1C0000}"/>
    <cellStyle name="40% - Énfasis4 3 3 2 2 3" xfId="2798" xr:uid="{00000000-0005-0000-0000-0000ED1C0000}"/>
    <cellStyle name="40% - Énfasis4 3 3 2 2 3 2" xfId="6577" xr:uid="{00000000-0005-0000-0000-0000EE1C0000}"/>
    <cellStyle name="40% - Énfasis4 3 3 2 2 3 3" xfId="10353" xr:uid="{00000000-0005-0000-0000-0000EF1C0000}"/>
    <cellStyle name="40% - Énfasis4 3 3 2 2 4" xfId="4689" xr:uid="{00000000-0005-0000-0000-0000F01C0000}"/>
    <cellStyle name="40% - Énfasis4 3 3 2 2 5" xfId="8465" xr:uid="{00000000-0005-0000-0000-0000F11C0000}"/>
    <cellStyle name="40% - Énfasis4 3 3 2 3" xfId="1380" xr:uid="{00000000-0005-0000-0000-0000F21C0000}"/>
    <cellStyle name="40% - Énfasis4 3 3 2 3 2" xfId="3270" xr:uid="{00000000-0005-0000-0000-0000F31C0000}"/>
    <cellStyle name="40% - Énfasis4 3 3 2 3 2 2" xfId="7049" xr:uid="{00000000-0005-0000-0000-0000F41C0000}"/>
    <cellStyle name="40% - Énfasis4 3 3 2 3 2 3" xfId="10825" xr:uid="{00000000-0005-0000-0000-0000F51C0000}"/>
    <cellStyle name="40% - Énfasis4 3 3 2 3 3" xfId="5161" xr:uid="{00000000-0005-0000-0000-0000F61C0000}"/>
    <cellStyle name="40% - Énfasis4 3 3 2 3 4" xfId="8937" xr:uid="{00000000-0005-0000-0000-0000F71C0000}"/>
    <cellStyle name="40% - Énfasis4 3 3 2 4" xfId="2326" xr:uid="{00000000-0005-0000-0000-0000F81C0000}"/>
    <cellStyle name="40% - Énfasis4 3 3 2 4 2" xfId="6105" xr:uid="{00000000-0005-0000-0000-0000F91C0000}"/>
    <cellStyle name="40% - Énfasis4 3 3 2 4 3" xfId="9881" xr:uid="{00000000-0005-0000-0000-0000FA1C0000}"/>
    <cellStyle name="40% - Énfasis4 3 3 2 5" xfId="4217" xr:uid="{00000000-0005-0000-0000-0000FB1C0000}"/>
    <cellStyle name="40% - Énfasis4 3 3 2 6" xfId="7993" xr:uid="{00000000-0005-0000-0000-0000FC1C0000}"/>
    <cellStyle name="40% - Énfasis4 3 3 3" xfId="670" xr:uid="{00000000-0005-0000-0000-0000FD1C0000}"/>
    <cellStyle name="40% - Énfasis4 3 3 3 2" xfId="1616" xr:uid="{00000000-0005-0000-0000-0000FE1C0000}"/>
    <cellStyle name="40% - Énfasis4 3 3 3 2 2" xfId="3506" xr:uid="{00000000-0005-0000-0000-0000FF1C0000}"/>
    <cellStyle name="40% - Énfasis4 3 3 3 2 2 2" xfId="7285" xr:uid="{00000000-0005-0000-0000-0000001D0000}"/>
    <cellStyle name="40% - Énfasis4 3 3 3 2 2 3" xfId="11061" xr:uid="{00000000-0005-0000-0000-0000011D0000}"/>
    <cellStyle name="40% - Énfasis4 3 3 3 2 3" xfId="5397" xr:uid="{00000000-0005-0000-0000-0000021D0000}"/>
    <cellStyle name="40% - Énfasis4 3 3 3 2 4" xfId="9173" xr:uid="{00000000-0005-0000-0000-0000031D0000}"/>
    <cellStyle name="40% - Énfasis4 3 3 3 3" xfId="2562" xr:uid="{00000000-0005-0000-0000-0000041D0000}"/>
    <cellStyle name="40% - Énfasis4 3 3 3 3 2" xfId="6341" xr:uid="{00000000-0005-0000-0000-0000051D0000}"/>
    <cellStyle name="40% - Énfasis4 3 3 3 3 3" xfId="10117" xr:uid="{00000000-0005-0000-0000-0000061D0000}"/>
    <cellStyle name="40% - Énfasis4 3 3 3 4" xfId="4453" xr:uid="{00000000-0005-0000-0000-0000071D0000}"/>
    <cellStyle name="40% - Énfasis4 3 3 3 5" xfId="8229" xr:uid="{00000000-0005-0000-0000-0000081D0000}"/>
    <cellStyle name="40% - Énfasis4 3 3 4" xfId="1144" xr:uid="{00000000-0005-0000-0000-0000091D0000}"/>
    <cellStyle name="40% - Énfasis4 3 3 4 2" xfId="3034" xr:uid="{00000000-0005-0000-0000-00000A1D0000}"/>
    <cellStyle name="40% - Énfasis4 3 3 4 2 2" xfId="6813" xr:uid="{00000000-0005-0000-0000-00000B1D0000}"/>
    <cellStyle name="40% - Énfasis4 3 3 4 2 3" xfId="10589" xr:uid="{00000000-0005-0000-0000-00000C1D0000}"/>
    <cellStyle name="40% - Énfasis4 3 3 4 3" xfId="4925" xr:uid="{00000000-0005-0000-0000-00000D1D0000}"/>
    <cellStyle name="40% - Énfasis4 3 3 4 4" xfId="8701" xr:uid="{00000000-0005-0000-0000-00000E1D0000}"/>
    <cellStyle name="40% - Énfasis4 3 3 5" xfId="2090" xr:uid="{00000000-0005-0000-0000-00000F1D0000}"/>
    <cellStyle name="40% - Énfasis4 3 3 5 2" xfId="5869" xr:uid="{00000000-0005-0000-0000-0000101D0000}"/>
    <cellStyle name="40% - Énfasis4 3 3 5 3" xfId="9645" xr:uid="{00000000-0005-0000-0000-0000111D0000}"/>
    <cellStyle name="40% - Énfasis4 3 3 6" xfId="3981" xr:uid="{00000000-0005-0000-0000-0000121D0000}"/>
    <cellStyle name="40% - Énfasis4 3 3 7" xfId="7757" xr:uid="{00000000-0005-0000-0000-0000131D0000}"/>
    <cellStyle name="40% - Énfasis4 3 4" xfId="314" xr:uid="{00000000-0005-0000-0000-0000141D0000}"/>
    <cellStyle name="40% - Énfasis4 3 4 2" xfId="788" xr:uid="{00000000-0005-0000-0000-0000151D0000}"/>
    <cellStyle name="40% - Énfasis4 3 4 2 2" xfId="1734" xr:uid="{00000000-0005-0000-0000-0000161D0000}"/>
    <cellStyle name="40% - Énfasis4 3 4 2 2 2" xfId="3624" xr:uid="{00000000-0005-0000-0000-0000171D0000}"/>
    <cellStyle name="40% - Énfasis4 3 4 2 2 2 2" xfId="7403" xr:uid="{00000000-0005-0000-0000-0000181D0000}"/>
    <cellStyle name="40% - Énfasis4 3 4 2 2 2 3" xfId="11179" xr:uid="{00000000-0005-0000-0000-0000191D0000}"/>
    <cellStyle name="40% - Énfasis4 3 4 2 2 3" xfId="5515" xr:uid="{00000000-0005-0000-0000-00001A1D0000}"/>
    <cellStyle name="40% - Énfasis4 3 4 2 2 4" xfId="9291" xr:uid="{00000000-0005-0000-0000-00001B1D0000}"/>
    <cellStyle name="40% - Énfasis4 3 4 2 3" xfId="2680" xr:uid="{00000000-0005-0000-0000-00001C1D0000}"/>
    <cellStyle name="40% - Énfasis4 3 4 2 3 2" xfId="6459" xr:uid="{00000000-0005-0000-0000-00001D1D0000}"/>
    <cellStyle name="40% - Énfasis4 3 4 2 3 3" xfId="10235" xr:uid="{00000000-0005-0000-0000-00001E1D0000}"/>
    <cellStyle name="40% - Énfasis4 3 4 2 4" xfId="4571" xr:uid="{00000000-0005-0000-0000-00001F1D0000}"/>
    <cellStyle name="40% - Énfasis4 3 4 2 5" xfId="8347" xr:uid="{00000000-0005-0000-0000-0000201D0000}"/>
    <cellStyle name="40% - Énfasis4 3 4 3" xfId="1262" xr:uid="{00000000-0005-0000-0000-0000211D0000}"/>
    <cellStyle name="40% - Énfasis4 3 4 3 2" xfId="3152" xr:uid="{00000000-0005-0000-0000-0000221D0000}"/>
    <cellStyle name="40% - Énfasis4 3 4 3 2 2" xfId="6931" xr:uid="{00000000-0005-0000-0000-0000231D0000}"/>
    <cellStyle name="40% - Énfasis4 3 4 3 2 3" xfId="10707" xr:uid="{00000000-0005-0000-0000-0000241D0000}"/>
    <cellStyle name="40% - Énfasis4 3 4 3 3" xfId="5043" xr:uid="{00000000-0005-0000-0000-0000251D0000}"/>
    <cellStyle name="40% - Énfasis4 3 4 3 4" xfId="8819" xr:uid="{00000000-0005-0000-0000-0000261D0000}"/>
    <cellStyle name="40% - Énfasis4 3 4 4" xfId="2208" xr:uid="{00000000-0005-0000-0000-0000271D0000}"/>
    <cellStyle name="40% - Énfasis4 3 4 4 2" xfId="5987" xr:uid="{00000000-0005-0000-0000-0000281D0000}"/>
    <cellStyle name="40% - Énfasis4 3 4 4 3" xfId="9763" xr:uid="{00000000-0005-0000-0000-0000291D0000}"/>
    <cellStyle name="40% - Énfasis4 3 4 5" xfId="4099" xr:uid="{00000000-0005-0000-0000-00002A1D0000}"/>
    <cellStyle name="40% - Énfasis4 3 4 6" xfId="7875" xr:uid="{00000000-0005-0000-0000-00002B1D0000}"/>
    <cellStyle name="40% - Énfasis4 3 5" xfId="552" xr:uid="{00000000-0005-0000-0000-00002C1D0000}"/>
    <cellStyle name="40% - Énfasis4 3 5 2" xfId="1498" xr:uid="{00000000-0005-0000-0000-00002D1D0000}"/>
    <cellStyle name="40% - Énfasis4 3 5 2 2" xfId="3388" xr:uid="{00000000-0005-0000-0000-00002E1D0000}"/>
    <cellStyle name="40% - Énfasis4 3 5 2 2 2" xfId="7167" xr:uid="{00000000-0005-0000-0000-00002F1D0000}"/>
    <cellStyle name="40% - Énfasis4 3 5 2 2 3" xfId="10943" xr:uid="{00000000-0005-0000-0000-0000301D0000}"/>
    <cellStyle name="40% - Énfasis4 3 5 2 3" xfId="5279" xr:uid="{00000000-0005-0000-0000-0000311D0000}"/>
    <cellStyle name="40% - Énfasis4 3 5 2 4" xfId="9055" xr:uid="{00000000-0005-0000-0000-0000321D0000}"/>
    <cellStyle name="40% - Énfasis4 3 5 3" xfId="2444" xr:uid="{00000000-0005-0000-0000-0000331D0000}"/>
    <cellStyle name="40% - Énfasis4 3 5 3 2" xfId="6223" xr:uid="{00000000-0005-0000-0000-0000341D0000}"/>
    <cellStyle name="40% - Énfasis4 3 5 3 3" xfId="9999" xr:uid="{00000000-0005-0000-0000-0000351D0000}"/>
    <cellStyle name="40% - Énfasis4 3 5 4" xfId="4335" xr:uid="{00000000-0005-0000-0000-0000361D0000}"/>
    <cellStyle name="40% - Énfasis4 3 5 5" xfId="8111" xr:uid="{00000000-0005-0000-0000-0000371D0000}"/>
    <cellStyle name="40% - Énfasis4 3 6" xfId="1026" xr:uid="{00000000-0005-0000-0000-0000381D0000}"/>
    <cellStyle name="40% - Énfasis4 3 6 2" xfId="2916" xr:uid="{00000000-0005-0000-0000-0000391D0000}"/>
    <cellStyle name="40% - Énfasis4 3 6 2 2" xfId="6695" xr:uid="{00000000-0005-0000-0000-00003A1D0000}"/>
    <cellStyle name="40% - Énfasis4 3 6 2 3" xfId="10471" xr:uid="{00000000-0005-0000-0000-00003B1D0000}"/>
    <cellStyle name="40% - Énfasis4 3 6 3" xfId="4807" xr:uid="{00000000-0005-0000-0000-00003C1D0000}"/>
    <cellStyle name="40% - Énfasis4 3 6 4" xfId="8583" xr:uid="{00000000-0005-0000-0000-00003D1D0000}"/>
    <cellStyle name="40% - Énfasis4 3 7" xfId="1972" xr:uid="{00000000-0005-0000-0000-00003E1D0000}"/>
    <cellStyle name="40% - Énfasis4 3 7 2" xfId="5751" xr:uid="{00000000-0005-0000-0000-00003F1D0000}"/>
    <cellStyle name="40% - Énfasis4 3 7 3" xfId="9527" xr:uid="{00000000-0005-0000-0000-0000401D0000}"/>
    <cellStyle name="40% - Énfasis4 3 8" xfId="3863" xr:uid="{00000000-0005-0000-0000-0000411D0000}"/>
    <cellStyle name="40% - Énfasis4 3 9" xfId="7639" xr:uid="{00000000-0005-0000-0000-0000421D0000}"/>
    <cellStyle name="40% - Énfasis4 4" xfId="99" xr:uid="{00000000-0005-0000-0000-0000431D0000}"/>
    <cellStyle name="40% - Énfasis4 4 2" xfId="224" xr:uid="{00000000-0005-0000-0000-0000441D0000}"/>
    <cellStyle name="40% - Énfasis4 4 2 2" xfId="462" xr:uid="{00000000-0005-0000-0000-0000451D0000}"/>
    <cellStyle name="40% - Énfasis4 4 2 2 2" xfId="936" xr:uid="{00000000-0005-0000-0000-0000461D0000}"/>
    <cellStyle name="40% - Énfasis4 4 2 2 2 2" xfId="1882" xr:uid="{00000000-0005-0000-0000-0000471D0000}"/>
    <cellStyle name="40% - Énfasis4 4 2 2 2 2 2" xfId="3772" xr:uid="{00000000-0005-0000-0000-0000481D0000}"/>
    <cellStyle name="40% - Énfasis4 4 2 2 2 2 2 2" xfId="7551" xr:uid="{00000000-0005-0000-0000-0000491D0000}"/>
    <cellStyle name="40% - Énfasis4 4 2 2 2 2 2 3" xfId="11327" xr:uid="{00000000-0005-0000-0000-00004A1D0000}"/>
    <cellStyle name="40% - Énfasis4 4 2 2 2 2 3" xfId="5663" xr:uid="{00000000-0005-0000-0000-00004B1D0000}"/>
    <cellStyle name="40% - Énfasis4 4 2 2 2 2 4" xfId="9439" xr:uid="{00000000-0005-0000-0000-00004C1D0000}"/>
    <cellStyle name="40% - Énfasis4 4 2 2 2 3" xfId="2828" xr:uid="{00000000-0005-0000-0000-00004D1D0000}"/>
    <cellStyle name="40% - Énfasis4 4 2 2 2 3 2" xfId="6607" xr:uid="{00000000-0005-0000-0000-00004E1D0000}"/>
    <cellStyle name="40% - Énfasis4 4 2 2 2 3 3" xfId="10383" xr:uid="{00000000-0005-0000-0000-00004F1D0000}"/>
    <cellStyle name="40% - Énfasis4 4 2 2 2 4" xfId="4719" xr:uid="{00000000-0005-0000-0000-0000501D0000}"/>
    <cellStyle name="40% - Énfasis4 4 2 2 2 5" xfId="8495" xr:uid="{00000000-0005-0000-0000-0000511D0000}"/>
    <cellStyle name="40% - Énfasis4 4 2 2 3" xfId="1410" xr:uid="{00000000-0005-0000-0000-0000521D0000}"/>
    <cellStyle name="40% - Énfasis4 4 2 2 3 2" xfId="3300" xr:uid="{00000000-0005-0000-0000-0000531D0000}"/>
    <cellStyle name="40% - Énfasis4 4 2 2 3 2 2" xfId="7079" xr:uid="{00000000-0005-0000-0000-0000541D0000}"/>
    <cellStyle name="40% - Énfasis4 4 2 2 3 2 3" xfId="10855" xr:uid="{00000000-0005-0000-0000-0000551D0000}"/>
    <cellStyle name="40% - Énfasis4 4 2 2 3 3" xfId="5191" xr:uid="{00000000-0005-0000-0000-0000561D0000}"/>
    <cellStyle name="40% - Énfasis4 4 2 2 3 4" xfId="8967" xr:uid="{00000000-0005-0000-0000-0000571D0000}"/>
    <cellStyle name="40% - Énfasis4 4 2 2 4" xfId="2356" xr:uid="{00000000-0005-0000-0000-0000581D0000}"/>
    <cellStyle name="40% - Énfasis4 4 2 2 4 2" xfId="6135" xr:uid="{00000000-0005-0000-0000-0000591D0000}"/>
    <cellStyle name="40% - Énfasis4 4 2 2 4 3" xfId="9911" xr:uid="{00000000-0005-0000-0000-00005A1D0000}"/>
    <cellStyle name="40% - Énfasis4 4 2 2 5" xfId="4247" xr:uid="{00000000-0005-0000-0000-00005B1D0000}"/>
    <cellStyle name="40% - Énfasis4 4 2 2 6" xfId="8023" xr:uid="{00000000-0005-0000-0000-00005C1D0000}"/>
    <cellStyle name="40% - Énfasis4 4 2 3" xfId="700" xr:uid="{00000000-0005-0000-0000-00005D1D0000}"/>
    <cellStyle name="40% - Énfasis4 4 2 3 2" xfId="1646" xr:uid="{00000000-0005-0000-0000-00005E1D0000}"/>
    <cellStyle name="40% - Énfasis4 4 2 3 2 2" xfId="3536" xr:uid="{00000000-0005-0000-0000-00005F1D0000}"/>
    <cellStyle name="40% - Énfasis4 4 2 3 2 2 2" xfId="7315" xr:uid="{00000000-0005-0000-0000-0000601D0000}"/>
    <cellStyle name="40% - Énfasis4 4 2 3 2 2 3" xfId="11091" xr:uid="{00000000-0005-0000-0000-0000611D0000}"/>
    <cellStyle name="40% - Énfasis4 4 2 3 2 3" xfId="5427" xr:uid="{00000000-0005-0000-0000-0000621D0000}"/>
    <cellStyle name="40% - Énfasis4 4 2 3 2 4" xfId="9203" xr:uid="{00000000-0005-0000-0000-0000631D0000}"/>
    <cellStyle name="40% - Énfasis4 4 2 3 3" xfId="2592" xr:uid="{00000000-0005-0000-0000-0000641D0000}"/>
    <cellStyle name="40% - Énfasis4 4 2 3 3 2" xfId="6371" xr:uid="{00000000-0005-0000-0000-0000651D0000}"/>
    <cellStyle name="40% - Énfasis4 4 2 3 3 3" xfId="10147" xr:uid="{00000000-0005-0000-0000-0000661D0000}"/>
    <cellStyle name="40% - Énfasis4 4 2 3 4" xfId="4483" xr:uid="{00000000-0005-0000-0000-0000671D0000}"/>
    <cellStyle name="40% - Énfasis4 4 2 3 5" xfId="8259" xr:uid="{00000000-0005-0000-0000-0000681D0000}"/>
    <cellStyle name="40% - Énfasis4 4 2 4" xfId="1174" xr:uid="{00000000-0005-0000-0000-0000691D0000}"/>
    <cellStyle name="40% - Énfasis4 4 2 4 2" xfId="3064" xr:uid="{00000000-0005-0000-0000-00006A1D0000}"/>
    <cellStyle name="40% - Énfasis4 4 2 4 2 2" xfId="6843" xr:uid="{00000000-0005-0000-0000-00006B1D0000}"/>
    <cellStyle name="40% - Énfasis4 4 2 4 2 3" xfId="10619" xr:uid="{00000000-0005-0000-0000-00006C1D0000}"/>
    <cellStyle name="40% - Énfasis4 4 2 4 3" xfId="4955" xr:uid="{00000000-0005-0000-0000-00006D1D0000}"/>
    <cellStyle name="40% - Énfasis4 4 2 4 4" xfId="8731" xr:uid="{00000000-0005-0000-0000-00006E1D0000}"/>
    <cellStyle name="40% - Énfasis4 4 2 5" xfId="2120" xr:uid="{00000000-0005-0000-0000-00006F1D0000}"/>
    <cellStyle name="40% - Énfasis4 4 2 5 2" xfId="5899" xr:uid="{00000000-0005-0000-0000-0000701D0000}"/>
    <cellStyle name="40% - Énfasis4 4 2 5 3" xfId="9675" xr:uid="{00000000-0005-0000-0000-0000711D0000}"/>
    <cellStyle name="40% - Énfasis4 4 2 6" xfId="4011" xr:uid="{00000000-0005-0000-0000-0000721D0000}"/>
    <cellStyle name="40% - Énfasis4 4 2 7" xfId="7787" xr:uid="{00000000-0005-0000-0000-0000731D0000}"/>
    <cellStyle name="40% - Énfasis4 4 3" xfId="344" xr:uid="{00000000-0005-0000-0000-0000741D0000}"/>
    <cellStyle name="40% - Énfasis4 4 3 2" xfId="818" xr:uid="{00000000-0005-0000-0000-0000751D0000}"/>
    <cellStyle name="40% - Énfasis4 4 3 2 2" xfId="1764" xr:uid="{00000000-0005-0000-0000-0000761D0000}"/>
    <cellStyle name="40% - Énfasis4 4 3 2 2 2" xfId="3654" xr:uid="{00000000-0005-0000-0000-0000771D0000}"/>
    <cellStyle name="40% - Énfasis4 4 3 2 2 2 2" xfId="7433" xr:uid="{00000000-0005-0000-0000-0000781D0000}"/>
    <cellStyle name="40% - Énfasis4 4 3 2 2 2 3" xfId="11209" xr:uid="{00000000-0005-0000-0000-0000791D0000}"/>
    <cellStyle name="40% - Énfasis4 4 3 2 2 3" xfId="5545" xr:uid="{00000000-0005-0000-0000-00007A1D0000}"/>
    <cellStyle name="40% - Énfasis4 4 3 2 2 4" xfId="9321" xr:uid="{00000000-0005-0000-0000-00007B1D0000}"/>
    <cellStyle name="40% - Énfasis4 4 3 2 3" xfId="2710" xr:uid="{00000000-0005-0000-0000-00007C1D0000}"/>
    <cellStyle name="40% - Énfasis4 4 3 2 3 2" xfId="6489" xr:uid="{00000000-0005-0000-0000-00007D1D0000}"/>
    <cellStyle name="40% - Énfasis4 4 3 2 3 3" xfId="10265" xr:uid="{00000000-0005-0000-0000-00007E1D0000}"/>
    <cellStyle name="40% - Énfasis4 4 3 2 4" xfId="4601" xr:uid="{00000000-0005-0000-0000-00007F1D0000}"/>
    <cellStyle name="40% - Énfasis4 4 3 2 5" xfId="8377" xr:uid="{00000000-0005-0000-0000-0000801D0000}"/>
    <cellStyle name="40% - Énfasis4 4 3 3" xfId="1292" xr:uid="{00000000-0005-0000-0000-0000811D0000}"/>
    <cellStyle name="40% - Énfasis4 4 3 3 2" xfId="3182" xr:uid="{00000000-0005-0000-0000-0000821D0000}"/>
    <cellStyle name="40% - Énfasis4 4 3 3 2 2" xfId="6961" xr:uid="{00000000-0005-0000-0000-0000831D0000}"/>
    <cellStyle name="40% - Énfasis4 4 3 3 2 3" xfId="10737" xr:uid="{00000000-0005-0000-0000-0000841D0000}"/>
    <cellStyle name="40% - Énfasis4 4 3 3 3" xfId="5073" xr:uid="{00000000-0005-0000-0000-0000851D0000}"/>
    <cellStyle name="40% - Énfasis4 4 3 3 4" xfId="8849" xr:uid="{00000000-0005-0000-0000-0000861D0000}"/>
    <cellStyle name="40% - Énfasis4 4 3 4" xfId="2238" xr:uid="{00000000-0005-0000-0000-0000871D0000}"/>
    <cellStyle name="40% - Énfasis4 4 3 4 2" xfId="6017" xr:uid="{00000000-0005-0000-0000-0000881D0000}"/>
    <cellStyle name="40% - Énfasis4 4 3 4 3" xfId="9793" xr:uid="{00000000-0005-0000-0000-0000891D0000}"/>
    <cellStyle name="40% - Énfasis4 4 3 5" xfId="4129" xr:uid="{00000000-0005-0000-0000-00008A1D0000}"/>
    <cellStyle name="40% - Énfasis4 4 3 6" xfId="7905" xr:uid="{00000000-0005-0000-0000-00008B1D0000}"/>
    <cellStyle name="40% - Énfasis4 4 4" xfId="582" xr:uid="{00000000-0005-0000-0000-00008C1D0000}"/>
    <cellStyle name="40% - Énfasis4 4 4 2" xfId="1528" xr:uid="{00000000-0005-0000-0000-00008D1D0000}"/>
    <cellStyle name="40% - Énfasis4 4 4 2 2" xfId="3418" xr:uid="{00000000-0005-0000-0000-00008E1D0000}"/>
    <cellStyle name="40% - Énfasis4 4 4 2 2 2" xfId="7197" xr:uid="{00000000-0005-0000-0000-00008F1D0000}"/>
    <cellStyle name="40% - Énfasis4 4 4 2 2 3" xfId="10973" xr:uid="{00000000-0005-0000-0000-0000901D0000}"/>
    <cellStyle name="40% - Énfasis4 4 4 2 3" xfId="5309" xr:uid="{00000000-0005-0000-0000-0000911D0000}"/>
    <cellStyle name="40% - Énfasis4 4 4 2 4" xfId="9085" xr:uid="{00000000-0005-0000-0000-0000921D0000}"/>
    <cellStyle name="40% - Énfasis4 4 4 3" xfId="2474" xr:uid="{00000000-0005-0000-0000-0000931D0000}"/>
    <cellStyle name="40% - Énfasis4 4 4 3 2" xfId="6253" xr:uid="{00000000-0005-0000-0000-0000941D0000}"/>
    <cellStyle name="40% - Énfasis4 4 4 3 3" xfId="10029" xr:uid="{00000000-0005-0000-0000-0000951D0000}"/>
    <cellStyle name="40% - Énfasis4 4 4 4" xfId="4365" xr:uid="{00000000-0005-0000-0000-0000961D0000}"/>
    <cellStyle name="40% - Énfasis4 4 4 5" xfId="8141" xr:uid="{00000000-0005-0000-0000-0000971D0000}"/>
    <cellStyle name="40% - Énfasis4 4 5" xfId="1056" xr:uid="{00000000-0005-0000-0000-0000981D0000}"/>
    <cellStyle name="40% - Énfasis4 4 5 2" xfId="2946" xr:uid="{00000000-0005-0000-0000-0000991D0000}"/>
    <cellStyle name="40% - Énfasis4 4 5 2 2" xfId="6725" xr:uid="{00000000-0005-0000-0000-00009A1D0000}"/>
    <cellStyle name="40% - Énfasis4 4 5 2 3" xfId="10501" xr:uid="{00000000-0005-0000-0000-00009B1D0000}"/>
    <cellStyle name="40% - Énfasis4 4 5 3" xfId="4837" xr:uid="{00000000-0005-0000-0000-00009C1D0000}"/>
    <cellStyle name="40% - Énfasis4 4 5 4" xfId="8613" xr:uid="{00000000-0005-0000-0000-00009D1D0000}"/>
    <cellStyle name="40% - Énfasis4 4 6" xfId="2002" xr:uid="{00000000-0005-0000-0000-00009E1D0000}"/>
    <cellStyle name="40% - Énfasis4 4 6 2" xfId="5781" xr:uid="{00000000-0005-0000-0000-00009F1D0000}"/>
    <cellStyle name="40% - Énfasis4 4 6 3" xfId="9557" xr:uid="{00000000-0005-0000-0000-0000A01D0000}"/>
    <cellStyle name="40% - Énfasis4 4 7" xfId="3893" xr:uid="{00000000-0005-0000-0000-0000A11D0000}"/>
    <cellStyle name="40% - Énfasis4 4 8" xfId="7669" xr:uid="{00000000-0005-0000-0000-0000A21D0000}"/>
    <cellStyle name="40% - Énfasis4 5" xfId="163" xr:uid="{00000000-0005-0000-0000-0000A31D0000}"/>
    <cellStyle name="40% - Énfasis4 5 2" xfId="403" xr:uid="{00000000-0005-0000-0000-0000A41D0000}"/>
    <cellStyle name="40% - Énfasis4 5 2 2" xfId="877" xr:uid="{00000000-0005-0000-0000-0000A51D0000}"/>
    <cellStyle name="40% - Énfasis4 5 2 2 2" xfId="1823" xr:uid="{00000000-0005-0000-0000-0000A61D0000}"/>
    <cellStyle name="40% - Énfasis4 5 2 2 2 2" xfId="3713" xr:uid="{00000000-0005-0000-0000-0000A71D0000}"/>
    <cellStyle name="40% - Énfasis4 5 2 2 2 2 2" xfId="7492" xr:uid="{00000000-0005-0000-0000-0000A81D0000}"/>
    <cellStyle name="40% - Énfasis4 5 2 2 2 2 3" xfId="11268" xr:uid="{00000000-0005-0000-0000-0000A91D0000}"/>
    <cellStyle name="40% - Énfasis4 5 2 2 2 3" xfId="5604" xr:uid="{00000000-0005-0000-0000-0000AA1D0000}"/>
    <cellStyle name="40% - Énfasis4 5 2 2 2 4" xfId="9380" xr:uid="{00000000-0005-0000-0000-0000AB1D0000}"/>
    <cellStyle name="40% - Énfasis4 5 2 2 3" xfId="2769" xr:uid="{00000000-0005-0000-0000-0000AC1D0000}"/>
    <cellStyle name="40% - Énfasis4 5 2 2 3 2" xfId="6548" xr:uid="{00000000-0005-0000-0000-0000AD1D0000}"/>
    <cellStyle name="40% - Énfasis4 5 2 2 3 3" xfId="10324" xr:uid="{00000000-0005-0000-0000-0000AE1D0000}"/>
    <cellStyle name="40% - Énfasis4 5 2 2 4" xfId="4660" xr:uid="{00000000-0005-0000-0000-0000AF1D0000}"/>
    <cellStyle name="40% - Énfasis4 5 2 2 5" xfId="8436" xr:uid="{00000000-0005-0000-0000-0000B01D0000}"/>
    <cellStyle name="40% - Énfasis4 5 2 3" xfId="1351" xr:uid="{00000000-0005-0000-0000-0000B11D0000}"/>
    <cellStyle name="40% - Énfasis4 5 2 3 2" xfId="3241" xr:uid="{00000000-0005-0000-0000-0000B21D0000}"/>
    <cellStyle name="40% - Énfasis4 5 2 3 2 2" xfId="7020" xr:uid="{00000000-0005-0000-0000-0000B31D0000}"/>
    <cellStyle name="40% - Énfasis4 5 2 3 2 3" xfId="10796" xr:uid="{00000000-0005-0000-0000-0000B41D0000}"/>
    <cellStyle name="40% - Énfasis4 5 2 3 3" xfId="5132" xr:uid="{00000000-0005-0000-0000-0000B51D0000}"/>
    <cellStyle name="40% - Énfasis4 5 2 3 4" xfId="8908" xr:uid="{00000000-0005-0000-0000-0000B61D0000}"/>
    <cellStyle name="40% - Énfasis4 5 2 4" xfId="2297" xr:uid="{00000000-0005-0000-0000-0000B71D0000}"/>
    <cellStyle name="40% - Énfasis4 5 2 4 2" xfId="6076" xr:uid="{00000000-0005-0000-0000-0000B81D0000}"/>
    <cellStyle name="40% - Énfasis4 5 2 4 3" xfId="9852" xr:uid="{00000000-0005-0000-0000-0000B91D0000}"/>
    <cellStyle name="40% - Énfasis4 5 2 5" xfId="4188" xr:uid="{00000000-0005-0000-0000-0000BA1D0000}"/>
    <cellStyle name="40% - Énfasis4 5 2 6" xfId="7964" xr:uid="{00000000-0005-0000-0000-0000BB1D0000}"/>
    <cellStyle name="40% - Énfasis4 5 3" xfId="641" xr:uid="{00000000-0005-0000-0000-0000BC1D0000}"/>
    <cellStyle name="40% - Énfasis4 5 3 2" xfId="1587" xr:uid="{00000000-0005-0000-0000-0000BD1D0000}"/>
    <cellStyle name="40% - Énfasis4 5 3 2 2" xfId="3477" xr:uid="{00000000-0005-0000-0000-0000BE1D0000}"/>
    <cellStyle name="40% - Énfasis4 5 3 2 2 2" xfId="7256" xr:uid="{00000000-0005-0000-0000-0000BF1D0000}"/>
    <cellStyle name="40% - Énfasis4 5 3 2 2 3" xfId="11032" xr:uid="{00000000-0005-0000-0000-0000C01D0000}"/>
    <cellStyle name="40% - Énfasis4 5 3 2 3" xfId="5368" xr:uid="{00000000-0005-0000-0000-0000C11D0000}"/>
    <cellStyle name="40% - Énfasis4 5 3 2 4" xfId="9144" xr:uid="{00000000-0005-0000-0000-0000C21D0000}"/>
    <cellStyle name="40% - Énfasis4 5 3 3" xfId="2533" xr:uid="{00000000-0005-0000-0000-0000C31D0000}"/>
    <cellStyle name="40% - Énfasis4 5 3 3 2" xfId="6312" xr:uid="{00000000-0005-0000-0000-0000C41D0000}"/>
    <cellStyle name="40% - Énfasis4 5 3 3 3" xfId="10088" xr:uid="{00000000-0005-0000-0000-0000C51D0000}"/>
    <cellStyle name="40% - Énfasis4 5 3 4" xfId="4424" xr:uid="{00000000-0005-0000-0000-0000C61D0000}"/>
    <cellStyle name="40% - Énfasis4 5 3 5" xfId="8200" xr:uid="{00000000-0005-0000-0000-0000C71D0000}"/>
    <cellStyle name="40% - Énfasis4 5 4" xfId="1115" xr:uid="{00000000-0005-0000-0000-0000C81D0000}"/>
    <cellStyle name="40% - Énfasis4 5 4 2" xfId="3005" xr:uid="{00000000-0005-0000-0000-0000C91D0000}"/>
    <cellStyle name="40% - Énfasis4 5 4 2 2" xfId="6784" xr:uid="{00000000-0005-0000-0000-0000CA1D0000}"/>
    <cellStyle name="40% - Énfasis4 5 4 2 3" xfId="10560" xr:uid="{00000000-0005-0000-0000-0000CB1D0000}"/>
    <cellStyle name="40% - Énfasis4 5 4 3" xfId="4896" xr:uid="{00000000-0005-0000-0000-0000CC1D0000}"/>
    <cellStyle name="40% - Énfasis4 5 4 4" xfId="8672" xr:uid="{00000000-0005-0000-0000-0000CD1D0000}"/>
    <cellStyle name="40% - Énfasis4 5 5" xfId="2061" xr:uid="{00000000-0005-0000-0000-0000CE1D0000}"/>
    <cellStyle name="40% - Énfasis4 5 5 2" xfId="5840" xr:uid="{00000000-0005-0000-0000-0000CF1D0000}"/>
    <cellStyle name="40% - Énfasis4 5 5 3" xfId="9616" xr:uid="{00000000-0005-0000-0000-0000D01D0000}"/>
    <cellStyle name="40% - Énfasis4 5 6" xfId="3952" xr:uid="{00000000-0005-0000-0000-0000D11D0000}"/>
    <cellStyle name="40% - Énfasis4 5 7" xfId="7728" xr:uid="{00000000-0005-0000-0000-0000D21D0000}"/>
    <cellStyle name="40% - Énfasis4 6" xfId="283" xr:uid="{00000000-0005-0000-0000-0000D31D0000}"/>
    <cellStyle name="40% - Énfasis4 6 2" xfId="759" xr:uid="{00000000-0005-0000-0000-0000D41D0000}"/>
    <cellStyle name="40% - Énfasis4 6 2 2" xfId="1705" xr:uid="{00000000-0005-0000-0000-0000D51D0000}"/>
    <cellStyle name="40% - Énfasis4 6 2 2 2" xfId="3595" xr:uid="{00000000-0005-0000-0000-0000D61D0000}"/>
    <cellStyle name="40% - Énfasis4 6 2 2 2 2" xfId="7374" xr:uid="{00000000-0005-0000-0000-0000D71D0000}"/>
    <cellStyle name="40% - Énfasis4 6 2 2 2 3" xfId="11150" xr:uid="{00000000-0005-0000-0000-0000D81D0000}"/>
    <cellStyle name="40% - Énfasis4 6 2 2 3" xfId="5486" xr:uid="{00000000-0005-0000-0000-0000D91D0000}"/>
    <cellStyle name="40% - Énfasis4 6 2 2 4" xfId="9262" xr:uid="{00000000-0005-0000-0000-0000DA1D0000}"/>
    <cellStyle name="40% - Énfasis4 6 2 3" xfId="2651" xr:uid="{00000000-0005-0000-0000-0000DB1D0000}"/>
    <cellStyle name="40% - Énfasis4 6 2 3 2" xfId="6430" xr:uid="{00000000-0005-0000-0000-0000DC1D0000}"/>
    <cellStyle name="40% - Énfasis4 6 2 3 3" xfId="10206" xr:uid="{00000000-0005-0000-0000-0000DD1D0000}"/>
    <cellStyle name="40% - Énfasis4 6 2 4" xfId="4542" xr:uid="{00000000-0005-0000-0000-0000DE1D0000}"/>
    <cellStyle name="40% - Énfasis4 6 2 5" xfId="8318" xr:uid="{00000000-0005-0000-0000-0000DF1D0000}"/>
    <cellStyle name="40% - Énfasis4 6 3" xfId="1233" xr:uid="{00000000-0005-0000-0000-0000E01D0000}"/>
    <cellStyle name="40% - Énfasis4 6 3 2" xfId="3123" xr:uid="{00000000-0005-0000-0000-0000E11D0000}"/>
    <cellStyle name="40% - Énfasis4 6 3 2 2" xfId="6902" xr:uid="{00000000-0005-0000-0000-0000E21D0000}"/>
    <cellStyle name="40% - Énfasis4 6 3 2 3" xfId="10678" xr:uid="{00000000-0005-0000-0000-0000E31D0000}"/>
    <cellStyle name="40% - Énfasis4 6 3 3" xfId="5014" xr:uid="{00000000-0005-0000-0000-0000E41D0000}"/>
    <cellStyle name="40% - Énfasis4 6 3 4" xfId="8790" xr:uid="{00000000-0005-0000-0000-0000E51D0000}"/>
    <cellStyle name="40% - Énfasis4 6 4" xfId="2179" xr:uid="{00000000-0005-0000-0000-0000E61D0000}"/>
    <cellStyle name="40% - Énfasis4 6 4 2" xfId="5958" xr:uid="{00000000-0005-0000-0000-0000E71D0000}"/>
    <cellStyle name="40% - Énfasis4 6 4 3" xfId="9734" xr:uid="{00000000-0005-0000-0000-0000E81D0000}"/>
    <cellStyle name="40% - Énfasis4 6 5" xfId="4070" xr:uid="{00000000-0005-0000-0000-0000E91D0000}"/>
    <cellStyle name="40% - Énfasis4 6 6" xfId="7846" xr:uid="{00000000-0005-0000-0000-0000EA1D0000}"/>
    <cellStyle name="40% - Énfasis4 7" xfId="521" xr:uid="{00000000-0005-0000-0000-0000EB1D0000}"/>
    <cellStyle name="40% - Énfasis4 7 2" xfId="1469" xr:uid="{00000000-0005-0000-0000-0000EC1D0000}"/>
    <cellStyle name="40% - Énfasis4 7 2 2" xfId="3359" xr:uid="{00000000-0005-0000-0000-0000ED1D0000}"/>
    <cellStyle name="40% - Énfasis4 7 2 2 2" xfId="7138" xr:uid="{00000000-0005-0000-0000-0000EE1D0000}"/>
    <cellStyle name="40% - Énfasis4 7 2 2 3" xfId="10914" xr:uid="{00000000-0005-0000-0000-0000EF1D0000}"/>
    <cellStyle name="40% - Énfasis4 7 2 3" xfId="5250" xr:uid="{00000000-0005-0000-0000-0000F01D0000}"/>
    <cellStyle name="40% - Énfasis4 7 2 4" xfId="9026" xr:uid="{00000000-0005-0000-0000-0000F11D0000}"/>
    <cellStyle name="40% - Énfasis4 7 3" xfId="2415" xr:uid="{00000000-0005-0000-0000-0000F21D0000}"/>
    <cellStyle name="40% - Énfasis4 7 3 2" xfId="6194" xr:uid="{00000000-0005-0000-0000-0000F31D0000}"/>
    <cellStyle name="40% - Énfasis4 7 3 3" xfId="9970" xr:uid="{00000000-0005-0000-0000-0000F41D0000}"/>
    <cellStyle name="40% - Énfasis4 7 4" xfId="4306" xr:uid="{00000000-0005-0000-0000-0000F51D0000}"/>
    <cellStyle name="40% - Énfasis4 7 5" xfId="8082" xr:uid="{00000000-0005-0000-0000-0000F61D0000}"/>
    <cellStyle name="40% - Énfasis4 8" xfId="995" xr:uid="{00000000-0005-0000-0000-0000F71D0000}"/>
    <cellStyle name="40% - Énfasis4 8 2" xfId="2887" xr:uid="{00000000-0005-0000-0000-0000F81D0000}"/>
    <cellStyle name="40% - Énfasis4 8 2 2" xfId="6666" xr:uid="{00000000-0005-0000-0000-0000F91D0000}"/>
    <cellStyle name="40% - Énfasis4 8 2 3" xfId="10442" xr:uid="{00000000-0005-0000-0000-0000FA1D0000}"/>
    <cellStyle name="40% - Énfasis4 8 3" xfId="4778" xr:uid="{00000000-0005-0000-0000-0000FB1D0000}"/>
    <cellStyle name="40% - Énfasis4 8 4" xfId="8554" xr:uid="{00000000-0005-0000-0000-0000FC1D0000}"/>
    <cellStyle name="40% - Énfasis4 9" xfId="1941" xr:uid="{00000000-0005-0000-0000-0000FD1D0000}"/>
    <cellStyle name="40% - Énfasis4 9 2" xfId="5722" xr:uid="{00000000-0005-0000-0000-0000FE1D0000}"/>
    <cellStyle name="40% - Énfasis4 9 3" xfId="9498" xr:uid="{00000000-0005-0000-0000-0000FF1D0000}"/>
    <cellStyle name="40% - Énfasis5" xfId="36" builtinId="47" customBuiltin="1"/>
    <cellStyle name="40% - Énfasis5 10" xfId="3834" xr:uid="{00000000-0005-0000-0000-0000011E0000}"/>
    <cellStyle name="40% - Énfasis5 11" xfId="7612" xr:uid="{00000000-0005-0000-0000-0000021E0000}"/>
    <cellStyle name="40% - Énfasis5 2" xfId="55" xr:uid="{00000000-0005-0000-0000-0000031E0000}"/>
    <cellStyle name="40% - Énfasis5 2 10" xfId="7628" xr:uid="{00000000-0005-0000-0000-0000041E0000}"/>
    <cellStyle name="40% - Énfasis5 2 2" xfId="86" xr:uid="{00000000-0005-0000-0000-0000051E0000}"/>
    <cellStyle name="40% - Énfasis5 2 2 2" xfId="149" xr:uid="{00000000-0005-0000-0000-0000061E0000}"/>
    <cellStyle name="40% - Énfasis5 2 2 2 2" xfId="271" xr:uid="{00000000-0005-0000-0000-0000071E0000}"/>
    <cellStyle name="40% - Énfasis5 2 2 2 2 2" xfId="509" xr:uid="{00000000-0005-0000-0000-0000081E0000}"/>
    <cellStyle name="40% - Énfasis5 2 2 2 2 2 2" xfId="983" xr:uid="{00000000-0005-0000-0000-0000091E0000}"/>
    <cellStyle name="40% - Énfasis5 2 2 2 2 2 2 2" xfId="1929" xr:uid="{00000000-0005-0000-0000-00000A1E0000}"/>
    <cellStyle name="40% - Énfasis5 2 2 2 2 2 2 2 2" xfId="3819" xr:uid="{00000000-0005-0000-0000-00000B1E0000}"/>
    <cellStyle name="40% - Énfasis5 2 2 2 2 2 2 2 2 2" xfId="7598" xr:uid="{00000000-0005-0000-0000-00000C1E0000}"/>
    <cellStyle name="40% - Énfasis5 2 2 2 2 2 2 2 2 3" xfId="11374" xr:uid="{00000000-0005-0000-0000-00000D1E0000}"/>
    <cellStyle name="40% - Énfasis5 2 2 2 2 2 2 2 3" xfId="5710" xr:uid="{00000000-0005-0000-0000-00000E1E0000}"/>
    <cellStyle name="40% - Énfasis5 2 2 2 2 2 2 2 4" xfId="9486" xr:uid="{00000000-0005-0000-0000-00000F1E0000}"/>
    <cellStyle name="40% - Énfasis5 2 2 2 2 2 2 3" xfId="2875" xr:uid="{00000000-0005-0000-0000-0000101E0000}"/>
    <cellStyle name="40% - Énfasis5 2 2 2 2 2 2 3 2" xfId="6654" xr:uid="{00000000-0005-0000-0000-0000111E0000}"/>
    <cellStyle name="40% - Énfasis5 2 2 2 2 2 2 3 3" xfId="10430" xr:uid="{00000000-0005-0000-0000-0000121E0000}"/>
    <cellStyle name="40% - Énfasis5 2 2 2 2 2 2 4" xfId="4766" xr:uid="{00000000-0005-0000-0000-0000131E0000}"/>
    <cellStyle name="40% - Énfasis5 2 2 2 2 2 2 5" xfId="8542" xr:uid="{00000000-0005-0000-0000-0000141E0000}"/>
    <cellStyle name="40% - Énfasis5 2 2 2 2 2 3" xfId="1457" xr:uid="{00000000-0005-0000-0000-0000151E0000}"/>
    <cellStyle name="40% - Énfasis5 2 2 2 2 2 3 2" xfId="3347" xr:uid="{00000000-0005-0000-0000-0000161E0000}"/>
    <cellStyle name="40% - Énfasis5 2 2 2 2 2 3 2 2" xfId="7126" xr:uid="{00000000-0005-0000-0000-0000171E0000}"/>
    <cellStyle name="40% - Énfasis5 2 2 2 2 2 3 2 3" xfId="10902" xr:uid="{00000000-0005-0000-0000-0000181E0000}"/>
    <cellStyle name="40% - Énfasis5 2 2 2 2 2 3 3" xfId="5238" xr:uid="{00000000-0005-0000-0000-0000191E0000}"/>
    <cellStyle name="40% - Énfasis5 2 2 2 2 2 3 4" xfId="9014" xr:uid="{00000000-0005-0000-0000-00001A1E0000}"/>
    <cellStyle name="40% - Énfasis5 2 2 2 2 2 4" xfId="2403" xr:uid="{00000000-0005-0000-0000-00001B1E0000}"/>
    <cellStyle name="40% - Énfasis5 2 2 2 2 2 4 2" xfId="6182" xr:uid="{00000000-0005-0000-0000-00001C1E0000}"/>
    <cellStyle name="40% - Énfasis5 2 2 2 2 2 4 3" xfId="9958" xr:uid="{00000000-0005-0000-0000-00001D1E0000}"/>
    <cellStyle name="40% - Énfasis5 2 2 2 2 2 5" xfId="4294" xr:uid="{00000000-0005-0000-0000-00001E1E0000}"/>
    <cellStyle name="40% - Énfasis5 2 2 2 2 2 6" xfId="8070" xr:uid="{00000000-0005-0000-0000-00001F1E0000}"/>
    <cellStyle name="40% - Énfasis5 2 2 2 2 3" xfId="747" xr:uid="{00000000-0005-0000-0000-0000201E0000}"/>
    <cellStyle name="40% - Énfasis5 2 2 2 2 3 2" xfId="1693" xr:uid="{00000000-0005-0000-0000-0000211E0000}"/>
    <cellStyle name="40% - Énfasis5 2 2 2 2 3 2 2" xfId="3583" xr:uid="{00000000-0005-0000-0000-0000221E0000}"/>
    <cellStyle name="40% - Énfasis5 2 2 2 2 3 2 2 2" xfId="7362" xr:uid="{00000000-0005-0000-0000-0000231E0000}"/>
    <cellStyle name="40% - Énfasis5 2 2 2 2 3 2 2 3" xfId="11138" xr:uid="{00000000-0005-0000-0000-0000241E0000}"/>
    <cellStyle name="40% - Énfasis5 2 2 2 2 3 2 3" xfId="5474" xr:uid="{00000000-0005-0000-0000-0000251E0000}"/>
    <cellStyle name="40% - Énfasis5 2 2 2 2 3 2 4" xfId="9250" xr:uid="{00000000-0005-0000-0000-0000261E0000}"/>
    <cellStyle name="40% - Énfasis5 2 2 2 2 3 3" xfId="2639" xr:uid="{00000000-0005-0000-0000-0000271E0000}"/>
    <cellStyle name="40% - Énfasis5 2 2 2 2 3 3 2" xfId="6418" xr:uid="{00000000-0005-0000-0000-0000281E0000}"/>
    <cellStyle name="40% - Énfasis5 2 2 2 2 3 3 3" xfId="10194" xr:uid="{00000000-0005-0000-0000-0000291E0000}"/>
    <cellStyle name="40% - Énfasis5 2 2 2 2 3 4" xfId="4530" xr:uid="{00000000-0005-0000-0000-00002A1E0000}"/>
    <cellStyle name="40% - Énfasis5 2 2 2 2 3 5" xfId="8306" xr:uid="{00000000-0005-0000-0000-00002B1E0000}"/>
    <cellStyle name="40% - Énfasis5 2 2 2 2 4" xfId="1221" xr:uid="{00000000-0005-0000-0000-00002C1E0000}"/>
    <cellStyle name="40% - Énfasis5 2 2 2 2 4 2" xfId="3111" xr:uid="{00000000-0005-0000-0000-00002D1E0000}"/>
    <cellStyle name="40% - Énfasis5 2 2 2 2 4 2 2" xfId="6890" xr:uid="{00000000-0005-0000-0000-00002E1E0000}"/>
    <cellStyle name="40% - Énfasis5 2 2 2 2 4 2 3" xfId="10666" xr:uid="{00000000-0005-0000-0000-00002F1E0000}"/>
    <cellStyle name="40% - Énfasis5 2 2 2 2 4 3" xfId="5002" xr:uid="{00000000-0005-0000-0000-0000301E0000}"/>
    <cellStyle name="40% - Énfasis5 2 2 2 2 4 4" xfId="8778" xr:uid="{00000000-0005-0000-0000-0000311E0000}"/>
    <cellStyle name="40% - Énfasis5 2 2 2 2 5" xfId="2167" xr:uid="{00000000-0005-0000-0000-0000321E0000}"/>
    <cellStyle name="40% - Énfasis5 2 2 2 2 5 2" xfId="5946" xr:uid="{00000000-0005-0000-0000-0000331E0000}"/>
    <cellStyle name="40% - Énfasis5 2 2 2 2 5 3" xfId="9722" xr:uid="{00000000-0005-0000-0000-0000341E0000}"/>
    <cellStyle name="40% - Énfasis5 2 2 2 2 6" xfId="4058" xr:uid="{00000000-0005-0000-0000-0000351E0000}"/>
    <cellStyle name="40% - Énfasis5 2 2 2 2 7" xfId="7834" xr:uid="{00000000-0005-0000-0000-0000361E0000}"/>
    <cellStyle name="40% - Énfasis5 2 2 2 3" xfId="391" xr:uid="{00000000-0005-0000-0000-0000371E0000}"/>
    <cellStyle name="40% - Énfasis5 2 2 2 3 2" xfId="865" xr:uid="{00000000-0005-0000-0000-0000381E0000}"/>
    <cellStyle name="40% - Énfasis5 2 2 2 3 2 2" xfId="1811" xr:uid="{00000000-0005-0000-0000-0000391E0000}"/>
    <cellStyle name="40% - Énfasis5 2 2 2 3 2 2 2" xfId="3701" xr:uid="{00000000-0005-0000-0000-00003A1E0000}"/>
    <cellStyle name="40% - Énfasis5 2 2 2 3 2 2 2 2" xfId="7480" xr:uid="{00000000-0005-0000-0000-00003B1E0000}"/>
    <cellStyle name="40% - Énfasis5 2 2 2 3 2 2 2 3" xfId="11256" xr:uid="{00000000-0005-0000-0000-00003C1E0000}"/>
    <cellStyle name="40% - Énfasis5 2 2 2 3 2 2 3" xfId="5592" xr:uid="{00000000-0005-0000-0000-00003D1E0000}"/>
    <cellStyle name="40% - Énfasis5 2 2 2 3 2 2 4" xfId="9368" xr:uid="{00000000-0005-0000-0000-00003E1E0000}"/>
    <cellStyle name="40% - Énfasis5 2 2 2 3 2 3" xfId="2757" xr:uid="{00000000-0005-0000-0000-00003F1E0000}"/>
    <cellStyle name="40% - Énfasis5 2 2 2 3 2 3 2" xfId="6536" xr:uid="{00000000-0005-0000-0000-0000401E0000}"/>
    <cellStyle name="40% - Énfasis5 2 2 2 3 2 3 3" xfId="10312" xr:uid="{00000000-0005-0000-0000-0000411E0000}"/>
    <cellStyle name="40% - Énfasis5 2 2 2 3 2 4" xfId="4648" xr:uid="{00000000-0005-0000-0000-0000421E0000}"/>
    <cellStyle name="40% - Énfasis5 2 2 2 3 2 5" xfId="8424" xr:uid="{00000000-0005-0000-0000-0000431E0000}"/>
    <cellStyle name="40% - Énfasis5 2 2 2 3 3" xfId="1339" xr:uid="{00000000-0005-0000-0000-0000441E0000}"/>
    <cellStyle name="40% - Énfasis5 2 2 2 3 3 2" xfId="3229" xr:uid="{00000000-0005-0000-0000-0000451E0000}"/>
    <cellStyle name="40% - Énfasis5 2 2 2 3 3 2 2" xfId="7008" xr:uid="{00000000-0005-0000-0000-0000461E0000}"/>
    <cellStyle name="40% - Énfasis5 2 2 2 3 3 2 3" xfId="10784" xr:uid="{00000000-0005-0000-0000-0000471E0000}"/>
    <cellStyle name="40% - Énfasis5 2 2 2 3 3 3" xfId="5120" xr:uid="{00000000-0005-0000-0000-0000481E0000}"/>
    <cellStyle name="40% - Énfasis5 2 2 2 3 3 4" xfId="8896" xr:uid="{00000000-0005-0000-0000-0000491E0000}"/>
    <cellStyle name="40% - Énfasis5 2 2 2 3 4" xfId="2285" xr:uid="{00000000-0005-0000-0000-00004A1E0000}"/>
    <cellStyle name="40% - Énfasis5 2 2 2 3 4 2" xfId="6064" xr:uid="{00000000-0005-0000-0000-00004B1E0000}"/>
    <cellStyle name="40% - Énfasis5 2 2 2 3 4 3" xfId="9840" xr:uid="{00000000-0005-0000-0000-00004C1E0000}"/>
    <cellStyle name="40% - Énfasis5 2 2 2 3 5" xfId="4176" xr:uid="{00000000-0005-0000-0000-00004D1E0000}"/>
    <cellStyle name="40% - Énfasis5 2 2 2 3 6" xfId="7952" xr:uid="{00000000-0005-0000-0000-00004E1E0000}"/>
    <cellStyle name="40% - Énfasis5 2 2 2 4" xfId="629" xr:uid="{00000000-0005-0000-0000-00004F1E0000}"/>
    <cellStyle name="40% - Énfasis5 2 2 2 4 2" xfId="1575" xr:uid="{00000000-0005-0000-0000-0000501E0000}"/>
    <cellStyle name="40% - Énfasis5 2 2 2 4 2 2" xfId="3465" xr:uid="{00000000-0005-0000-0000-0000511E0000}"/>
    <cellStyle name="40% - Énfasis5 2 2 2 4 2 2 2" xfId="7244" xr:uid="{00000000-0005-0000-0000-0000521E0000}"/>
    <cellStyle name="40% - Énfasis5 2 2 2 4 2 2 3" xfId="11020" xr:uid="{00000000-0005-0000-0000-0000531E0000}"/>
    <cellStyle name="40% - Énfasis5 2 2 2 4 2 3" xfId="5356" xr:uid="{00000000-0005-0000-0000-0000541E0000}"/>
    <cellStyle name="40% - Énfasis5 2 2 2 4 2 4" xfId="9132" xr:uid="{00000000-0005-0000-0000-0000551E0000}"/>
    <cellStyle name="40% - Énfasis5 2 2 2 4 3" xfId="2521" xr:uid="{00000000-0005-0000-0000-0000561E0000}"/>
    <cellStyle name="40% - Énfasis5 2 2 2 4 3 2" xfId="6300" xr:uid="{00000000-0005-0000-0000-0000571E0000}"/>
    <cellStyle name="40% - Énfasis5 2 2 2 4 3 3" xfId="10076" xr:uid="{00000000-0005-0000-0000-0000581E0000}"/>
    <cellStyle name="40% - Énfasis5 2 2 2 4 4" xfId="4412" xr:uid="{00000000-0005-0000-0000-0000591E0000}"/>
    <cellStyle name="40% - Énfasis5 2 2 2 4 5" xfId="8188" xr:uid="{00000000-0005-0000-0000-00005A1E0000}"/>
    <cellStyle name="40% - Énfasis5 2 2 2 5" xfId="1103" xr:uid="{00000000-0005-0000-0000-00005B1E0000}"/>
    <cellStyle name="40% - Énfasis5 2 2 2 5 2" xfId="2993" xr:uid="{00000000-0005-0000-0000-00005C1E0000}"/>
    <cellStyle name="40% - Énfasis5 2 2 2 5 2 2" xfId="6772" xr:uid="{00000000-0005-0000-0000-00005D1E0000}"/>
    <cellStyle name="40% - Énfasis5 2 2 2 5 2 3" xfId="10548" xr:uid="{00000000-0005-0000-0000-00005E1E0000}"/>
    <cellStyle name="40% - Énfasis5 2 2 2 5 3" xfId="4884" xr:uid="{00000000-0005-0000-0000-00005F1E0000}"/>
    <cellStyle name="40% - Énfasis5 2 2 2 5 4" xfId="8660" xr:uid="{00000000-0005-0000-0000-0000601E0000}"/>
    <cellStyle name="40% - Énfasis5 2 2 2 6" xfId="2049" xr:uid="{00000000-0005-0000-0000-0000611E0000}"/>
    <cellStyle name="40% - Énfasis5 2 2 2 6 2" xfId="5828" xr:uid="{00000000-0005-0000-0000-0000621E0000}"/>
    <cellStyle name="40% - Énfasis5 2 2 2 6 3" xfId="9604" xr:uid="{00000000-0005-0000-0000-0000631E0000}"/>
    <cellStyle name="40% - Énfasis5 2 2 2 7" xfId="3940" xr:uid="{00000000-0005-0000-0000-0000641E0000}"/>
    <cellStyle name="40% - Énfasis5 2 2 2 8" xfId="7716" xr:uid="{00000000-0005-0000-0000-0000651E0000}"/>
    <cellStyle name="40% - Énfasis5 2 2 3" xfId="212" xr:uid="{00000000-0005-0000-0000-0000661E0000}"/>
    <cellStyle name="40% - Énfasis5 2 2 3 2" xfId="450" xr:uid="{00000000-0005-0000-0000-0000671E0000}"/>
    <cellStyle name="40% - Énfasis5 2 2 3 2 2" xfId="924" xr:uid="{00000000-0005-0000-0000-0000681E0000}"/>
    <cellStyle name="40% - Énfasis5 2 2 3 2 2 2" xfId="1870" xr:uid="{00000000-0005-0000-0000-0000691E0000}"/>
    <cellStyle name="40% - Énfasis5 2 2 3 2 2 2 2" xfId="3760" xr:uid="{00000000-0005-0000-0000-00006A1E0000}"/>
    <cellStyle name="40% - Énfasis5 2 2 3 2 2 2 2 2" xfId="7539" xr:uid="{00000000-0005-0000-0000-00006B1E0000}"/>
    <cellStyle name="40% - Énfasis5 2 2 3 2 2 2 2 3" xfId="11315" xr:uid="{00000000-0005-0000-0000-00006C1E0000}"/>
    <cellStyle name="40% - Énfasis5 2 2 3 2 2 2 3" xfId="5651" xr:uid="{00000000-0005-0000-0000-00006D1E0000}"/>
    <cellStyle name="40% - Énfasis5 2 2 3 2 2 2 4" xfId="9427" xr:uid="{00000000-0005-0000-0000-00006E1E0000}"/>
    <cellStyle name="40% - Énfasis5 2 2 3 2 2 3" xfId="2816" xr:uid="{00000000-0005-0000-0000-00006F1E0000}"/>
    <cellStyle name="40% - Énfasis5 2 2 3 2 2 3 2" xfId="6595" xr:uid="{00000000-0005-0000-0000-0000701E0000}"/>
    <cellStyle name="40% - Énfasis5 2 2 3 2 2 3 3" xfId="10371" xr:uid="{00000000-0005-0000-0000-0000711E0000}"/>
    <cellStyle name="40% - Énfasis5 2 2 3 2 2 4" xfId="4707" xr:uid="{00000000-0005-0000-0000-0000721E0000}"/>
    <cellStyle name="40% - Énfasis5 2 2 3 2 2 5" xfId="8483" xr:uid="{00000000-0005-0000-0000-0000731E0000}"/>
    <cellStyle name="40% - Énfasis5 2 2 3 2 3" xfId="1398" xr:uid="{00000000-0005-0000-0000-0000741E0000}"/>
    <cellStyle name="40% - Énfasis5 2 2 3 2 3 2" xfId="3288" xr:uid="{00000000-0005-0000-0000-0000751E0000}"/>
    <cellStyle name="40% - Énfasis5 2 2 3 2 3 2 2" xfId="7067" xr:uid="{00000000-0005-0000-0000-0000761E0000}"/>
    <cellStyle name="40% - Énfasis5 2 2 3 2 3 2 3" xfId="10843" xr:uid="{00000000-0005-0000-0000-0000771E0000}"/>
    <cellStyle name="40% - Énfasis5 2 2 3 2 3 3" xfId="5179" xr:uid="{00000000-0005-0000-0000-0000781E0000}"/>
    <cellStyle name="40% - Énfasis5 2 2 3 2 3 4" xfId="8955" xr:uid="{00000000-0005-0000-0000-0000791E0000}"/>
    <cellStyle name="40% - Énfasis5 2 2 3 2 4" xfId="2344" xr:uid="{00000000-0005-0000-0000-00007A1E0000}"/>
    <cellStyle name="40% - Énfasis5 2 2 3 2 4 2" xfId="6123" xr:uid="{00000000-0005-0000-0000-00007B1E0000}"/>
    <cellStyle name="40% - Énfasis5 2 2 3 2 4 3" xfId="9899" xr:uid="{00000000-0005-0000-0000-00007C1E0000}"/>
    <cellStyle name="40% - Énfasis5 2 2 3 2 5" xfId="4235" xr:uid="{00000000-0005-0000-0000-00007D1E0000}"/>
    <cellStyle name="40% - Énfasis5 2 2 3 2 6" xfId="8011" xr:uid="{00000000-0005-0000-0000-00007E1E0000}"/>
    <cellStyle name="40% - Énfasis5 2 2 3 3" xfId="688" xr:uid="{00000000-0005-0000-0000-00007F1E0000}"/>
    <cellStyle name="40% - Énfasis5 2 2 3 3 2" xfId="1634" xr:uid="{00000000-0005-0000-0000-0000801E0000}"/>
    <cellStyle name="40% - Énfasis5 2 2 3 3 2 2" xfId="3524" xr:uid="{00000000-0005-0000-0000-0000811E0000}"/>
    <cellStyle name="40% - Énfasis5 2 2 3 3 2 2 2" xfId="7303" xr:uid="{00000000-0005-0000-0000-0000821E0000}"/>
    <cellStyle name="40% - Énfasis5 2 2 3 3 2 2 3" xfId="11079" xr:uid="{00000000-0005-0000-0000-0000831E0000}"/>
    <cellStyle name="40% - Énfasis5 2 2 3 3 2 3" xfId="5415" xr:uid="{00000000-0005-0000-0000-0000841E0000}"/>
    <cellStyle name="40% - Énfasis5 2 2 3 3 2 4" xfId="9191" xr:uid="{00000000-0005-0000-0000-0000851E0000}"/>
    <cellStyle name="40% - Énfasis5 2 2 3 3 3" xfId="2580" xr:uid="{00000000-0005-0000-0000-0000861E0000}"/>
    <cellStyle name="40% - Énfasis5 2 2 3 3 3 2" xfId="6359" xr:uid="{00000000-0005-0000-0000-0000871E0000}"/>
    <cellStyle name="40% - Énfasis5 2 2 3 3 3 3" xfId="10135" xr:uid="{00000000-0005-0000-0000-0000881E0000}"/>
    <cellStyle name="40% - Énfasis5 2 2 3 3 4" xfId="4471" xr:uid="{00000000-0005-0000-0000-0000891E0000}"/>
    <cellStyle name="40% - Énfasis5 2 2 3 3 5" xfId="8247" xr:uid="{00000000-0005-0000-0000-00008A1E0000}"/>
    <cellStyle name="40% - Énfasis5 2 2 3 4" xfId="1162" xr:uid="{00000000-0005-0000-0000-00008B1E0000}"/>
    <cellStyle name="40% - Énfasis5 2 2 3 4 2" xfId="3052" xr:uid="{00000000-0005-0000-0000-00008C1E0000}"/>
    <cellStyle name="40% - Énfasis5 2 2 3 4 2 2" xfId="6831" xr:uid="{00000000-0005-0000-0000-00008D1E0000}"/>
    <cellStyle name="40% - Énfasis5 2 2 3 4 2 3" xfId="10607" xr:uid="{00000000-0005-0000-0000-00008E1E0000}"/>
    <cellStyle name="40% - Énfasis5 2 2 3 4 3" xfId="4943" xr:uid="{00000000-0005-0000-0000-00008F1E0000}"/>
    <cellStyle name="40% - Énfasis5 2 2 3 4 4" xfId="8719" xr:uid="{00000000-0005-0000-0000-0000901E0000}"/>
    <cellStyle name="40% - Énfasis5 2 2 3 5" xfId="2108" xr:uid="{00000000-0005-0000-0000-0000911E0000}"/>
    <cellStyle name="40% - Énfasis5 2 2 3 5 2" xfId="5887" xr:uid="{00000000-0005-0000-0000-0000921E0000}"/>
    <cellStyle name="40% - Énfasis5 2 2 3 5 3" xfId="9663" xr:uid="{00000000-0005-0000-0000-0000931E0000}"/>
    <cellStyle name="40% - Énfasis5 2 2 3 6" xfId="3999" xr:uid="{00000000-0005-0000-0000-0000941E0000}"/>
    <cellStyle name="40% - Énfasis5 2 2 3 7" xfId="7775" xr:uid="{00000000-0005-0000-0000-0000951E0000}"/>
    <cellStyle name="40% - Énfasis5 2 2 4" xfId="332" xr:uid="{00000000-0005-0000-0000-0000961E0000}"/>
    <cellStyle name="40% - Énfasis5 2 2 4 2" xfId="806" xr:uid="{00000000-0005-0000-0000-0000971E0000}"/>
    <cellStyle name="40% - Énfasis5 2 2 4 2 2" xfId="1752" xr:uid="{00000000-0005-0000-0000-0000981E0000}"/>
    <cellStyle name="40% - Énfasis5 2 2 4 2 2 2" xfId="3642" xr:uid="{00000000-0005-0000-0000-0000991E0000}"/>
    <cellStyle name="40% - Énfasis5 2 2 4 2 2 2 2" xfId="7421" xr:uid="{00000000-0005-0000-0000-00009A1E0000}"/>
    <cellStyle name="40% - Énfasis5 2 2 4 2 2 2 3" xfId="11197" xr:uid="{00000000-0005-0000-0000-00009B1E0000}"/>
    <cellStyle name="40% - Énfasis5 2 2 4 2 2 3" xfId="5533" xr:uid="{00000000-0005-0000-0000-00009C1E0000}"/>
    <cellStyle name="40% - Énfasis5 2 2 4 2 2 4" xfId="9309" xr:uid="{00000000-0005-0000-0000-00009D1E0000}"/>
    <cellStyle name="40% - Énfasis5 2 2 4 2 3" xfId="2698" xr:uid="{00000000-0005-0000-0000-00009E1E0000}"/>
    <cellStyle name="40% - Énfasis5 2 2 4 2 3 2" xfId="6477" xr:uid="{00000000-0005-0000-0000-00009F1E0000}"/>
    <cellStyle name="40% - Énfasis5 2 2 4 2 3 3" xfId="10253" xr:uid="{00000000-0005-0000-0000-0000A01E0000}"/>
    <cellStyle name="40% - Énfasis5 2 2 4 2 4" xfId="4589" xr:uid="{00000000-0005-0000-0000-0000A11E0000}"/>
    <cellStyle name="40% - Énfasis5 2 2 4 2 5" xfId="8365" xr:uid="{00000000-0005-0000-0000-0000A21E0000}"/>
    <cellStyle name="40% - Énfasis5 2 2 4 3" xfId="1280" xr:uid="{00000000-0005-0000-0000-0000A31E0000}"/>
    <cellStyle name="40% - Énfasis5 2 2 4 3 2" xfId="3170" xr:uid="{00000000-0005-0000-0000-0000A41E0000}"/>
    <cellStyle name="40% - Énfasis5 2 2 4 3 2 2" xfId="6949" xr:uid="{00000000-0005-0000-0000-0000A51E0000}"/>
    <cellStyle name="40% - Énfasis5 2 2 4 3 2 3" xfId="10725" xr:uid="{00000000-0005-0000-0000-0000A61E0000}"/>
    <cellStyle name="40% - Énfasis5 2 2 4 3 3" xfId="5061" xr:uid="{00000000-0005-0000-0000-0000A71E0000}"/>
    <cellStyle name="40% - Énfasis5 2 2 4 3 4" xfId="8837" xr:uid="{00000000-0005-0000-0000-0000A81E0000}"/>
    <cellStyle name="40% - Énfasis5 2 2 4 4" xfId="2226" xr:uid="{00000000-0005-0000-0000-0000A91E0000}"/>
    <cellStyle name="40% - Énfasis5 2 2 4 4 2" xfId="6005" xr:uid="{00000000-0005-0000-0000-0000AA1E0000}"/>
    <cellStyle name="40% - Énfasis5 2 2 4 4 3" xfId="9781" xr:uid="{00000000-0005-0000-0000-0000AB1E0000}"/>
    <cellStyle name="40% - Énfasis5 2 2 4 5" xfId="4117" xr:uid="{00000000-0005-0000-0000-0000AC1E0000}"/>
    <cellStyle name="40% - Énfasis5 2 2 4 6" xfId="7893" xr:uid="{00000000-0005-0000-0000-0000AD1E0000}"/>
    <cellStyle name="40% - Énfasis5 2 2 5" xfId="570" xr:uid="{00000000-0005-0000-0000-0000AE1E0000}"/>
    <cellStyle name="40% - Énfasis5 2 2 5 2" xfId="1516" xr:uid="{00000000-0005-0000-0000-0000AF1E0000}"/>
    <cellStyle name="40% - Énfasis5 2 2 5 2 2" xfId="3406" xr:uid="{00000000-0005-0000-0000-0000B01E0000}"/>
    <cellStyle name="40% - Énfasis5 2 2 5 2 2 2" xfId="7185" xr:uid="{00000000-0005-0000-0000-0000B11E0000}"/>
    <cellStyle name="40% - Énfasis5 2 2 5 2 2 3" xfId="10961" xr:uid="{00000000-0005-0000-0000-0000B21E0000}"/>
    <cellStyle name="40% - Énfasis5 2 2 5 2 3" xfId="5297" xr:uid="{00000000-0005-0000-0000-0000B31E0000}"/>
    <cellStyle name="40% - Énfasis5 2 2 5 2 4" xfId="9073" xr:uid="{00000000-0005-0000-0000-0000B41E0000}"/>
    <cellStyle name="40% - Énfasis5 2 2 5 3" xfId="2462" xr:uid="{00000000-0005-0000-0000-0000B51E0000}"/>
    <cellStyle name="40% - Énfasis5 2 2 5 3 2" xfId="6241" xr:uid="{00000000-0005-0000-0000-0000B61E0000}"/>
    <cellStyle name="40% - Énfasis5 2 2 5 3 3" xfId="10017" xr:uid="{00000000-0005-0000-0000-0000B71E0000}"/>
    <cellStyle name="40% - Énfasis5 2 2 5 4" xfId="4353" xr:uid="{00000000-0005-0000-0000-0000B81E0000}"/>
    <cellStyle name="40% - Énfasis5 2 2 5 5" xfId="8129" xr:uid="{00000000-0005-0000-0000-0000B91E0000}"/>
    <cellStyle name="40% - Énfasis5 2 2 6" xfId="1044" xr:uid="{00000000-0005-0000-0000-0000BA1E0000}"/>
    <cellStyle name="40% - Énfasis5 2 2 6 2" xfId="2934" xr:uid="{00000000-0005-0000-0000-0000BB1E0000}"/>
    <cellStyle name="40% - Énfasis5 2 2 6 2 2" xfId="6713" xr:uid="{00000000-0005-0000-0000-0000BC1E0000}"/>
    <cellStyle name="40% - Énfasis5 2 2 6 2 3" xfId="10489" xr:uid="{00000000-0005-0000-0000-0000BD1E0000}"/>
    <cellStyle name="40% - Énfasis5 2 2 6 3" xfId="4825" xr:uid="{00000000-0005-0000-0000-0000BE1E0000}"/>
    <cellStyle name="40% - Énfasis5 2 2 6 4" xfId="8601" xr:uid="{00000000-0005-0000-0000-0000BF1E0000}"/>
    <cellStyle name="40% - Énfasis5 2 2 7" xfId="1990" xr:uid="{00000000-0005-0000-0000-0000C01E0000}"/>
    <cellStyle name="40% - Énfasis5 2 2 7 2" xfId="5769" xr:uid="{00000000-0005-0000-0000-0000C11E0000}"/>
    <cellStyle name="40% - Énfasis5 2 2 7 3" xfId="9545" xr:uid="{00000000-0005-0000-0000-0000C21E0000}"/>
    <cellStyle name="40% - Énfasis5 2 2 8" xfId="3881" xr:uid="{00000000-0005-0000-0000-0000C31E0000}"/>
    <cellStyle name="40% - Énfasis5 2 2 9" xfId="7657" xr:uid="{00000000-0005-0000-0000-0000C41E0000}"/>
    <cellStyle name="40% - Énfasis5 2 3" xfId="119" xr:uid="{00000000-0005-0000-0000-0000C51E0000}"/>
    <cellStyle name="40% - Énfasis5 2 3 2" xfId="242" xr:uid="{00000000-0005-0000-0000-0000C61E0000}"/>
    <cellStyle name="40% - Énfasis5 2 3 2 2" xfId="480" xr:uid="{00000000-0005-0000-0000-0000C71E0000}"/>
    <cellStyle name="40% - Énfasis5 2 3 2 2 2" xfId="954" xr:uid="{00000000-0005-0000-0000-0000C81E0000}"/>
    <cellStyle name="40% - Énfasis5 2 3 2 2 2 2" xfId="1900" xr:uid="{00000000-0005-0000-0000-0000C91E0000}"/>
    <cellStyle name="40% - Énfasis5 2 3 2 2 2 2 2" xfId="3790" xr:uid="{00000000-0005-0000-0000-0000CA1E0000}"/>
    <cellStyle name="40% - Énfasis5 2 3 2 2 2 2 2 2" xfId="7569" xr:uid="{00000000-0005-0000-0000-0000CB1E0000}"/>
    <cellStyle name="40% - Énfasis5 2 3 2 2 2 2 2 3" xfId="11345" xr:uid="{00000000-0005-0000-0000-0000CC1E0000}"/>
    <cellStyle name="40% - Énfasis5 2 3 2 2 2 2 3" xfId="5681" xr:uid="{00000000-0005-0000-0000-0000CD1E0000}"/>
    <cellStyle name="40% - Énfasis5 2 3 2 2 2 2 4" xfId="9457" xr:uid="{00000000-0005-0000-0000-0000CE1E0000}"/>
    <cellStyle name="40% - Énfasis5 2 3 2 2 2 3" xfId="2846" xr:uid="{00000000-0005-0000-0000-0000CF1E0000}"/>
    <cellStyle name="40% - Énfasis5 2 3 2 2 2 3 2" xfId="6625" xr:uid="{00000000-0005-0000-0000-0000D01E0000}"/>
    <cellStyle name="40% - Énfasis5 2 3 2 2 2 3 3" xfId="10401" xr:uid="{00000000-0005-0000-0000-0000D11E0000}"/>
    <cellStyle name="40% - Énfasis5 2 3 2 2 2 4" xfId="4737" xr:uid="{00000000-0005-0000-0000-0000D21E0000}"/>
    <cellStyle name="40% - Énfasis5 2 3 2 2 2 5" xfId="8513" xr:uid="{00000000-0005-0000-0000-0000D31E0000}"/>
    <cellStyle name="40% - Énfasis5 2 3 2 2 3" xfId="1428" xr:uid="{00000000-0005-0000-0000-0000D41E0000}"/>
    <cellStyle name="40% - Énfasis5 2 3 2 2 3 2" xfId="3318" xr:uid="{00000000-0005-0000-0000-0000D51E0000}"/>
    <cellStyle name="40% - Énfasis5 2 3 2 2 3 2 2" xfId="7097" xr:uid="{00000000-0005-0000-0000-0000D61E0000}"/>
    <cellStyle name="40% - Énfasis5 2 3 2 2 3 2 3" xfId="10873" xr:uid="{00000000-0005-0000-0000-0000D71E0000}"/>
    <cellStyle name="40% - Énfasis5 2 3 2 2 3 3" xfId="5209" xr:uid="{00000000-0005-0000-0000-0000D81E0000}"/>
    <cellStyle name="40% - Énfasis5 2 3 2 2 3 4" xfId="8985" xr:uid="{00000000-0005-0000-0000-0000D91E0000}"/>
    <cellStyle name="40% - Énfasis5 2 3 2 2 4" xfId="2374" xr:uid="{00000000-0005-0000-0000-0000DA1E0000}"/>
    <cellStyle name="40% - Énfasis5 2 3 2 2 4 2" xfId="6153" xr:uid="{00000000-0005-0000-0000-0000DB1E0000}"/>
    <cellStyle name="40% - Énfasis5 2 3 2 2 4 3" xfId="9929" xr:uid="{00000000-0005-0000-0000-0000DC1E0000}"/>
    <cellStyle name="40% - Énfasis5 2 3 2 2 5" xfId="4265" xr:uid="{00000000-0005-0000-0000-0000DD1E0000}"/>
    <cellStyle name="40% - Énfasis5 2 3 2 2 6" xfId="8041" xr:uid="{00000000-0005-0000-0000-0000DE1E0000}"/>
    <cellStyle name="40% - Énfasis5 2 3 2 3" xfId="718" xr:uid="{00000000-0005-0000-0000-0000DF1E0000}"/>
    <cellStyle name="40% - Énfasis5 2 3 2 3 2" xfId="1664" xr:uid="{00000000-0005-0000-0000-0000E01E0000}"/>
    <cellStyle name="40% - Énfasis5 2 3 2 3 2 2" xfId="3554" xr:uid="{00000000-0005-0000-0000-0000E11E0000}"/>
    <cellStyle name="40% - Énfasis5 2 3 2 3 2 2 2" xfId="7333" xr:uid="{00000000-0005-0000-0000-0000E21E0000}"/>
    <cellStyle name="40% - Énfasis5 2 3 2 3 2 2 3" xfId="11109" xr:uid="{00000000-0005-0000-0000-0000E31E0000}"/>
    <cellStyle name="40% - Énfasis5 2 3 2 3 2 3" xfId="5445" xr:uid="{00000000-0005-0000-0000-0000E41E0000}"/>
    <cellStyle name="40% - Énfasis5 2 3 2 3 2 4" xfId="9221" xr:uid="{00000000-0005-0000-0000-0000E51E0000}"/>
    <cellStyle name="40% - Énfasis5 2 3 2 3 3" xfId="2610" xr:uid="{00000000-0005-0000-0000-0000E61E0000}"/>
    <cellStyle name="40% - Énfasis5 2 3 2 3 3 2" xfId="6389" xr:uid="{00000000-0005-0000-0000-0000E71E0000}"/>
    <cellStyle name="40% - Énfasis5 2 3 2 3 3 3" xfId="10165" xr:uid="{00000000-0005-0000-0000-0000E81E0000}"/>
    <cellStyle name="40% - Énfasis5 2 3 2 3 4" xfId="4501" xr:uid="{00000000-0005-0000-0000-0000E91E0000}"/>
    <cellStyle name="40% - Énfasis5 2 3 2 3 5" xfId="8277" xr:uid="{00000000-0005-0000-0000-0000EA1E0000}"/>
    <cellStyle name="40% - Énfasis5 2 3 2 4" xfId="1192" xr:uid="{00000000-0005-0000-0000-0000EB1E0000}"/>
    <cellStyle name="40% - Énfasis5 2 3 2 4 2" xfId="3082" xr:uid="{00000000-0005-0000-0000-0000EC1E0000}"/>
    <cellStyle name="40% - Énfasis5 2 3 2 4 2 2" xfId="6861" xr:uid="{00000000-0005-0000-0000-0000ED1E0000}"/>
    <cellStyle name="40% - Énfasis5 2 3 2 4 2 3" xfId="10637" xr:uid="{00000000-0005-0000-0000-0000EE1E0000}"/>
    <cellStyle name="40% - Énfasis5 2 3 2 4 3" xfId="4973" xr:uid="{00000000-0005-0000-0000-0000EF1E0000}"/>
    <cellStyle name="40% - Énfasis5 2 3 2 4 4" xfId="8749" xr:uid="{00000000-0005-0000-0000-0000F01E0000}"/>
    <cellStyle name="40% - Énfasis5 2 3 2 5" xfId="2138" xr:uid="{00000000-0005-0000-0000-0000F11E0000}"/>
    <cellStyle name="40% - Énfasis5 2 3 2 5 2" xfId="5917" xr:uid="{00000000-0005-0000-0000-0000F21E0000}"/>
    <cellStyle name="40% - Énfasis5 2 3 2 5 3" xfId="9693" xr:uid="{00000000-0005-0000-0000-0000F31E0000}"/>
    <cellStyle name="40% - Énfasis5 2 3 2 6" xfId="4029" xr:uid="{00000000-0005-0000-0000-0000F41E0000}"/>
    <cellStyle name="40% - Énfasis5 2 3 2 7" xfId="7805" xr:uid="{00000000-0005-0000-0000-0000F51E0000}"/>
    <cellStyle name="40% - Énfasis5 2 3 3" xfId="362" xr:uid="{00000000-0005-0000-0000-0000F61E0000}"/>
    <cellStyle name="40% - Énfasis5 2 3 3 2" xfId="836" xr:uid="{00000000-0005-0000-0000-0000F71E0000}"/>
    <cellStyle name="40% - Énfasis5 2 3 3 2 2" xfId="1782" xr:uid="{00000000-0005-0000-0000-0000F81E0000}"/>
    <cellStyle name="40% - Énfasis5 2 3 3 2 2 2" xfId="3672" xr:uid="{00000000-0005-0000-0000-0000F91E0000}"/>
    <cellStyle name="40% - Énfasis5 2 3 3 2 2 2 2" xfId="7451" xr:uid="{00000000-0005-0000-0000-0000FA1E0000}"/>
    <cellStyle name="40% - Énfasis5 2 3 3 2 2 2 3" xfId="11227" xr:uid="{00000000-0005-0000-0000-0000FB1E0000}"/>
    <cellStyle name="40% - Énfasis5 2 3 3 2 2 3" xfId="5563" xr:uid="{00000000-0005-0000-0000-0000FC1E0000}"/>
    <cellStyle name="40% - Énfasis5 2 3 3 2 2 4" xfId="9339" xr:uid="{00000000-0005-0000-0000-0000FD1E0000}"/>
    <cellStyle name="40% - Énfasis5 2 3 3 2 3" xfId="2728" xr:uid="{00000000-0005-0000-0000-0000FE1E0000}"/>
    <cellStyle name="40% - Énfasis5 2 3 3 2 3 2" xfId="6507" xr:uid="{00000000-0005-0000-0000-0000FF1E0000}"/>
    <cellStyle name="40% - Énfasis5 2 3 3 2 3 3" xfId="10283" xr:uid="{00000000-0005-0000-0000-0000001F0000}"/>
    <cellStyle name="40% - Énfasis5 2 3 3 2 4" xfId="4619" xr:uid="{00000000-0005-0000-0000-0000011F0000}"/>
    <cellStyle name="40% - Énfasis5 2 3 3 2 5" xfId="8395" xr:uid="{00000000-0005-0000-0000-0000021F0000}"/>
    <cellStyle name="40% - Énfasis5 2 3 3 3" xfId="1310" xr:uid="{00000000-0005-0000-0000-0000031F0000}"/>
    <cellStyle name="40% - Énfasis5 2 3 3 3 2" xfId="3200" xr:uid="{00000000-0005-0000-0000-0000041F0000}"/>
    <cellStyle name="40% - Énfasis5 2 3 3 3 2 2" xfId="6979" xr:uid="{00000000-0005-0000-0000-0000051F0000}"/>
    <cellStyle name="40% - Énfasis5 2 3 3 3 2 3" xfId="10755" xr:uid="{00000000-0005-0000-0000-0000061F0000}"/>
    <cellStyle name="40% - Énfasis5 2 3 3 3 3" xfId="5091" xr:uid="{00000000-0005-0000-0000-0000071F0000}"/>
    <cellStyle name="40% - Énfasis5 2 3 3 3 4" xfId="8867" xr:uid="{00000000-0005-0000-0000-0000081F0000}"/>
    <cellStyle name="40% - Énfasis5 2 3 3 4" xfId="2256" xr:uid="{00000000-0005-0000-0000-0000091F0000}"/>
    <cellStyle name="40% - Énfasis5 2 3 3 4 2" xfId="6035" xr:uid="{00000000-0005-0000-0000-00000A1F0000}"/>
    <cellStyle name="40% - Énfasis5 2 3 3 4 3" xfId="9811" xr:uid="{00000000-0005-0000-0000-00000B1F0000}"/>
    <cellStyle name="40% - Énfasis5 2 3 3 5" xfId="4147" xr:uid="{00000000-0005-0000-0000-00000C1F0000}"/>
    <cellStyle name="40% - Énfasis5 2 3 3 6" xfId="7923" xr:uid="{00000000-0005-0000-0000-00000D1F0000}"/>
    <cellStyle name="40% - Énfasis5 2 3 4" xfId="600" xr:uid="{00000000-0005-0000-0000-00000E1F0000}"/>
    <cellStyle name="40% - Énfasis5 2 3 4 2" xfId="1546" xr:uid="{00000000-0005-0000-0000-00000F1F0000}"/>
    <cellStyle name="40% - Énfasis5 2 3 4 2 2" xfId="3436" xr:uid="{00000000-0005-0000-0000-0000101F0000}"/>
    <cellStyle name="40% - Énfasis5 2 3 4 2 2 2" xfId="7215" xr:uid="{00000000-0005-0000-0000-0000111F0000}"/>
    <cellStyle name="40% - Énfasis5 2 3 4 2 2 3" xfId="10991" xr:uid="{00000000-0005-0000-0000-0000121F0000}"/>
    <cellStyle name="40% - Énfasis5 2 3 4 2 3" xfId="5327" xr:uid="{00000000-0005-0000-0000-0000131F0000}"/>
    <cellStyle name="40% - Énfasis5 2 3 4 2 4" xfId="9103" xr:uid="{00000000-0005-0000-0000-0000141F0000}"/>
    <cellStyle name="40% - Énfasis5 2 3 4 3" xfId="2492" xr:uid="{00000000-0005-0000-0000-0000151F0000}"/>
    <cellStyle name="40% - Énfasis5 2 3 4 3 2" xfId="6271" xr:uid="{00000000-0005-0000-0000-0000161F0000}"/>
    <cellStyle name="40% - Énfasis5 2 3 4 3 3" xfId="10047" xr:uid="{00000000-0005-0000-0000-0000171F0000}"/>
    <cellStyle name="40% - Énfasis5 2 3 4 4" xfId="4383" xr:uid="{00000000-0005-0000-0000-0000181F0000}"/>
    <cellStyle name="40% - Énfasis5 2 3 4 5" xfId="8159" xr:uid="{00000000-0005-0000-0000-0000191F0000}"/>
    <cellStyle name="40% - Énfasis5 2 3 5" xfId="1074" xr:uid="{00000000-0005-0000-0000-00001A1F0000}"/>
    <cellStyle name="40% - Énfasis5 2 3 5 2" xfId="2964" xr:uid="{00000000-0005-0000-0000-00001B1F0000}"/>
    <cellStyle name="40% - Énfasis5 2 3 5 2 2" xfId="6743" xr:uid="{00000000-0005-0000-0000-00001C1F0000}"/>
    <cellStyle name="40% - Énfasis5 2 3 5 2 3" xfId="10519" xr:uid="{00000000-0005-0000-0000-00001D1F0000}"/>
    <cellStyle name="40% - Énfasis5 2 3 5 3" xfId="4855" xr:uid="{00000000-0005-0000-0000-00001E1F0000}"/>
    <cellStyle name="40% - Énfasis5 2 3 5 4" xfId="8631" xr:uid="{00000000-0005-0000-0000-00001F1F0000}"/>
    <cellStyle name="40% - Énfasis5 2 3 6" xfId="2020" xr:uid="{00000000-0005-0000-0000-0000201F0000}"/>
    <cellStyle name="40% - Énfasis5 2 3 6 2" xfId="5799" xr:uid="{00000000-0005-0000-0000-0000211F0000}"/>
    <cellStyle name="40% - Énfasis5 2 3 6 3" xfId="9575" xr:uid="{00000000-0005-0000-0000-0000221F0000}"/>
    <cellStyle name="40% - Énfasis5 2 3 7" xfId="3911" xr:uid="{00000000-0005-0000-0000-0000231F0000}"/>
    <cellStyle name="40% - Énfasis5 2 3 8" xfId="7687" xr:uid="{00000000-0005-0000-0000-0000241F0000}"/>
    <cellStyle name="40% - Énfasis5 2 4" xfId="183" xr:uid="{00000000-0005-0000-0000-0000251F0000}"/>
    <cellStyle name="40% - Énfasis5 2 4 2" xfId="421" xr:uid="{00000000-0005-0000-0000-0000261F0000}"/>
    <cellStyle name="40% - Énfasis5 2 4 2 2" xfId="895" xr:uid="{00000000-0005-0000-0000-0000271F0000}"/>
    <cellStyle name="40% - Énfasis5 2 4 2 2 2" xfId="1841" xr:uid="{00000000-0005-0000-0000-0000281F0000}"/>
    <cellStyle name="40% - Énfasis5 2 4 2 2 2 2" xfId="3731" xr:uid="{00000000-0005-0000-0000-0000291F0000}"/>
    <cellStyle name="40% - Énfasis5 2 4 2 2 2 2 2" xfId="7510" xr:uid="{00000000-0005-0000-0000-00002A1F0000}"/>
    <cellStyle name="40% - Énfasis5 2 4 2 2 2 2 3" xfId="11286" xr:uid="{00000000-0005-0000-0000-00002B1F0000}"/>
    <cellStyle name="40% - Énfasis5 2 4 2 2 2 3" xfId="5622" xr:uid="{00000000-0005-0000-0000-00002C1F0000}"/>
    <cellStyle name="40% - Énfasis5 2 4 2 2 2 4" xfId="9398" xr:uid="{00000000-0005-0000-0000-00002D1F0000}"/>
    <cellStyle name="40% - Énfasis5 2 4 2 2 3" xfId="2787" xr:uid="{00000000-0005-0000-0000-00002E1F0000}"/>
    <cellStyle name="40% - Énfasis5 2 4 2 2 3 2" xfId="6566" xr:uid="{00000000-0005-0000-0000-00002F1F0000}"/>
    <cellStyle name="40% - Énfasis5 2 4 2 2 3 3" xfId="10342" xr:uid="{00000000-0005-0000-0000-0000301F0000}"/>
    <cellStyle name="40% - Énfasis5 2 4 2 2 4" xfId="4678" xr:uid="{00000000-0005-0000-0000-0000311F0000}"/>
    <cellStyle name="40% - Énfasis5 2 4 2 2 5" xfId="8454" xr:uid="{00000000-0005-0000-0000-0000321F0000}"/>
    <cellStyle name="40% - Énfasis5 2 4 2 3" xfId="1369" xr:uid="{00000000-0005-0000-0000-0000331F0000}"/>
    <cellStyle name="40% - Énfasis5 2 4 2 3 2" xfId="3259" xr:uid="{00000000-0005-0000-0000-0000341F0000}"/>
    <cellStyle name="40% - Énfasis5 2 4 2 3 2 2" xfId="7038" xr:uid="{00000000-0005-0000-0000-0000351F0000}"/>
    <cellStyle name="40% - Énfasis5 2 4 2 3 2 3" xfId="10814" xr:uid="{00000000-0005-0000-0000-0000361F0000}"/>
    <cellStyle name="40% - Énfasis5 2 4 2 3 3" xfId="5150" xr:uid="{00000000-0005-0000-0000-0000371F0000}"/>
    <cellStyle name="40% - Énfasis5 2 4 2 3 4" xfId="8926" xr:uid="{00000000-0005-0000-0000-0000381F0000}"/>
    <cellStyle name="40% - Énfasis5 2 4 2 4" xfId="2315" xr:uid="{00000000-0005-0000-0000-0000391F0000}"/>
    <cellStyle name="40% - Énfasis5 2 4 2 4 2" xfId="6094" xr:uid="{00000000-0005-0000-0000-00003A1F0000}"/>
    <cellStyle name="40% - Énfasis5 2 4 2 4 3" xfId="9870" xr:uid="{00000000-0005-0000-0000-00003B1F0000}"/>
    <cellStyle name="40% - Énfasis5 2 4 2 5" xfId="4206" xr:uid="{00000000-0005-0000-0000-00003C1F0000}"/>
    <cellStyle name="40% - Énfasis5 2 4 2 6" xfId="7982" xr:uid="{00000000-0005-0000-0000-00003D1F0000}"/>
    <cellStyle name="40% - Énfasis5 2 4 3" xfId="659" xr:uid="{00000000-0005-0000-0000-00003E1F0000}"/>
    <cellStyle name="40% - Énfasis5 2 4 3 2" xfId="1605" xr:uid="{00000000-0005-0000-0000-00003F1F0000}"/>
    <cellStyle name="40% - Énfasis5 2 4 3 2 2" xfId="3495" xr:uid="{00000000-0005-0000-0000-0000401F0000}"/>
    <cellStyle name="40% - Énfasis5 2 4 3 2 2 2" xfId="7274" xr:uid="{00000000-0005-0000-0000-0000411F0000}"/>
    <cellStyle name="40% - Énfasis5 2 4 3 2 2 3" xfId="11050" xr:uid="{00000000-0005-0000-0000-0000421F0000}"/>
    <cellStyle name="40% - Énfasis5 2 4 3 2 3" xfId="5386" xr:uid="{00000000-0005-0000-0000-0000431F0000}"/>
    <cellStyle name="40% - Énfasis5 2 4 3 2 4" xfId="9162" xr:uid="{00000000-0005-0000-0000-0000441F0000}"/>
    <cellStyle name="40% - Énfasis5 2 4 3 3" xfId="2551" xr:uid="{00000000-0005-0000-0000-0000451F0000}"/>
    <cellStyle name="40% - Énfasis5 2 4 3 3 2" xfId="6330" xr:uid="{00000000-0005-0000-0000-0000461F0000}"/>
    <cellStyle name="40% - Énfasis5 2 4 3 3 3" xfId="10106" xr:uid="{00000000-0005-0000-0000-0000471F0000}"/>
    <cellStyle name="40% - Énfasis5 2 4 3 4" xfId="4442" xr:uid="{00000000-0005-0000-0000-0000481F0000}"/>
    <cellStyle name="40% - Énfasis5 2 4 3 5" xfId="8218" xr:uid="{00000000-0005-0000-0000-0000491F0000}"/>
    <cellStyle name="40% - Énfasis5 2 4 4" xfId="1133" xr:uid="{00000000-0005-0000-0000-00004A1F0000}"/>
    <cellStyle name="40% - Énfasis5 2 4 4 2" xfId="3023" xr:uid="{00000000-0005-0000-0000-00004B1F0000}"/>
    <cellStyle name="40% - Énfasis5 2 4 4 2 2" xfId="6802" xr:uid="{00000000-0005-0000-0000-00004C1F0000}"/>
    <cellStyle name="40% - Énfasis5 2 4 4 2 3" xfId="10578" xr:uid="{00000000-0005-0000-0000-00004D1F0000}"/>
    <cellStyle name="40% - Énfasis5 2 4 4 3" xfId="4914" xr:uid="{00000000-0005-0000-0000-00004E1F0000}"/>
    <cellStyle name="40% - Énfasis5 2 4 4 4" xfId="8690" xr:uid="{00000000-0005-0000-0000-00004F1F0000}"/>
    <cellStyle name="40% - Énfasis5 2 4 5" xfId="2079" xr:uid="{00000000-0005-0000-0000-0000501F0000}"/>
    <cellStyle name="40% - Énfasis5 2 4 5 2" xfId="5858" xr:uid="{00000000-0005-0000-0000-0000511F0000}"/>
    <cellStyle name="40% - Énfasis5 2 4 5 3" xfId="9634" xr:uid="{00000000-0005-0000-0000-0000521F0000}"/>
    <cellStyle name="40% - Énfasis5 2 4 6" xfId="3970" xr:uid="{00000000-0005-0000-0000-0000531F0000}"/>
    <cellStyle name="40% - Énfasis5 2 4 7" xfId="7746" xr:uid="{00000000-0005-0000-0000-0000541F0000}"/>
    <cellStyle name="40% - Énfasis5 2 5" xfId="303" xr:uid="{00000000-0005-0000-0000-0000551F0000}"/>
    <cellStyle name="40% - Énfasis5 2 5 2" xfId="777" xr:uid="{00000000-0005-0000-0000-0000561F0000}"/>
    <cellStyle name="40% - Énfasis5 2 5 2 2" xfId="1723" xr:uid="{00000000-0005-0000-0000-0000571F0000}"/>
    <cellStyle name="40% - Énfasis5 2 5 2 2 2" xfId="3613" xr:uid="{00000000-0005-0000-0000-0000581F0000}"/>
    <cellStyle name="40% - Énfasis5 2 5 2 2 2 2" xfId="7392" xr:uid="{00000000-0005-0000-0000-0000591F0000}"/>
    <cellStyle name="40% - Énfasis5 2 5 2 2 2 3" xfId="11168" xr:uid="{00000000-0005-0000-0000-00005A1F0000}"/>
    <cellStyle name="40% - Énfasis5 2 5 2 2 3" xfId="5504" xr:uid="{00000000-0005-0000-0000-00005B1F0000}"/>
    <cellStyle name="40% - Énfasis5 2 5 2 2 4" xfId="9280" xr:uid="{00000000-0005-0000-0000-00005C1F0000}"/>
    <cellStyle name="40% - Énfasis5 2 5 2 3" xfId="2669" xr:uid="{00000000-0005-0000-0000-00005D1F0000}"/>
    <cellStyle name="40% - Énfasis5 2 5 2 3 2" xfId="6448" xr:uid="{00000000-0005-0000-0000-00005E1F0000}"/>
    <cellStyle name="40% - Énfasis5 2 5 2 3 3" xfId="10224" xr:uid="{00000000-0005-0000-0000-00005F1F0000}"/>
    <cellStyle name="40% - Énfasis5 2 5 2 4" xfId="4560" xr:uid="{00000000-0005-0000-0000-0000601F0000}"/>
    <cellStyle name="40% - Énfasis5 2 5 2 5" xfId="8336" xr:uid="{00000000-0005-0000-0000-0000611F0000}"/>
    <cellStyle name="40% - Énfasis5 2 5 3" xfId="1251" xr:uid="{00000000-0005-0000-0000-0000621F0000}"/>
    <cellStyle name="40% - Énfasis5 2 5 3 2" xfId="3141" xr:uid="{00000000-0005-0000-0000-0000631F0000}"/>
    <cellStyle name="40% - Énfasis5 2 5 3 2 2" xfId="6920" xr:uid="{00000000-0005-0000-0000-0000641F0000}"/>
    <cellStyle name="40% - Énfasis5 2 5 3 2 3" xfId="10696" xr:uid="{00000000-0005-0000-0000-0000651F0000}"/>
    <cellStyle name="40% - Énfasis5 2 5 3 3" xfId="5032" xr:uid="{00000000-0005-0000-0000-0000661F0000}"/>
    <cellStyle name="40% - Énfasis5 2 5 3 4" xfId="8808" xr:uid="{00000000-0005-0000-0000-0000671F0000}"/>
    <cellStyle name="40% - Énfasis5 2 5 4" xfId="2197" xr:uid="{00000000-0005-0000-0000-0000681F0000}"/>
    <cellStyle name="40% - Énfasis5 2 5 4 2" xfId="5976" xr:uid="{00000000-0005-0000-0000-0000691F0000}"/>
    <cellStyle name="40% - Énfasis5 2 5 4 3" xfId="9752" xr:uid="{00000000-0005-0000-0000-00006A1F0000}"/>
    <cellStyle name="40% - Énfasis5 2 5 5" xfId="4088" xr:uid="{00000000-0005-0000-0000-00006B1F0000}"/>
    <cellStyle name="40% - Énfasis5 2 5 6" xfId="7864" xr:uid="{00000000-0005-0000-0000-00006C1F0000}"/>
    <cellStyle name="40% - Énfasis5 2 6" xfId="541" xr:uid="{00000000-0005-0000-0000-00006D1F0000}"/>
    <cellStyle name="40% - Énfasis5 2 6 2" xfId="1487" xr:uid="{00000000-0005-0000-0000-00006E1F0000}"/>
    <cellStyle name="40% - Énfasis5 2 6 2 2" xfId="3377" xr:uid="{00000000-0005-0000-0000-00006F1F0000}"/>
    <cellStyle name="40% - Énfasis5 2 6 2 2 2" xfId="7156" xr:uid="{00000000-0005-0000-0000-0000701F0000}"/>
    <cellStyle name="40% - Énfasis5 2 6 2 2 3" xfId="10932" xr:uid="{00000000-0005-0000-0000-0000711F0000}"/>
    <cellStyle name="40% - Énfasis5 2 6 2 3" xfId="5268" xr:uid="{00000000-0005-0000-0000-0000721F0000}"/>
    <cellStyle name="40% - Énfasis5 2 6 2 4" xfId="9044" xr:uid="{00000000-0005-0000-0000-0000731F0000}"/>
    <cellStyle name="40% - Énfasis5 2 6 3" xfId="2433" xr:uid="{00000000-0005-0000-0000-0000741F0000}"/>
    <cellStyle name="40% - Énfasis5 2 6 3 2" xfId="6212" xr:uid="{00000000-0005-0000-0000-0000751F0000}"/>
    <cellStyle name="40% - Énfasis5 2 6 3 3" xfId="9988" xr:uid="{00000000-0005-0000-0000-0000761F0000}"/>
    <cellStyle name="40% - Énfasis5 2 6 4" xfId="4324" xr:uid="{00000000-0005-0000-0000-0000771F0000}"/>
    <cellStyle name="40% - Énfasis5 2 6 5" xfId="8100" xr:uid="{00000000-0005-0000-0000-0000781F0000}"/>
    <cellStyle name="40% - Énfasis5 2 7" xfId="1015" xr:uid="{00000000-0005-0000-0000-0000791F0000}"/>
    <cellStyle name="40% - Énfasis5 2 7 2" xfId="2905" xr:uid="{00000000-0005-0000-0000-00007A1F0000}"/>
    <cellStyle name="40% - Énfasis5 2 7 2 2" xfId="6684" xr:uid="{00000000-0005-0000-0000-00007B1F0000}"/>
    <cellStyle name="40% - Énfasis5 2 7 2 3" xfId="10460" xr:uid="{00000000-0005-0000-0000-00007C1F0000}"/>
    <cellStyle name="40% - Énfasis5 2 7 3" xfId="4796" xr:uid="{00000000-0005-0000-0000-00007D1F0000}"/>
    <cellStyle name="40% - Énfasis5 2 7 4" xfId="8572" xr:uid="{00000000-0005-0000-0000-00007E1F0000}"/>
    <cellStyle name="40% - Énfasis5 2 8" xfId="1961" xr:uid="{00000000-0005-0000-0000-00007F1F0000}"/>
    <cellStyle name="40% - Énfasis5 2 8 2" xfId="5740" xr:uid="{00000000-0005-0000-0000-0000801F0000}"/>
    <cellStyle name="40% - Énfasis5 2 8 3" xfId="9516" xr:uid="{00000000-0005-0000-0000-0000811F0000}"/>
    <cellStyle name="40% - Énfasis5 2 9" xfId="3852" xr:uid="{00000000-0005-0000-0000-0000821F0000}"/>
    <cellStyle name="40% - Énfasis5 3" xfId="68" xr:uid="{00000000-0005-0000-0000-0000831F0000}"/>
    <cellStyle name="40% - Énfasis5 3 2" xfId="132" xr:uid="{00000000-0005-0000-0000-0000841F0000}"/>
    <cellStyle name="40% - Énfasis5 3 2 2" xfId="255" xr:uid="{00000000-0005-0000-0000-0000851F0000}"/>
    <cellStyle name="40% - Énfasis5 3 2 2 2" xfId="493" xr:uid="{00000000-0005-0000-0000-0000861F0000}"/>
    <cellStyle name="40% - Énfasis5 3 2 2 2 2" xfId="967" xr:uid="{00000000-0005-0000-0000-0000871F0000}"/>
    <cellStyle name="40% - Énfasis5 3 2 2 2 2 2" xfId="1913" xr:uid="{00000000-0005-0000-0000-0000881F0000}"/>
    <cellStyle name="40% - Énfasis5 3 2 2 2 2 2 2" xfId="3803" xr:uid="{00000000-0005-0000-0000-0000891F0000}"/>
    <cellStyle name="40% - Énfasis5 3 2 2 2 2 2 2 2" xfId="7582" xr:uid="{00000000-0005-0000-0000-00008A1F0000}"/>
    <cellStyle name="40% - Énfasis5 3 2 2 2 2 2 2 3" xfId="11358" xr:uid="{00000000-0005-0000-0000-00008B1F0000}"/>
    <cellStyle name="40% - Énfasis5 3 2 2 2 2 2 3" xfId="5694" xr:uid="{00000000-0005-0000-0000-00008C1F0000}"/>
    <cellStyle name="40% - Énfasis5 3 2 2 2 2 2 4" xfId="9470" xr:uid="{00000000-0005-0000-0000-00008D1F0000}"/>
    <cellStyle name="40% - Énfasis5 3 2 2 2 2 3" xfId="2859" xr:uid="{00000000-0005-0000-0000-00008E1F0000}"/>
    <cellStyle name="40% - Énfasis5 3 2 2 2 2 3 2" xfId="6638" xr:uid="{00000000-0005-0000-0000-00008F1F0000}"/>
    <cellStyle name="40% - Énfasis5 3 2 2 2 2 3 3" xfId="10414" xr:uid="{00000000-0005-0000-0000-0000901F0000}"/>
    <cellStyle name="40% - Énfasis5 3 2 2 2 2 4" xfId="4750" xr:uid="{00000000-0005-0000-0000-0000911F0000}"/>
    <cellStyle name="40% - Énfasis5 3 2 2 2 2 5" xfId="8526" xr:uid="{00000000-0005-0000-0000-0000921F0000}"/>
    <cellStyle name="40% - Énfasis5 3 2 2 2 3" xfId="1441" xr:uid="{00000000-0005-0000-0000-0000931F0000}"/>
    <cellStyle name="40% - Énfasis5 3 2 2 2 3 2" xfId="3331" xr:uid="{00000000-0005-0000-0000-0000941F0000}"/>
    <cellStyle name="40% - Énfasis5 3 2 2 2 3 2 2" xfId="7110" xr:uid="{00000000-0005-0000-0000-0000951F0000}"/>
    <cellStyle name="40% - Énfasis5 3 2 2 2 3 2 3" xfId="10886" xr:uid="{00000000-0005-0000-0000-0000961F0000}"/>
    <cellStyle name="40% - Énfasis5 3 2 2 2 3 3" xfId="5222" xr:uid="{00000000-0005-0000-0000-0000971F0000}"/>
    <cellStyle name="40% - Énfasis5 3 2 2 2 3 4" xfId="8998" xr:uid="{00000000-0005-0000-0000-0000981F0000}"/>
    <cellStyle name="40% - Énfasis5 3 2 2 2 4" xfId="2387" xr:uid="{00000000-0005-0000-0000-0000991F0000}"/>
    <cellStyle name="40% - Énfasis5 3 2 2 2 4 2" xfId="6166" xr:uid="{00000000-0005-0000-0000-00009A1F0000}"/>
    <cellStyle name="40% - Énfasis5 3 2 2 2 4 3" xfId="9942" xr:uid="{00000000-0005-0000-0000-00009B1F0000}"/>
    <cellStyle name="40% - Énfasis5 3 2 2 2 5" xfId="4278" xr:uid="{00000000-0005-0000-0000-00009C1F0000}"/>
    <cellStyle name="40% - Énfasis5 3 2 2 2 6" xfId="8054" xr:uid="{00000000-0005-0000-0000-00009D1F0000}"/>
    <cellStyle name="40% - Énfasis5 3 2 2 3" xfId="731" xr:uid="{00000000-0005-0000-0000-00009E1F0000}"/>
    <cellStyle name="40% - Énfasis5 3 2 2 3 2" xfId="1677" xr:uid="{00000000-0005-0000-0000-00009F1F0000}"/>
    <cellStyle name="40% - Énfasis5 3 2 2 3 2 2" xfId="3567" xr:uid="{00000000-0005-0000-0000-0000A01F0000}"/>
    <cellStyle name="40% - Énfasis5 3 2 2 3 2 2 2" xfId="7346" xr:uid="{00000000-0005-0000-0000-0000A11F0000}"/>
    <cellStyle name="40% - Énfasis5 3 2 2 3 2 2 3" xfId="11122" xr:uid="{00000000-0005-0000-0000-0000A21F0000}"/>
    <cellStyle name="40% - Énfasis5 3 2 2 3 2 3" xfId="5458" xr:uid="{00000000-0005-0000-0000-0000A31F0000}"/>
    <cellStyle name="40% - Énfasis5 3 2 2 3 2 4" xfId="9234" xr:uid="{00000000-0005-0000-0000-0000A41F0000}"/>
    <cellStyle name="40% - Énfasis5 3 2 2 3 3" xfId="2623" xr:uid="{00000000-0005-0000-0000-0000A51F0000}"/>
    <cellStyle name="40% - Énfasis5 3 2 2 3 3 2" xfId="6402" xr:uid="{00000000-0005-0000-0000-0000A61F0000}"/>
    <cellStyle name="40% - Énfasis5 3 2 2 3 3 3" xfId="10178" xr:uid="{00000000-0005-0000-0000-0000A71F0000}"/>
    <cellStyle name="40% - Énfasis5 3 2 2 3 4" xfId="4514" xr:uid="{00000000-0005-0000-0000-0000A81F0000}"/>
    <cellStyle name="40% - Énfasis5 3 2 2 3 5" xfId="8290" xr:uid="{00000000-0005-0000-0000-0000A91F0000}"/>
    <cellStyle name="40% - Énfasis5 3 2 2 4" xfId="1205" xr:uid="{00000000-0005-0000-0000-0000AA1F0000}"/>
    <cellStyle name="40% - Énfasis5 3 2 2 4 2" xfId="3095" xr:uid="{00000000-0005-0000-0000-0000AB1F0000}"/>
    <cellStyle name="40% - Énfasis5 3 2 2 4 2 2" xfId="6874" xr:uid="{00000000-0005-0000-0000-0000AC1F0000}"/>
    <cellStyle name="40% - Énfasis5 3 2 2 4 2 3" xfId="10650" xr:uid="{00000000-0005-0000-0000-0000AD1F0000}"/>
    <cellStyle name="40% - Énfasis5 3 2 2 4 3" xfId="4986" xr:uid="{00000000-0005-0000-0000-0000AE1F0000}"/>
    <cellStyle name="40% - Énfasis5 3 2 2 4 4" xfId="8762" xr:uid="{00000000-0005-0000-0000-0000AF1F0000}"/>
    <cellStyle name="40% - Énfasis5 3 2 2 5" xfId="2151" xr:uid="{00000000-0005-0000-0000-0000B01F0000}"/>
    <cellStyle name="40% - Énfasis5 3 2 2 5 2" xfId="5930" xr:uid="{00000000-0005-0000-0000-0000B11F0000}"/>
    <cellStyle name="40% - Énfasis5 3 2 2 5 3" xfId="9706" xr:uid="{00000000-0005-0000-0000-0000B21F0000}"/>
    <cellStyle name="40% - Énfasis5 3 2 2 6" xfId="4042" xr:uid="{00000000-0005-0000-0000-0000B31F0000}"/>
    <cellStyle name="40% - Énfasis5 3 2 2 7" xfId="7818" xr:uid="{00000000-0005-0000-0000-0000B41F0000}"/>
    <cellStyle name="40% - Énfasis5 3 2 3" xfId="375" xr:uid="{00000000-0005-0000-0000-0000B51F0000}"/>
    <cellStyle name="40% - Énfasis5 3 2 3 2" xfId="849" xr:uid="{00000000-0005-0000-0000-0000B61F0000}"/>
    <cellStyle name="40% - Énfasis5 3 2 3 2 2" xfId="1795" xr:uid="{00000000-0005-0000-0000-0000B71F0000}"/>
    <cellStyle name="40% - Énfasis5 3 2 3 2 2 2" xfId="3685" xr:uid="{00000000-0005-0000-0000-0000B81F0000}"/>
    <cellStyle name="40% - Énfasis5 3 2 3 2 2 2 2" xfId="7464" xr:uid="{00000000-0005-0000-0000-0000B91F0000}"/>
    <cellStyle name="40% - Énfasis5 3 2 3 2 2 2 3" xfId="11240" xr:uid="{00000000-0005-0000-0000-0000BA1F0000}"/>
    <cellStyle name="40% - Énfasis5 3 2 3 2 2 3" xfId="5576" xr:uid="{00000000-0005-0000-0000-0000BB1F0000}"/>
    <cellStyle name="40% - Énfasis5 3 2 3 2 2 4" xfId="9352" xr:uid="{00000000-0005-0000-0000-0000BC1F0000}"/>
    <cellStyle name="40% - Énfasis5 3 2 3 2 3" xfId="2741" xr:uid="{00000000-0005-0000-0000-0000BD1F0000}"/>
    <cellStyle name="40% - Énfasis5 3 2 3 2 3 2" xfId="6520" xr:uid="{00000000-0005-0000-0000-0000BE1F0000}"/>
    <cellStyle name="40% - Énfasis5 3 2 3 2 3 3" xfId="10296" xr:uid="{00000000-0005-0000-0000-0000BF1F0000}"/>
    <cellStyle name="40% - Énfasis5 3 2 3 2 4" xfId="4632" xr:uid="{00000000-0005-0000-0000-0000C01F0000}"/>
    <cellStyle name="40% - Énfasis5 3 2 3 2 5" xfId="8408" xr:uid="{00000000-0005-0000-0000-0000C11F0000}"/>
    <cellStyle name="40% - Énfasis5 3 2 3 3" xfId="1323" xr:uid="{00000000-0005-0000-0000-0000C21F0000}"/>
    <cellStyle name="40% - Énfasis5 3 2 3 3 2" xfId="3213" xr:uid="{00000000-0005-0000-0000-0000C31F0000}"/>
    <cellStyle name="40% - Énfasis5 3 2 3 3 2 2" xfId="6992" xr:uid="{00000000-0005-0000-0000-0000C41F0000}"/>
    <cellStyle name="40% - Énfasis5 3 2 3 3 2 3" xfId="10768" xr:uid="{00000000-0005-0000-0000-0000C51F0000}"/>
    <cellStyle name="40% - Énfasis5 3 2 3 3 3" xfId="5104" xr:uid="{00000000-0005-0000-0000-0000C61F0000}"/>
    <cellStyle name="40% - Énfasis5 3 2 3 3 4" xfId="8880" xr:uid="{00000000-0005-0000-0000-0000C71F0000}"/>
    <cellStyle name="40% - Énfasis5 3 2 3 4" xfId="2269" xr:uid="{00000000-0005-0000-0000-0000C81F0000}"/>
    <cellStyle name="40% - Énfasis5 3 2 3 4 2" xfId="6048" xr:uid="{00000000-0005-0000-0000-0000C91F0000}"/>
    <cellStyle name="40% - Énfasis5 3 2 3 4 3" xfId="9824" xr:uid="{00000000-0005-0000-0000-0000CA1F0000}"/>
    <cellStyle name="40% - Énfasis5 3 2 3 5" xfId="4160" xr:uid="{00000000-0005-0000-0000-0000CB1F0000}"/>
    <cellStyle name="40% - Énfasis5 3 2 3 6" xfId="7936" xr:uid="{00000000-0005-0000-0000-0000CC1F0000}"/>
    <cellStyle name="40% - Énfasis5 3 2 4" xfId="613" xr:uid="{00000000-0005-0000-0000-0000CD1F0000}"/>
    <cellStyle name="40% - Énfasis5 3 2 4 2" xfId="1559" xr:uid="{00000000-0005-0000-0000-0000CE1F0000}"/>
    <cellStyle name="40% - Énfasis5 3 2 4 2 2" xfId="3449" xr:uid="{00000000-0005-0000-0000-0000CF1F0000}"/>
    <cellStyle name="40% - Énfasis5 3 2 4 2 2 2" xfId="7228" xr:uid="{00000000-0005-0000-0000-0000D01F0000}"/>
    <cellStyle name="40% - Énfasis5 3 2 4 2 2 3" xfId="11004" xr:uid="{00000000-0005-0000-0000-0000D11F0000}"/>
    <cellStyle name="40% - Énfasis5 3 2 4 2 3" xfId="5340" xr:uid="{00000000-0005-0000-0000-0000D21F0000}"/>
    <cellStyle name="40% - Énfasis5 3 2 4 2 4" xfId="9116" xr:uid="{00000000-0005-0000-0000-0000D31F0000}"/>
    <cellStyle name="40% - Énfasis5 3 2 4 3" xfId="2505" xr:uid="{00000000-0005-0000-0000-0000D41F0000}"/>
    <cellStyle name="40% - Énfasis5 3 2 4 3 2" xfId="6284" xr:uid="{00000000-0005-0000-0000-0000D51F0000}"/>
    <cellStyle name="40% - Énfasis5 3 2 4 3 3" xfId="10060" xr:uid="{00000000-0005-0000-0000-0000D61F0000}"/>
    <cellStyle name="40% - Énfasis5 3 2 4 4" xfId="4396" xr:uid="{00000000-0005-0000-0000-0000D71F0000}"/>
    <cellStyle name="40% - Énfasis5 3 2 4 5" xfId="8172" xr:uid="{00000000-0005-0000-0000-0000D81F0000}"/>
    <cellStyle name="40% - Énfasis5 3 2 5" xfId="1087" xr:uid="{00000000-0005-0000-0000-0000D91F0000}"/>
    <cellStyle name="40% - Énfasis5 3 2 5 2" xfId="2977" xr:uid="{00000000-0005-0000-0000-0000DA1F0000}"/>
    <cellStyle name="40% - Énfasis5 3 2 5 2 2" xfId="6756" xr:uid="{00000000-0005-0000-0000-0000DB1F0000}"/>
    <cellStyle name="40% - Énfasis5 3 2 5 2 3" xfId="10532" xr:uid="{00000000-0005-0000-0000-0000DC1F0000}"/>
    <cellStyle name="40% - Énfasis5 3 2 5 3" xfId="4868" xr:uid="{00000000-0005-0000-0000-0000DD1F0000}"/>
    <cellStyle name="40% - Énfasis5 3 2 5 4" xfId="8644" xr:uid="{00000000-0005-0000-0000-0000DE1F0000}"/>
    <cellStyle name="40% - Énfasis5 3 2 6" xfId="2033" xr:uid="{00000000-0005-0000-0000-0000DF1F0000}"/>
    <cellStyle name="40% - Énfasis5 3 2 6 2" xfId="5812" xr:uid="{00000000-0005-0000-0000-0000E01F0000}"/>
    <cellStyle name="40% - Énfasis5 3 2 6 3" xfId="9588" xr:uid="{00000000-0005-0000-0000-0000E11F0000}"/>
    <cellStyle name="40% - Énfasis5 3 2 7" xfId="3924" xr:uid="{00000000-0005-0000-0000-0000E21F0000}"/>
    <cellStyle name="40% - Énfasis5 3 2 8" xfId="7700" xr:uid="{00000000-0005-0000-0000-0000E31F0000}"/>
    <cellStyle name="40% - Énfasis5 3 3" xfId="196" xr:uid="{00000000-0005-0000-0000-0000E41F0000}"/>
    <cellStyle name="40% - Énfasis5 3 3 2" xfId="434" xr:uid="{00000000-0005-0000-0000-0000E51F0000}"/>
    <cellStyle name="40% - Énfasis5 3 3 2 2" xfId="908" xr:uid="{00000000-0005-0000-0000-0000E61F0000}"/>
    <cellStyle name="40% - Énfasis5 3 3 2 2 2" xfId="1854" xr:uid="{00000000-0005-0000-0000-0000E71F0000}"/>
    <cellStyle name="40% - Énfasis5 3 3 2 2 2 2" xfId="3744" xr:uid="{00000000-0005-0000-0000-0000E81F0000}"/>
    <cellStyle name="40% - Énfasis5 3 3 2 2 2 2 2" xfId="7523" xr:uid="{00000000-0005-0000-0000-0000E91F0000}"/>
    <cellStyle name="40% - Énfasis5 3 3 2 2 2 2 3" xfId="11299" xr:uid="{00000000-0005-0000-0000-0000EA1F0000}"/>
    <cellStyle name="40% - Énfasis5 3 3 2 2 2 3" xfId="5635" xr:uid="{00000000-0005-0000-0000-0000EB1F0000}"/>
    <cellStyle name="40% - Énfasis5 3 3 2 2 2 4" xfId="9411" xr:uid="{00000000-0005-0000-0000-0000EC1F0000}"/>
    <cellStyle name="40% - Énfasis5 3 3 2 2 3" xfId="2800" xr:uid="{00000000-0005-0000-0000-0000ED1F0000}"/>
    <cellStyle name="40% - Énfasis5 3 3 2 2 3 2" xfId="6579" xr:uid="{00000000-0005-0000-0000-0000EE1F0000}"/>
    <cellStyle name="40% - Énfasis5 3 3 2 2 3 3" xfId="10355" xr:uid="{00000000-0005-0000-0000-0000EF1F0000}"/>
    <cellStyle name="40% - Énfasis5 3 3 2 2 4" xfId="4691" xr:uid="{00000000-0005-0000-0000-0000F01F0000}"/>
    <cellStyle name="40% - Énfasis5 3 3 2 2 5" xfId="8467" xr:uid="{00000000-0005-0000-0000-0000F11F0000}"/>
    <cellStyle name="40% - Énfasis5 3 3 2 3" xfId="1382" xr:uid="{00000000-0005-0000-0000-0000F21F0000}"/>
    <cellStyle name="40% - Énfasis5 3 3 2 3 2" xfId="3272" xr:uid="{00000000-0005-0000-0000-0000F31F0000}"/>
    <cellStyle name="40% - Énfasis5 3 3 2 3 2 2" xfId="7051" xr:uid="{00000000-0005-0000-0000-0000F41F0000}"/>
    <cellStyle name="40% - Énfasis5 3 3 2 3 2 3" xfId="10827" xr:uid="{00000000-0005-0000-0000-0000F51F0000}"/>
    <cellStyle name="40% - Énfasis5 3 3 2 3 3" xfId="5163" xr:uid="{00000000-0005-0000-0000-0000F61F0000}"/>
    <cellStyle name="40% - Énfasis5 3 3 2 3 4" xfId="8939" xr:uid="{00000000-0005-0000-0000-0000F71F0000}"/>
    <cellStyle name="40% - Énfasis5 3 3 2 4" xfId="2328" xr:uid="{00000000-0005-0000-0000-0000F81F0000}"/>
    <cellStyle name="40% - Énfasis5 3 3 2 4 2" xfId="6107" xr:uid="{00000000-0005-0000-0000-0000F91F0000}"/>
    <cellStyle name="40% - Énfasis5 3 3 2 4 3" xfId="9883" xr:uid="{00000000-0005-0000-0000-0000FA1F0000}"/>
    <cellStyle name="40% - Énfasis5 3 3 2 5" xfId="4219" xr:uid="{00000000-0005-0000-0000-0000FB1F0000}"/>
    <cellStyle name="40% - Énfasis5 3 3 2 6" xfId="7995" xr:uid="{00000000-0005-0000-0000-0000FC1F0000}"/>
    <cellStyle name="40% - Énfasis5 3 3 3" xfId="672" xr:uid="{00000000-0005-0000-0000-0000FD1F0000}"/>
    <cellStyle name="40% - Énfasis5 3 3 3 2" xfId="1618" xr:uid="{00000000-0005-0000-0000-0000FE1F0000}"/>
    <cellStyle name="40% - Énfasis5 3 3 3 2 2" xfId="3508" xr:uid="{00000000-0005-0000-0000-0000FF1F0000}"/>
    <cellStyle name="40% - Énfasis5 3 3 3 2 2 2" xfId="7287" xr:uid="{00000000-0005-0000-0000-000000200000}"/>
    <cellStyle name="40% - Énfasis5 3 3 3 2 2 3" xfId="11063" xr:uid="{00000000-0005-0000-0000-000001200000}"/>
    <cellStyle name="40% - Énfasis5 3 3 3 2 3" xfId="5399" xr:uid="{00000000-0005-0000-0000-000002200000}"/>
    <cellStyle name="40% - Énfasis5 3 3 3 2 4" xfId="9175" xr:uid="{00000000-0005-0000-0000-000003200000}"/>
    <cellStyle name="40% - Énfasis5 3 3 3 3" xfId="2564" xr:uid="{00000000-0005-0000-0000-000004200000}"/>
    <cellStyle name="40% - Énfasis5 3 3 3 3 2" xfId="6343" xr:uid="{00000000-0005-0000-0000-000005200000}"/>
    <cellStyle name="40% - Énfasis5 3 3 3 3 3" xfId="10119" xr:uid="{00000000-0005-0000-0000-000006200000}"/>
    <cellStyle name="40% - Énfasis5 3 3 3 4" xfId="4455" xr:uid="{00000000-0005-0000-0000-000007200000}"/>
    <cellStyle name="40% - Énfasis5 3 3 3 5" xfId="8231" xr:uid="{00000000-0005-0000-0000-000008200000}"/>
    <cellStyle name="40% - Énfasis5 3 3 4" xfId="1146" xr:uid="{00000000-0005-0000-0000-000009200000}"/>
    <cellStyle name="40% - Énfasis5 3 3 4 2" xfId="3036" xr:uid="{00000000-0005-0000-0000-00000A200000}"/>
    <cellStyle name="40% - Énfasis5 3 3 4 2 2" xfId="6815" xr:uid="{00000000-0005-0000-0000-00000B200000}"/>
    <cellStyle name="40% - Énfasis5 3 3 4 2 3" xfId="10591" xr:uid="{00000000-0005-0000-0000-00000C200000}"/>
    <cellStyle name="40% - Énfasis5 3 3 4 3" xfId="4927" xr:uid="{00000000-0005-0000-0000-00000D200000}"/>
    <cellStyle name="40% - Énfasis5 3 3 4 4" xfId="8703" xr:uid="{00000000-0005-0000-0000-00000E200000}"/>
    <cellStyle name="40% - Énfasis5 3 3 5" xfId="2092" xr:uid="{00000000-0005-0000-0000-00000F200000}"/>
    <cellStyle name="40% - Énfasis5 3 3 5 2" xfId="5871" xr:uid="{00000000-0005-0000-0000-000010200000}"/>
    <cellStyle name="40% - Énfasis5 3 3 5 3" xfId="9647" xr:uid="{00000000-0005-0000-0000-000011200000}"/>
    <cellStyle name="40% - Énfasis5 3 3 6" xfId="3983" xr:uid="{00000000-0005-0000-0000-000012200000}"/>
    <cellStyle name="40% - Énfasis5 3 3 7" xfId="7759" xr:uid="{00000000-0005-0000-0000-000013200000}"/>
    <cellStyle name="40% - Énfasis5 3 4" xfId="316" xr:uid="{00000000-0005-0000-0000-000014200000}"/>
    <cellStyle name="40% - Énfasis5 3 4 2" xfId="790" xr:uid="{00000000-0005-0000-0000-000015200000}"/>
    <cellStyle name="40% - Énfasis5 3 4 2 2" xfId="1736" xr:uid="{00000000-0005-0000-0000-000016200000}"/>
    <cellStyle name="40% - Énfasis5 3 4 2 2 2" xfId="3626" xr:uid="{00000000-0005-0000-0000-000017200000}"/>
    <cellStyle name="40% - Énfasis5 3 4 2 2 2 2" xfId="7405" xr:uid="{00000000-0005-0000-0000-000018200000}"/>
    <cellStyle name="40% - Énfasis5 3 4 2 2 2 3" xfId="11181" xr:uid="{00000000-0005-0000-0000-000019200000}"/>
    <cellStyle name="40% - Énfasis5 3 4 2 2 3" xfId="5517" xr:uid="{00000000-0005-0000-0000-00001A200000}"/>
    <cellStyle name="40% - Énfasis5 3 4 2 2 4" xfId="9293" xr:uid="{00000000-0005-0000-0000-00001B200000}"/>
    <cellStyle name="40% - Énfasis5 3 4 2 3" xfId="2682" xr:uid="{00000000-0005-0000-0000-00001C200000}"/>
    <cellStyle name="40% - Énfasis5 3 4 2 3 2" xfId="6461" xr:uid="{00000000-0005-0000-0000-00001D200000}"/>
    <cellStyle name="40% - Énfasis5 3 4 2 3 3" xfId="10237" xr:uid="{00000000-0005-0000-0000-00001E200000}"/>
    <cellStyle name="40% - Énfasis5 3 4 2 4" xfId="4573" xr:uid="{00000000-0005-0000-0000-00001F200000}"/>
    <cellStyle name="40% - Énfasis5 3 4 2 5" xfId="8349" xr:uid="{00000000-0005-0000-0000-000020200000}"/>
    <cellStyle name="40% - Énfasis5 3 4 3" xfId="1264" xr:uid="{00000000-0005-0000-0000-000021200000}"/>
    <cellStyle name="40% - Énfasis5 3 4 3 2" xfId="3154" xr:uid="{00000000-0005-0000-0000-000022200000}"/>
    <cellStyle name="40% - Énfasis5 3 4 3 2 2" xfId="6933" xr:uid="{00000000-0005-0000-0000-000023200000}"/>
    <cellStyle name="40% - Énfasis5 3 4 3 2 3" xfId="10709" xr:uid="{00000000-0005-0000-0000-000024200000}"/>
    <cellStyle name="40% - Énfasis5 3 4 3 3" xfId="5045" xr:uid="{00000000-0005-0000-0000-000025200000}"/>
    <cellStyle name="40% - Énfasis5 3 4 3 4" xfId="8821" xr:uid="{00000000-0005-0000-0000-000026200000}"/>
    <cellStyle name="40% - Énfasis5 3 4 4" xfId="2210" xr:uid="{00000000-0005-0000-0000-000027200000}"/>
    <cellStyle name="40% - Énfasis5 3 4 4 2" xfId="5989" xr:uid="{00000000-0005-0000-0000-000028200000}"/>
    <cellStyle name="40% - Énfasis5 3 4 4 3" xfId="9765" xr:uid="{00000000-0005-0000-0000-000029200000}"/>
    <cellStyle name="40% - Énfasis5 3 4 5" xfId="4101" xr:uid="{00000000-0005-0000-0000-00002A200000}"/>
    <cellStyle name="40% - Énfasis5 3 4 6" xfId="7877" xr:uid="{00000000-0005-0000-0000-00002B200000}"/>
    <cellStyle name="40% - Énfasis5 3 5" xfId="554" xr:uid="{00000000-0005-0000-0000-00002C200000}"/>
    <cellStyle name="40% - Énfasis5 3 5 2" xfId="1500" xr:uid="{00000000-0005-0000-0000-00002D200000}"/>
    <cellStyle name="40% - Énfasis5 3 5 2 2" xfId="3390" xr:uid="{00000000-0005-0000-0000-00002E200000}"/>
    <cellStyle name="40% - Énfasis5 3 5 2 2 2" xfId="7169" xr:uid="{00000000-0005-0000-0000-00002F200000}"/>
    <cellStyle name="40% - Énfasis5 3 5 2 2 3" xfId="10945" xr:uid="{00000000-0005-0000-0000-000030200000}"/>
    <cellStyle name="40% - Énfasis5 3 5 2 3" xfId="5281" xr:uid="{00000000-0005-0000-0000-000031200000}"/>
    <cellStyle name="40% - Énfasis5 3 5 2 4" xfId="9057" xr:uid="{00000000-0005-0000-0000-000032200000}"/>
    <cellStyle name="40% - Énfasis5 3 5 3" xfId="2446" xr:uid="{00000000-0005-0000-0000-000033200000}"/>
    <cellStyle name="40% - Énfasis5 3 5 3 2" xfId="6225" xr:uid="{00000000-0005-0000-0000-000034200000}"/>
    <cellStyle name="40% - Énfasis5 3 5 3 3" xfId="10001" xr:uid="{00000000-0005-0000-0000-000035200000}"/>
    <cellStyle name="40% - Énfasis5 3 5 4" xfId="4337" xr:uid="{00000000-0005-0000-0000-000036200000}"/>
    <cellStyle name="40% - Énfasis5 3 5 5" xfId="8113" xr:uid="{00000000-0005-0000-0000-000037200000}"/>
    <cellStyle name="40% - Énfasis5 3 6" xfId="1028" xr:uid="{00000000-0005-0000-0000-000038200000}"/>
    <cellStyle name="40% - Énfasis5 3 6 2" xfId="2918" xr:uid="{00000000-0005-0000-0000-000039200000}"/>
    <cellStyle name="40% - Énfasis5 3 6 2 2" xfId="6697" xr:uid="{00000000-0005-0000-0000-00003A200000}"/>
    <cellStyle name="40% - Énfasis5 3 6 2 3" xfId="10473" xr:uid="{00000000-0005-0000-0000-00003B200000}"/>
    <cellStyle name="40% - Énfasis5 3 6 3" xfId="4809" xr:uid="{00000000-0005-0000-0000-00003C200000}"/>
    <cellStyle name="40% - Énfasis5 3 6 4" xfId="8585" xr:uid="{00000000-0005-0000-0000-00003D200000}"/>
    <cellStyle name="40% - Énfasis5 3 7" xfId="1974" xr:uid="{00000000-0005-0000-0000-00003E200000}"/>
    <cellStyle name="40% - Énfasis5 3 7 2" xfId="5753" xr:uid="{00000000-0005-0000-0000-00003F200000}"/>
    <cellStyle name="40% - Énfasis5 3 7 3" xfId="9529" xr:uid="{00000000-0005-0000-0000-000040200000}"/>
    <cellStyle name="40% - Énfasis5 3 8" xfId="3865" xr:uid="{00000000-0005-0000-0000-000041200000}"/>
    <cellStyle name="40% - Énfasis5 3 9" xfId="7641" xr:uid="{00000000-0005-0000-0000-000042200000}"/>
    <cellStyle name="40% - Énfasis5 4" xfId="101" xr:uid="{00000000-0005-0000-0000-000043200000}"/>
    <cellStyle name="40% - Énfasis5 4 2" xfId="226" xr:uid="{00000000-0005-0000-0000-000044200000}"/>
    <cellStyle name="40% - Énfasis5 4 2 2" xfId="464" xr:uid="{00000000-0005-0000-0000-000045200000}"/>
    <cellStyle name="40% - Énfasis5 4 2 2 2" xfId="938" xr:uid="{00000000-0005-0000-0000-000046200000}"/>
    <cellStyle name="40% - Énfasis5 4 2 2 2 2" xfId="1884" xr:uid="{00000000-0005-0000-0000-000047200000}"/>
    <cellStyle name="40% - Énfasis5 4 2 2 2 2 2" xfId="3774" xr:uid="{00000000-0005-0000-0000-000048200000}"/>
    <cellStyle name="40% - Énfasis5 4 2 2 2 2 2 2" xfId="7553" xr:uid="{00000000-0005-0000-0000-000049200000}"/>
    <cellStyle name="40% - Énfasis5 4 2 2 2 2 2 3" xfId="11329" xr:uid="{00000000-0005-0000-0000-00004A200000}"/>
    <cellStyle name="40% - Énfasis5 4 2 2 2 2 3" xfId="5665" xr:uid="{00000000-0005-0000-0000-00004B200000}"/>
    <cellStyle name="40% - Énfasis5 4 2 2 2 2 4" xfId="9441" xr:uid="{00000000-0005-0000-0000-00004C200000}"/>
    <cellStyle name="40% - Énfasis5 4 2 2 2 3" xfId="2830" xr:uid="{00000000-0005-0000-0000-00004D200000}"/>
    <cellStyle name="40% - Énfasis5 4 2 2 2 3 2" xfId="6609" xr:uid="{00000000-0005-0000-0000-00004E200000}"/>
    <cellStyle name="40% - Énfasis5 4 2 2 2 3 3" xfId="10385" xr:uid="{00000000-0005-0000-0000-00004F200000}"/>
    <cellStyle name="40% - Énfasis5 4 2 2 2 4" xfId="4721" xr:uid="{00000000-0005-0000-0000-000050200000}"/>
    <cellStyle name="40% - Énfasis5 4 2 2 2 5" xfId="8497" xr:uid="{00000000-0005-0000-0000-000051200000}"/>
    <cellStyle name="40% - Énfasis5 4 2 2 3" xfId="1412" xr:uid="{00000000-0005-0000-0000-000052200000}"/>
    <cellStyle name="40% - Énfasis5 4 2 2 3 2" xfId="3302" xr:uid="{00000000-0005-0000-0000-000053200000}"/>
    <cellStyle name="40% - Énfasis5 4 2 2 3 2 2" xfId="7081" xr:uid="{00000000-0005-0000-0000-000054200000}"/>
    <cellStyle name="40% - Énfasis5 4 2 2 3 2 3" xfId="10857" xr:uid="{00000000-0005-0000-0000-000055200000}"/>
    <cellStyle name="40% - Énfasis5 4 2 2 3 3" xfId="5193" xr:uid="{00000000-0005-0000-0000-000056200000}"/>
    <cellStyle name="40% - Énfasis5 4 2 2 3 4" xfId="8969" xr:uid="{00000000-0005-0000-0000-000057200000}"/>
    <cellStyle name="40% - Énfasis5 4 2 2 4" xfId="2358" xr:uid="{00000000-0005-0000-0000-000058200000}"/>
    <cellStyle name="40% - Énfasis5 4 2 2 4 2" xfId="6137" xr:uid="{00000000-0005-0000-0000-000059200000}"/>
    <cellStyle name="40% - Énfasis5 4 2 2 4 3" xfId="9913" xr:uid="{00000000-0005-0000-0000-00005A200000}"/>
    <cellStyle name="40% - Énfasis5 4 2 2 5" xfId="4249" xr:uid="{00000000-0005-0000-0000-00005B200000}"/>
    <cellStyle name="40% - Énfasis5 4 2 2 6" xfId="8025" xr:uid="{00000000-0005-0000-0000-00005C200000}"/>
    <cellStyle name="40% - Énfasis5 4 2 3" xfId="702" xr:uid="{00000000-0005-0000-0000-00005D200000}"/>
    <cellStyle name="40% - Énfasis5 4 2 3 2" xfId="1648" xr:uid="{00000000-0005-0000-0000-00005E200000}"/>
    <cellStyle name="40% - Énfasis5 4 2 3 2 2" xfId="3538" xr:uid="{00000000-0005-0000-0000-00005F200000}"/>
    <cellStyle name="40% - Énfasis5 4 2 3 2 2 2" xfId="7317" xr:uid="{00000000-0005-0000-0000-000060200000}"/>
    <cellStyle name="40% - Énfasis5 4 2 3 2 2 3" xfId="11093" xr:uid="{00000000-0005-0000-0000-000061200000}"/>
    <cellStyle name="40% - Énfasis5 4 2 3 2 3" xfId="5429" xr:uid="{00000000-0005-0000-0000-000062200000}"/>
    <cellStyle name="40% - Énfasis5 4 2 3 2 4" xfId="9205" xr:uid="{00000000-0005-0000-0000-000063200000}"/>
    <cellStyle name="40% - Énfasis5 4 2 3 3" xfId="2594" xr:uid="{00000000-0005-0000-0000-000064200000}"/>
    <cellStyle name="40% - Énfasis5 4 2 3 3 2" xfId="6373" xr:uid="{00000000-0005-0000-0000-000065200000}"/>
    <cellStyle name="40% - Énfasis5 4 2 3 3 3" xfId="10149" xr:uid="{00000000-0005-0000-0000-000066200000}"/>
    <cellStyle name="40% - Énfasis5 4 2 3 4" xfId="4485" xr:uid="{00000000-0005-0000-0000-000067200000}"/>
    <cellStyle name="40% - Énfasis5 4 2 3 5" xfId="8261" xr:uid="{00000000-0005-0000-0000-000068200000}"/>
    <cellStyle name="40% - Énfasis5 4 2 4" xfId="1176" xr:uid="{00000000-0005-0000-0000-000069200000}"/>
    <cellStyle name="40% - Énfasis5 4 2 4 2" xfId="3066" xr:uid="{00000000-0005-0000-0000-00006A200000}"/>
    <cellStyle name="40% - Énfasis5 4 2 4 2 2" xfId="6845" xr:uid="{00000000-0005-0000-0000-00006B200000}"/>
    <cellStyle name="40% - Énfasis5 4 2 4 2 3" xfId="10621" xr:uid="{00000000-0005-0000-0000-00006C200000}"/>
    <cellStyle name="40% - Énfasis5 4 2 4 3" xfId="4957" xr:uid="{00000000-0005-0000-0000-00006D200000}"/>
    <cellStyle name="40% - Énfasis5 4 2 4 4" xfId="8733" xr:uid="{00000000-0005-0000-0000-00006E200000}"/>
    <cellStyle name="40% - Énfasis5 4 2 5" xfId="2122" xr:uid="{00000000-0005-0000-0000-00006F200000}"/>
    <cellStyle name="40% - Énfasis5 4 2 5 2" xfId="5901" xr:uid="{00000000-0005-0000-0000-000070200000}"/>
    <cellStyle name="40% - Énfasis5 4 2 5 3" xfId="9677" xr:uid="{00000000-0005-0000-0000-000071200000}"/>
    <cellStyle name="40% - Énfasis5 4 2 6" xfId="4013" xr:uid="{00000000-0005-0000-0000-000072200000}"/>
    <cellStyle name="40% - Énfasis5 4 2 7" xfId="7789" xr:uid="{00000000-0005-0000-0000-000073200000}"/>
    <cellStyle name="40% - Énfasis5 4 3" xfId="346" xr:uid="{00000000-0005-0000-0000-000074200000}"/>
    <cellStyle name="40% - Énfasis5 4 3 2" xfId="820" xr:uid="{00000000-0005-0000-0000-000075200000}"/>
    <cellStyle name="40% - Énfasis5 4 3 2 2" xfId="1766" xr:uid="{00000000-0005-0000-0000-000076200000}"/>
    <cellStyle name="40% - Énfasis5 4 3 2 2 2" xfId="3656" xr:uid="{00000000-0005-0000-0000-000077200000}"/>
    <cellStyle name="40% - Énfasis5 4 3 2 2 2 2" xfId="7435" xr:uid="{00000000-0005-0000-0000-000078200000}"/>
    <cellStyle name="40% - Énfasis5 4 3 2 2 2 3" xfId="11211" xr:uid="{00000000-0005-0000-0000-000079200000}"/>
    <cellStyle name="40% - Énfasis5 4 3 2 2 3" xfId="5547" xr:uid="{00000000-0005-0000-0000-00007A200000}"/>
    <cellStyle name="40% - Énfasis5 4 3 2 2 4" xfId="9323" xr:uid="{00000000-0005-0000-0000-00007B200000}"/>
    <cellStyle name="40% - Énfasis5 4 3 2 3" xfId="2712" xr:uid="{00000000-0005-0000-0000-00007C200000}"/>
    <cellStyle name="40% - Énfasis5 4 3 2 3 2" xfId="6491" xr:uid="{00000000-0005-0000-0000-00007D200000}"/>
    <cellStyle name="40% - Énfasis5 4 3 2 3 3" xfId="10267" xr:uid="{00000000-0005-0000-0000-00007E200000}"/>
    <cellStyle name="40% - Énfasis5 4 3 2 4" xfId="4603" xr:uid="{00000000-0005-0000-0000-00007F200000}"/>
    <cellStyle name="40% - Énfasis5 4 3 2 5" xfId="8379" xr:uid="{00000000-0005-0000-0000-000080200000}"/>
    <cellStyle name="40% - Énfasis5 4 3 3" xfId="1294" xr:uid="{00000000-0005-0000-0000-000081200000}"/>
    <cellStyle name="40% - Énfasis5 4 3 3 2" xfId="3184" xr:uid="{00000000-0005-0000-0000-000082200000}"/>
    <cellStyle name="40% - Énfasis5 4 3 3 2 2" xfId="6963" xr:uid="{00000000-0005-0000-0000-000083200000}"/>
    <cellStyle name="40% - Énfasis5 4 3 3 2 3" xfId="10739" xr:uid="{00000000-0005-0000-0000-000084200000}"/>
    <cellStyle name="40% - Énfasis5 4 3 3 3" xfId="5075" xr:uid="{00000000-0005-0000-0000-000085200000}"/>
    <cellStyle name="40% - Énfasis5 4 3 3 4" xfId="8851" xr:uid="{00000000-0005-0000-0000-000086200000}"/>
    <cellStyle name="40% - Énfasis5 4 3 4" xfId="2240" xr:uid="{00000000-0005-0000-0000-000087200000}"/>
    <cellStyle name="40% - Énfasis5 4 3 4 2" xfId="6019" xr:uid="{00000000-0005-0000-0000-000088200000}"/>
    <cellStyle name="40% - Énfasis5 4 3 4 3" xfId="9795" xr:uid="{00000000-0005-0000-0000-000089200000}"/>
    <cellStyle name="40% - Énfasis5 4 3 5" xfId="4131" xr:uid="{00000000-0005-0000-0000-00008A200000}"/>
    <cellStyle name="40% - Énfasis5 4 3 6" xfId="7907" xr:uid="{00000000-0005-0000-0000-00008B200000}"/>
    <cellStyle name="40% - Énfasis5 4 4" xfId="584" xr:uid="{00000000-0005-0000-0000-00008C200000}"/>
    <cellStyle name="40% - Énfasis5 4 4 2" xfId="1530" xr:uid="{00000000-0005-0000-0000-00008D200000}"/>
    <cellStyle name="40% - Énfasis5 4 4 2 2" xfId="3420" xr:uid="{00000000-0005-0000-0000-00008E200000}"/>
    <cellStyle name="40% - Énfasis5 4 4 2 2 2" xfId="7199" xr:uid="{00000000-0005-0000-0000-00008F200000}"/>
    <cellStyle name="40% - Énfasis5 4 4 2 2 3" xfId="10975" xr:uid="{00000000-0005-0000-0000-000090200000}"/>
    <cellStyle name="40% - Énfasis5 4 4 2 3" xfId="5311" xr:uid="{00000000-0005-0000-0000-000091200000}"/>
    <cellStyle name="40% - Énfasis5 4 4 2 4" xfId="9087" xr:uid="{00000000-0005-0000-0000-000092200000}"/>
    <cellStyle name="40% - Énfasis5 4 4 3" xfId="2476" xr:uid="{00000000-0005-0000-0000-000093200000}"/>
    <cellStyle name="40% - Énfasis5 4 4 3 2" xfId="6255" xr:uid="{00000000-0005-0000-0000-000094200000}"/>
    <cellStyle name="40% - Énfasis5 4 4 3 3" xfId="10031" xr:uid="{00000000-0005-0000-0000-000095200000}"/>
    <cellStyle name="40% - Énfasis5 4 4 4" xfId="4367" xr:uid="{00000000-0005-0000-0000-000096200000}"/>
    <cellStyle name="40% - Énfasis5 4 4 5" xfId="8143" xr:uid="{00000000-0005-0000-0000-000097200000}"/>
    <cellStyle name="40% - Énfasis5 4 5" xfId="1058" xr:uid="{00000000-0005-0000-0000-000098200000}"/>
    <cellStyle name="40% - Énfasis5 4 5 2" xfId="2948" xr:uid="{00000000-0005-0000-0000-000099200000}"/>
    <cellStyle name="40% - Énfasis5 4 5 2 2" xfId="6727" xr:uid="{00000000-0005-0000-0000-00009A200000}"/>
    <cellStyle name="40% - Énfasis5 4 5 2 3" xfId="10503" xr:uid="{00000000-0005-0000-0000-00009B200000}"/>
    <cellStyle name="40% - Énfasis5 4 5 3" xfId="4839" xr:uid="{00000000-0005-0000-0000-00009C200000}"/>
    <cellStyle name="40% - Énfasis5 4 5 4" xfId="8615" xr:uid="{00000000-0005-0000-0000-00009D200000}"/>
    <cellStyle name="40% - Énfasis5 4 6" xfId="2004" xr:uid="{00000000-0005-0000-0000-00009E200000}"/>
    <cellStyle name="40% - Énfasis5 4 6 2" xfId="5783" xr:uid="{00000000-0005-0000-0000-00009F200000}"/>
    <cellStyle name="40% - Énfasis5 4 6 3" xfId="9559" xr:uid="{00000000-0005-0000-0000-0000A0200000}"/>
    <cellStyle name="40% - Énfasis5 4 7" xfId="3895" xr:uid="{00000000-0005-0000-0000-0000A1200000}"/>
    <cellStyle name="40% - Énfasis5 4 8" xfId="7671" xr:uid="{00000000-0005-0000-0000-0000A2200000}"/>
    <cellStyle name="40% - Énfasis5 5" xfId="165" xr:uid="{00000000-0005-0000-0000-0000A3200000}"/>
    <cellStyle name="40% - Énfasis5 5 2" xfId="405" xr:uid="{00000000-0005-0000-0000-0000A4200000}"/>
    <cellStyle name="40% - Énfasis5 5 2 2" xfId="879" xr:uid="{00000000-0005-0000-0000-0000A5200000}"/>
    <cellStyle name="40% - Énfasis5 5 2 2 2" xfId="1825" xr:uid="{00000000-0005-0000-0000-0000A6200000}"/>
    <cellStyle name="40% - Énfasis5 5 2 2 2 2" xfId="3715" xr:uid="{00000000-0005-0000-0000-0000A7200000}"/>
    <cellStyle name="40% - Énfasis5 5 2 2 2 2 2" xfId="7494" xr:uid="{00000000-0005-0000-0000-0000A8200000}"/>
    <cellStyle name="40% - Énfasis5 5 2 2 2 2 3" xfId="11270" xr:uid="{00000000-0005-0000-0000-0000A9200000}"/>
    <cellStyle name="40% - Énfasis5 5 2 2 2 3" xfId="5606" xr:uid="{00000000-0005-0000-0000-0000AA200000}"/>
    <cellStyle name="40% - Énfasis5 5 2 2 2 4" xfId="9382" xr:uid="{00000000-0005-0000-0000-0000AB200000}"/>
    <cellStyle name="40% - Énfasis5 5 2 2 3" xfId="2771" xr:uid="{00000000-0005-0000-0000-0000AC200000}"/>
    <cellStyle name="40% - Énfasis5 5 2 2 3 2" xfId="6550" xr:uid="{00000000-0005-0000-0000-0000AD200000}"/>
    <cellStyle name="40% - Énfasis5 5 2 2 3 3" xfId="10326" xr:uid="{00000000-0005-0000-0000-0000AE200000}"/>
    <cellStyle name="40% - Énfasis5 5 2 2 4" xfId="4662" xr:uid="{00000000-0005-0000-0000-0000AF200000}"/>
    <cellStyle name="40% - Énfasis5 5 2 2 5" xfId="8438" xr:uid="{00000000-0005-0000-0000-0000B0200000}"/>
    <cellStyle name="40% - Énfasis5 5 2 3" xfId="1353" xr:uid="{00000000-0005-0000-0000-0000B1200000}"/>
    <cellStyle name="40% - Énfasis5 5 2 3 2" xfId="3243" xr:uid="{00000000-0005-0000-0000-0000B2200000}"/>
    <cellStyle name="40% - Énfasis5 5 2 3 2 2" xfId="7022" xr:uid="{00000000-0005-0000-0000-0000B3200000}"/>
    <cellStyle name="40% - Énfasis5 5 2 3 2 3" xfId="10798" xr:uid="{00000000-0005-0000-0000-0000B4200000}"/>
    <cellStyle name="40% - Énfasis5 5 2 3 3" xfId="5134" xr:uid="{00000000-0005-0000-0000-0000B5200000}"/>
    <cellStyle name="40% - Énfasis5 5 2 3 4" xfId="8910" xr:uid="{00000000-0005-0000-0000-0000B6200000}"/>
    <cellStyle name="40% - Énfasis5 5 2 4" xfId="2299" xr:uid="{00000000-0005-0000-0000-0000B7200000}"/>
    <cellStyle name="40% - Énfasis5 5 2 4 2" xfId="6078" xr:uid="{00000000-0005-0000-0000-0000B8200000}"/>
    <cellStyle name="40% - Énfasis5 5 2 4 3" xfId="9854" xr:uid="{00000000-0005-0000-0000-0000B9200000}"/>
    <cellStyle name="40% - Énfasis5 5 2 5" xfId="4190" xr:uid="{00000000-0005-0000-0000-0000BA200000}"/>
    <cellStyle name="40% - Énfasis5 5 2 6" xfId="7966" xr:uid="{00000000-0005-0000-0000-0000BB200000}"/>
    <cellStyle name="40% - Énfasis5 5 3" xfId="643" xr:uid="{00000000-0005-0000-0000-0000BC200000}"/>
    <cellStyle name="40% - Énfasis5 5 3 2" xfId="1589" xr:uid="{00000000-0005-0000-0000-0000BD200000}"/>
    <cellStyle name="40% - Énfasis5 5 3 2 2" xfId="3479" xr:uid="{00000000-0005-0000-0000-0000BE200000}"/>
    <cellStyle name="40% - Énfasis5 5 3 2 2 2" xfId="7258" xr:uid="{00000000-0005-0000-0000-0000BF200000}"/>
    <cellStyle name="40% - Énfasis5 5 3 2 2 3" xfId="11034" xr:uid="{00000000-0005-0000-0000-0000C0200000}"/>
    <cellStyle name="40% - Énfasis5 5 3 2 3" xfId="5370" xr:uid="{00000000-0005-0000-0000-0000C1200000}"/>
    <cellStyle name="40% - Énfasis5 5 3 2 4" xfId="9146" xr:uid="{00000000-0005-0000-0000-0000C2200000}"/>
    <cellStyle name="40% - Énfasis5 5 3 3" xfId="2535" xr:uid="{00000000-0005-0000-0000-0000C3200000}"/>
    <cellStyle name="40% - Énfasis5 5 3 3 2" xfId="6314" xr:uid="{00000000-0005-0000-0000-0000C4200000}"/>
    <cellStyle name="40% - Énfasis5 5 3 3 3" xfId="10090" xr:uid="{00000000-0005-0000-0000-0000C5200000}"/>
    <cellStyle name="40% - Énfasis5 5 3 4" xfId="4426" xr:uid="{00000000-0005-0000-0000-0000C6200000}"/>
    <cellStyle name="40% - Énfasis5 5 3 5" xfId="8202" xr:uid="{00000000-0005-0000-0000-0000C7200000}"/>
    <cellStyle name="40% - Énfasis5 5 4" xfId="1117" xr:uid="{00000000-0005-0000-0000-0000C8200000}"/>
    <cellStyle name="40% - Énfasis5 5 4 2" xfId="3007" xr:uid="{00000000-0005-0000-0000-0000C9200000}"/>
    <cellStyle name="40% - Énfasis5 5 4 2 2" xfId="6786" xr:uid="{00000000-0005-0000-0000-0000CA200000}"/>
    <cellStyle name="40% - Énfasis5 5 4 2 3" xfId="10562" xr:uid="{00000000-0005-0000-0000-0000CB200000}"/>
    <cellStyle name="40% - Énfasis5 5 4 3" xfId="4898" xr:uid="{00000000-0005-0000-0000-0000CC200000}"/>
    <cellStyle name="40% - Énfasis5 5 4 4" xfId="8674" xr:uid="{00000000-0005-0000-0000-0000CD200000}"/>
    <cellStyle name="40% - Énfasis5 5 5" xfId="2063" xr:uid="{00000000-0005-0000-0000-0000CE200000}"/>
    <cellStyle name="40% - Énfasis5 5 5 2" xfId="5842" xr:uid="{00000000-0005-0000-0000-0000CF200000}"/>
    <cellStyle name="40% - Énfasis5 5 5 3" xfId="9618" xr:uid="{00000000-0005-0000-0000-0000D0200000}"/>
    <cellStyle name="40% - Énfasis5 5 6" xfId="3954" xr:uid="{00000000-0005-0000-0000-0000D1200000}"/>
    <cellStyle name="40% - Énfasis5 5 7" xfId="7730" xr:uid="{00000000-0005-0000-0000-0000D2200000}"/>
    <cellStyle name="40% - Énfasis5 6" xfId="285" xr:uid="{00000000-0005-0000-0000-0000D3200000}"/>
    <cellStyle name="40% - Énfasis5 6 2" xfId="761" xr:uid="{00000000-0005-0000-0000-0000D4200000}"/>
    <cellStyle name="40% - Énfasis5 6 2 2" xfId="1707" xr:uid="{00000000-0005-0000-0000-0000D5200000}"/>
    <cellStyle name="40% - Énfasis5 6 2 2 2" xfId="3597" xr:uid="{00000000-0005-0000-0000-0000D6200000}"/>
    <cellStyle name="40% - Énfasis5 6 2 2 2 2" xfId="7376" xr:uid="{00000000-0005-0000-0000-0000D7200000}"/>
    <cellStyle name="40% - Énfasis5 6 2 2 2 3" xfId="11152" xr:uid="{00000000-0005-0000-0000-0000D8200000}"/>
    <cellStyle name="40% - Énfasis5 6 2 2 3" xfId="5488" xr:uid="{00000000-0005-0000-0000-0000D9200000}"/>
    <cellStyle name="40% - Énfasis5 6 2 2 4" xfId="9264" xr:uid="{00000000-0005-0000-0000-0000DA200000}"/>
    <cellStyle name="40% - Énfasis5 6 2 3" xfId="2653" xr:uid="{00000000-0005-0000-0000-0000DB200000}"/>
    <cellStyle name="40% - Énfasis5 6 2 3 2" xfId="6432" xr:uid="{00000000-0005-0000-0000-0000DC200000}"/>
    <cellStyle name="40% - Énfasis5 6 2 3 3" xfId="10208" xr:uid="{00000000-0005-0000-0000-0000DD200000}"/>
    <cellStyle name="40% - Énfasis5 6 2 4" xfId="4544" xr:uid="{00000000-0005-0000-0000-0000DE200000}"/>
    <cellStyle name="40% - Énfasis5 6 2 5" xfId="8320" xr:uid="{00000000-0005-0000-0000-0000DF200000}"/>
    <cellStyle name="40% - Énfasis5 6 3" xfId="1235" xr:uid="{00000000-0005-0000-0000-0000E0200000}"/>
    <cellStyle name="40% - Énfasis5 6 3 2" xfId="3125" xr:uid="{00000000-0005-0000-0000-0000E1200000}"/>
    <cellStyle name="40% - Énfasis5 6 3 2 2" xfId="6904" xr:uid="{00000000-0005-0000-0000-0000E2200000}"/>
    <cellStyle name="40% - Énfasis5 6 3 2 3" xfId="10680" xr:uid="{00000000-0005-0000-0000-0000E3200000}"/>
    <cellStyle name="40% - Énfasis5 6 3 3" xfId="5016" xr:uid="{00000000-0005-0000-0000-0000E4200000}"/>
    <cellStyle name="40% - Énfasis5 6 3 4" xfId="8792" xr:uid="{00000000-0005-0000-0000-0000E5200000}"/>
    <cellStyle name="40% - Énfasis5 6 4" xfId="2181" xr:uid="{00000000-0005-0000-0000-0000E6200000}"/>
    <cellStyle name="40% - Énfasis5 6 4 2" xfId="5960" xr:uid="{00000000-0005-0000-0000-0000E7200000}"/>
    <cellStyle name="40% - Énfasis5 6 4 3" xfId="9736" xr:uid="{00000000-0005-0000-0000-0000E8200000}"/>
    <cellStyle name="40% - Énfasis5 6 5" xfId="4072" xr:uid="{00000000-0005-0000-0000-0000E9200000}"/>
    <cellStyle name="40% - Énfasis5 6 6" xfId="7848" xr:uid="{00000000-0005-0000-0000-0000EA200000}"/>
    <cellStyle name="40% - Énfasis5 7" xfId="523" xr:uid="{00000000-0005-0000-0000-0000EB200000}"/>
    <cellStyle name="40% - Énfasis5 7 2" xfId="1471" xr:uid="{00000000-0005-0000-0000-0000EC200000}"/>
    <cellStyle name="40% - Énfasis5 7 2 2" xfId="3361" xr:uid="{00000000-0005-0000-0000-0000ED200000}"/>
    <cellStyle name="40% - Énfasis5 7 2 2 2" xfId="7140" xr:uid="{00000000-0005-0000-0000-0000EE200000}"/>
    <cellStyle name="40% - Énfasis5 7 2 2 3" xfId="10916" xr:uid="{00000000-0005-0000-0000-0000EF200000}"/>
    <cellStyle name="40% - Énfasis5 7 2 3" xfId="5252" xr:uid="{00000000-0005-0000-0000-0000F0200000}"/>
    <cellStyle name="40% - Énfasis5 7 2 4" xfId="9028" xr:uid="{00000000-0005-0000-0000-0000F1200000}"/>
    <cellStyle name="40% - Énfasis5 7 3" xfId="2417" xr:uid="{00000000-0005-0000-0000-0000F2200000}"/>
    <cellStyle name="40% - Énfasis5 7 3 2" xfId="6196" xr:uid="{00000000-0005-0000-0000-0000F3200000}"/>
    <cellStyle name="40% - Énfasis5 7 3 3" xfId="9972" xr:uid="{00000000-0005-0000-0000-0000F4200000}"/>
    <cellStyle name="40% - Énfasis5 7 4" xfId="4308" xr:uid="{00000000-0005-0000-0000-0000F5200000}"/>
    <cellStyle name="40% - Énfasis5 7 5" xfId="8084" xr:uid="{00000000-0005-0000-0000-0000F6200000}"/>
    <cellStyle name="40% - Énfasis5 8" xfId="997" xr:uid="{00000000-0005-0000-0000-0000F7200000}"/>
    <cellStyle name="40% - Énfasis5 8 2" xfId="2889" xr:uid="{00000000-0005-0000-0000-0000F8200000}"/>
    <cellStyle name="40% - Énfasis5 8 2 2" xfId="6668" xr:uid="{00000000-0005-0000-0000-0000F9200000}"/>
    <cellStyle name="40% - Énfasis5 8 2 3" xfId="10444" xr:uid="{00000000-0005-0000-0000-0000FA200000}"/>
    <cellStyle name="40% - Énfasis5 8 3" xfId="4780" xr:uid="{00000000-0005-0000-0000-0000FB200000}"/>
    <cellStyle name="40% - Énfasis5 8 4" xfId="8556" xr:uid="{00000000-0005-0000-0000-0000FC200000}"/>
    <cellStyle name="40% - Énfasis5 9" xfId="1943" xr:uid="{00000000-0005-0000-0000-0000FD200000}"/>
    <cellStyle name="40% - Énfasis5 9 2" xfId="5724" xr:uid="{00000000-0005-0000-0000-0000FE200000}"/>
    <cellStyle name="40% - Énfasis5 9 3" xfId="9500" xr:uid="{00000000-0005-0000-0000-0000FF200000}"/>
    <cellStyle name="40% - Énfasis6" xfId="40" builtinId="51" customBuiltin="1"/>
    <cellStyle name="40% - Énfasis6 10" xfId="3836" xr:uid="{00000000-0005-0000-0000-000001210000}"/>
    <cellStyle name="40% - Énfasis6 11" xfId="7614" xr:uid="{00000000-0005-0000-0000-000002210000}"/>
    <cellStyle name="40% - Énfasis6 2" xfId="57" xr:uid="{00000000-0005-0000-0000-000003210000}"/>
    <cellStyle name="40% - Énfasis6 2 10" xfId="7630" xr:uid="{00000000-0005-0000-0000-000004210000}"/>
    <cellStyle name="40% - Énfasis6 2 2" xfId="88" xr:uid="{00000000-0005-0000-0000-000005210000}"/>
    <cellStyle name="40% - Énfasis6 2 2 2" xfId="151" xr:uid="{00000000-0005-0000-0000-000006210000}"/>
    <cellStyle name="40% - Énfasis6 2 2 2 2" xfId="273" xr:uid="{00000000-0005-0000-0000-000007210000}"/>
    <cellStyle name="40% - Énfasis6 2 2 2 2 2" xfId="511" xr:uid="{00000000-0005-0000-0000-000008210000}"/>
    <cellStyle name="40% - Énfasis6 2 2 2 2 2 2" xfId="985" xr:uid="{00000000-0005-0000-0000-000009210000}"/>
    <cellStyle name="40% - Énfasis6 2 2 2 2 2 2 2" xfId="1931" xr:uid="{00000000-0005-0000-0000-00000A210000}"/>
    <cellStyle name="40% - Énfasis6 2 2 2 2 2 2 2 2" xfId="3821" xr:uid="{00000000-0005-0000-0000-00000B210000}"/>
    <cellStyle name="40% - Énfasis6 2 2 2 2 2 2 2 2 2" xfId="7600" xr:uid="{00000000-0005-0000-0000-00000C210000}"/>
    <cellStyle name="40% - Énfasis6 2 2 2 2 2 2 2 2 3" xfId="11376" xr:uid="{00000000-0005-0000-0000-00000D210000}"/>
    <cellStyle name="40% - Énfasis6 2 2 2 2 2 2 2 3" xfId="5712" xr:uid="{00000000-0005-0000-0000-00000E210000}"/>
    <cellStyle name="40% - Énfasis6 2 2 2 2 2 2 2 4" xfId="9488" xr:uid="{00000000-0005-0000-0000-00000F210000}"/>
    <cellStyle name="40% - Énfasis6 2 2 2 2 2 2 3" xfId="2877" xr:uid="{00000000-0005-0000-0000-000010210000}"/>
    <cellStyle name="40% - Énfasis6 2 2 2 2 2 2 3 2" xfId="6656" xr:uid="{00000000-0005-0000-0000-000011210000}"/>
    <cellStyle name="40% - Énfasis6 2 2 2 2 2 2 3 3" xfId="10432" xr:uid="{00000000-0005-0000-0000-000012210000}"/>
    <cellStyle name="40% - Énfasis6 2 2 2 2 2 2 4" xfId="4768" xr:uid="{00000000-0005-0000-0000-000013210000}"/>
    <cellStyle name="40% - Énfasis6 2 2 2 2 2 2 5" xfId="8544" xr:uid="{00000000-0005-0000-0000-000014210000}"/>
    <cellStyle name="40% - Énfasis6 2 2 2 2 2 3" xfId="1459" xr:uid="{00000000-0005-0000-0000-000015210000}"/>
    <cellStyle name="40% - Énfasis6 2 2 2 2 2 3 2" xfId="3349" xr:uid="{00000000-0005-0000-0000-000016210000}"/>
    <cellStyle name="40% - Énfasis6 2 2 2 2 2 3 2 2" xfId="7128" xr:uid="{00000000-0005-0000-0000-000017210000}"/>
    <cellStyle name="40% - Énfasis6 2 2 2 2 2 3 2 3" xfId="10904" xr:uid="{00000000-0005-0000-0000-000018210000}"/>
    <cellStyle name="40% - Énfasis6 2 2 2 2 2 3 3" xfId="5240" xr:uid="{00000000-0005-0000-0000-000019210000}"/>
    <cellStyle name="40% - Énfasis6 2 2 2 2 2 3 4" xfId="9016" xr:uid="{00000000-0005-0000-0000-00001A210000}"/>
    <cellStyle name="40% - Énfasis6 2 2 2 2 2 4" xfId="2405" xr:uid="{00000000-0005-0000-0000-00001B210000}"/>
    <cellStyle name="40% - Énfasis6 2 2 2 2 2 4 2" xfId="6184" xr:uid="{00000000-0005-0000-0000-00001C210000}"/>
    <cellStyle name="40% - Énfasis6 2 2 2 2 2 4 3" xfId="9960" xr:uid="{00000000-0005-0000-0000-00001D210000}"/>
    <cellStyle name="40% - Énfasis6 2 2 2 2 2 5" xfId="4296" xr:uid="{00000000-0005-0000-0000-00001E210000}"/>
    <cellStyle name="40% - Énfasis6 2 2 2 2 2 6" xfId="8072" xr:uid="{00000000-0005-0000-0000-00001F210000}"/>
    <cellStyle name="40% - Énfasis6 2 2 2 2 3" xfId="749" xr:uid="{00000000-0005-0000-0000-000020210000}"/>
    <cellStyle name="40% - Énfasis6 2 2 2 2 3 2" xfId="1695" xr:uid="{00000000-0005-0000-0000-000021210000}"/>
    <cellStyle name="40% - Énfasis6 2 2 2 2 3 2 2" xfId="3585" xr:uid="{00000000-0005-0000-0000-000022210000}"/>
    <cellStyle name="40% - Énfasis6 2 2 2 2 3 2 2 2" xfId="7364" xr:uid="{00000000-0005-0000-0000-000023210000}"/>
    <cellStyle name="40% - Énfasis6 2 2 2 2 3 2 2 3" xfId="11140" xr:uid="{00000000-0005-0000-0000-000024210000}"/>
    <cellStyle name="40% - Énfasis6 2 2 2 2 3 2 3" xfId="5476" xr:uid="{00000000-0005-0000-0000-000025210000}"/>
    <cellStyle name="40% - Énfasis6 2 2 2 2 3 2 4" xfId="9252" xr:uid="{00000000-0005-0000-0000-000026210000}"/>
    <cellStyle name="40% - Énfasis6 2 2 2 2 3 3" xfId="2641" xr:uid="{00000000-0005-0000-0000-000027210000}"/>
    <cellStyle name="40% - Énfasis6 2 2 2 2 3 3 2" xfId="6420" xr:uid="{00000000-0005-0000-0000-000028210000}"/>
    <cellStyle name="40% - Énfasis6 2 2 2 2 3 3 3" xfId="10196" xr:uid="{00000000-0005-0000-0000-000029210000}"/>
    <cellStyle name="40% - Énfasis6 2 2 2 2 3 4" xfId="4532" xr:uid="{00000000-0005-0000-0000-00002A210000}"/>
    <cellStyle name="40% - Énfasis6 2 2 2 2 3 5" xfId="8308" xr:uid="{00000000-0005-0000-0000-00002B210000}"/>
    <cellStyle name="40% - Énfasis6 2 2 2 2 4" xfId="1223" xr:uid="{00000000-0005-0000-0000-00002C210000}"/>
    <cellStyle name="40% - Énfasis6 2 2 2 2 4 2" xfId="3113" xr:uid="{00000000-0005-0000-0000-00002D210000}"/>
    <cellStyle name="40% - Énfasis6 2 2 2 2 4 2 2" xfId="6892" xr:uid="{00000000-0005-0000-0000-00002E210000}"/>
    <cellStyle name="40% - Énfasis6 2 2 2 2 4 2 3" xfId="10668" xr:uid="{00000000-0005-0000-0000-00002F210000}"/>
    <cellStyle name="40% - Énfasis6 2 2 2 2 4 3" xfId="5004" xr:uid="{00000000-0005-0000-0000-000030210000}"/>
    <cellStyle name="40% - Énfasis6 2 2 2 2 4 4" xfId="8780" xr:uid="{00000000-0005-0000-0000-000031210000}"/>
    <cellStyle name="40% - Énfasis6 2 2 2 2 5" xfId="2169" xr:uid="{00000000-0005-0000-0000-000032210000}"/>
    <cellStyle name="40% - Énfasis6 2 2 2 2 5 2" xfId="5948" xr:uid="{00000000-0005-0000-0000-000033210000}"/>
    <cellStyle name="40% - Énfasis6 2 2 2 2 5 3" xfId="9724" xr:uid="{00000000-0005-0000-0000-000034210000}"/>
    <cellStyle name="40% - Énfasis6 2 2 2 2 6" xfId="4060" xr:uid="{00000000-0005-0000-0000-000035210000}"/>
    <cellStyle name="40% - Énfasis6 2 2 2 2 7" xfId="7836" xr:uid="{00000000-0005-0000-0000-000036210000}"/>
    <cellStyle name="40% - Énfasis6 2 2 2 3" xfId="393" xr:uid="{00000000-0005-0000-0000-000037210000}"/>
    <cellStyle name="40% - Énfasis6 2 2 2 3 2" xfId="867" xr:uid="{00000000-0005-0000-0000-000038210000}"/>
    <cellStyle name="40% - Énfasis6 2 2 2 3 2 2" xfId="1813" xr:uid="{00000000-0005-0000-0000-000039210000}"/>
    <cellStyle name="40% - Énfasis6 2 2 2 3 2 2 2" xfId="3703" xr:uid="{00000000-0005-0000-0000-00003A210000}"/>
    <cellStyle name="40% - Énfasis6 2 2 2 3 2 2 2 2" xfId="7482" xr:uid="{00000000-0005-0000-0000-00003B210000}"/>
    <cellStyle name="40% - Énfasis6 2 2 2 3 2 2 2 3" xfId="11258" xr:uid="{00000000-0005-0000-0000-00003C210000}"/>
    <cellStyle name="40% - Énfasis6 2 2 2 3 2 2 3" xfId="5594" xr:uid="{00000000-0005-0000-0000-00003D210000}"/>
    <cellStyle name="40% - Énfasis6 2 2 2 3 2 2 4" xfId="9370" xr:uid="{00000000-0005-0000-0000-00003E210000}"/>
    <cellStyle name="40% - Énfasis6 2 2 2 3 2 3" xfId="2759" xr:uid="{00000000-0005-0000-0000-00003F210000}"/>
    <cellStyle name="40% - Énfasis6 2 2 2 3 2 3 2" xfId="6538" xr:uid="{00000000-0005-0000-0000-000040210000}"/>
    <cellStyle name="40% - Énfasis6 2 2 2 3 2 3 3" xfId="10314" xr:uid="{00000000-0005-0000-0000-000041210000}"/>
    <cellStyle name="40% - Énfasis6 2 2 2 3 2 4" xfId="4650" xr:uid="{00000000-0005-0000-0000-000042210000}"/>
    <cellStyle name="40% - Énfasis6 2 2 2 3 2 5" xfId="8426" xr:uid="{00000000-0005-0000-0000-000043210000}"/>
    <cellStyle name="40% - Énfasis6 2 2 2 3 3" xfId="1341" xr:uid="{00000000-0005-0000-0000-000044210000}"/>
    <cellStyle name="40% - Énfasis6 2 2 2 3 3 2" xfId="3231" xr:uid="{00000000-0005-0000-0000-000045210000}"/>
    <cellStyle name="40% - Énfasis6 2 2 2 3 3 2 2" xfId="7010" xr:uid="{00000000-0005-0000-0000-000046210000}"/>
    <cellStyle name="40% - Énfasis6 2 2 2 3 3 2 3" xfId="10786" xr:uid="{00000000-0005-0000-0000-000047210000}"/>
    <cellStyle name="40% - Énfasis6 2 2 2 3 3 3" xfId="5122" xr:uid="{00000000-0005-0000-0000-000048210000}"/>
    <cellStyle name="40% - Énfasis6 2 2 2 3 3 4" xfId="8898" xr:uid="{00000000-0005-0000-0000-000049210000}"/>
    <cellStyle name="40% - Énfasis6 2 2 2 3 4" xfId="2287" xr:uid="{00000000-0005-0000-0000-00004A210000}"/>
    <cellStyle name="40% - Énfasis6 2 2 2 3 4 2" xfId="6066" xr:uid="{00000000-0005-0000-0000-00004B210000}"/>
    <cellStyle name="40% - Énfasis6 2 2 2 3 4 3" xfId="9842" xr:uid="{00000000-0005-0000-0000-00004C210000}"/>
    <cellStyle name="40% - Énfasis6 2 2 2 3 5" xfId="4178" xr:uid="{00000000-0005-0000-0000-00004D210000}"/>
    <cellStyle name="40% - Énfasis6 2 2 2 3 6" xfId="7954" xr:uid="{00000000-0005-0000-0000-00004E210000}"/>
    <cellStyle name="40% - Énfasis6 2 2 2 4" xfId="631" xr:uid="{00000000-0005-0000-0000-00004F210000}"/>
    <cellStyle name="40% - Énfasis6 2 2 2 4 2" xfId="1577" xr:uid="{00000000-0005-0000-0000-000050210000}"/>
    <cellStyle name="40% - Énfasis6 2 2 2 4 2 2" xfId="3467" xr:uid="{00000000-0005-0000-0000-000051210000}"/>
    <cellStyle name="40% - Énfasis6 2 2 2 4 2 2 2" xfId="7246" xr:uid="{00000000-0005-0000-0000-000052210000}"/>
    <cellStyle name="40% - Énfasis6 2 2 2 4 2 2 3" xfId="11022" xr:uid="{00000000-0005-0000-0000-000053210000}"/>
    <cellStyle name="40% - Énfasis6 2 2 2 4 2 3" xfId="5358" xr:uid="{00000000-0005-0000-0000-000054210000}"/>
    <cellStyle name="40% - Énfasis6 2 2 2 4 2 4" xfId="9134" xr:uid="{00000000-0005-0000-0000-000055210000}"/>
    <cellStyle name="40% - Énfasis6 2 2 2 4 3" xfId="2523" xr:uid="{00000000-0005-0000-0000-000056210000}"/>
    <cellStyle name="40% - Énfasis6 2 2 2 4 3 2" xfId="6302" xr:uid="{00000000-0005-0000-0000-000057210000}"/>
    <cellStyle name="40% - Énfasis6 2 2 2 4 3 3" xfId="10078" xr:uid="{00000000-0005-0000-0000-000058210000}"/>
    <cellStyle name="40% - Énfasis6 2 2 2 4 4" xfId="4414" xr:uid="{00000000-0005-0000-0000-000059210000}"/>
    <cellStyle name="40% - Énfasis6 2 2 2 4 5" xfId="8190" xr:uid="{00000000-0005-0000-0000-00005A210000}"/>
    <cellStyle name="40% - Énfasis6 2 2 2 5" xfId="1105" xr:uid="{00000000-0005-0000-0000-00005B210000}"/>
    <cellStyle name="40% - Énfasis6 2 2 2 5 2" xfId="2995" xr:uid="{00000000-0005-0000-0000-00005C210000}"/>
    <cellStyle name="40% - Énfasis6 2 2 2 5 2 2" xfId="6774" xr:uid="{00000000-0005-0000-0000-00005D210000}"/>
    <cellStyle name="40% - Énfasis6 2 2 2 5 2 3" xfId="10550" xr:uid="{00000000-0005-0000-0000-00005E210000}"/>
    <cellStyle name="40% - Énfasis6 2 2 2 5 3" xfId="4886" xr:uid="{00000000-0005-0000-0000-00005F210000}"/>
    <cellStyle name="40% - Énfasis6 2 2 2 5 4" xfId="8662" xr:uid="{00000000-0005-0000-0000-000060210000}"/>
    <cellStyle name="40% - Énfasis6 2 2 2 6" xfId="2051" xr:uid="{00000000-0005-0000-0000-000061210000}"/>
    <cellStyle name="40% - Énfasis6 2 2 2 6 2" xfId="5830" xr:uid="{00000000-0005-0000-0000-000062210000}"/>
    <cellStyle name="40% - Énfasis6 2 2 2 6 3" xfId="9606" xr:uid="{00000000-0005-0000-0000-000063210000}"/>
    <cellStyle name="40% - Énfasis6 2 2 2 7" xfId="3942" xr:uid="{00000000-0005-0000-0000-000064210000}"/>
    <cellStyle name="40% - Énfasis6 2 2 2 8" xfId="7718" xr:uid="{00000000-0005-0000-0000-000065210000}"/>
    <cellStyle name="40% - Énfasis6 2 2 3" xfId="214" xr:uid="{00000000-0005-0000-0000-000066210000}"/>
    <cellStyle name="40% - Énfasis6 2 2 3 2" xfId="452" xr:uid="{00000000-0005-0000-0000-000067210000}"/>
    <cellStyle name="40% - Énfasis6 2 2 3 2 2" xfId="926" xr:uid="{00000000-0005-0000-0000-000068210000}"/>
    <cellStyle name="40% - Énfasis6 2 2 3 2 2 2" xfId="1872" xr:uid="{00000000-0005-0000-0000-000069210000}"/>
    <cellStyle name="40% - Énfasis6 2 2 3 2 2 2 2" xfId="3762" xr:uid="{00000000-0005-0000-0000-00006A210000}"/>
    <cellStyle name="40% - Énfasis6 2 2 3 2 2 2 2 2" xfId="7541" xr:uid="{00000000-0005-0000-0000-00006B210000}"/>
    <cellStyle name="40% - Énfasis6 2 2 3 2 2 2 2 3" xfId="11317" xr:uid="{00000000-0005-0000-0000-00006C210000}"/>
    <cellStyle name="40% - Énfasis6 2 2 3 2 2 2 3" xfId="5653" xr:uid="{00000000-0005-0000-0000-00006D210000}"/>
    <cellStyle name="40% - Énfasis6 2 2 3 2 2 2 4" xfId="9429" xr:uid="{00000000-0005-0000-0000-00006E210000}"/>
    <cellStyle name="40% - Énfasis6 2 2 3 2 2 3" xfId="2818" xr:uid="{00000000-0005-0000-0000-00006F210000}"/>
    <cellStyle name="40% - Énfasis6 2 2 3 2 2 3 2" xfId="6597" xr:uid="{00000000-0005-0000-0000-000070210000}"/>
    <cellStyle name="40% - Énfasis6 2 2 3 2 2 3 3" xfId="10373" xr:uid="{00000000-0005-0000-0000-000071210000}"/>
    <cellStyle name="40% - Énfasis6 2 2 3 2 2 4" xfId="4709" xr:uid="{00000000-0005-0000-0000-000072210000}"/>
    <cellStyle name="40% - Énfasis6 2 2 3 2 2 5" xfId="8485" xr:uid="{00000000-0005-0000-0000-000073210000}"/>
    <cellStyle name="40% - Énfasis6 2 2 3 2 3" xfId="1400" xr:uid="{00000000-0005-0000-0000-000074210000}"/>
    <cellStyle name="40% - Énfasis6 2 2 3 2 3 2" xfId="3290" xr:uid="{00000000-0005-0000-0000-000075210000}"/>
    <cellStyle name="40% - Énfasis6 2 2 3 2 3 2 2" xfId="7069" xr:uid="{00000000-0005-0000-0000-000076210000}"/>
    <cellStyle name="40% - Énfasis6 2 2 3 2 3 2 3" xfId="10845" xr:uid="{00000000-0005-0000-0000-000077210000}"/>
    <cellStyle name="40% - Énfasis6 2 2 3 2 3 3" xfId="5181" xr:uid="{00000000-0005-0000-0000-000078210000}"/>
    <cellStyle name="40% - Énfasis6 2 2 3 2 3 4" xfId="8957" xr:uid="{00000000-0005-0000-0000-000079210000}"/>
    <cellStyle name="40% - Énfasis6 2 2 3 2 4" xfId="2346" xr:uid="{00000000-0005-0000-0000-00007A210000}"/>
    <cellStyle name="40% - Énfasis6 2 2 3 2 4 2" xfId="6125" xr:uid="{00000000-0005-0000-0000-00007B210000}"/>
    <cellStyle name="40% - Énfasis6 2 2 3 2 4 3" xfId="9901" xr:uid="{00000000-0005-0000-0000-00007C210000}"/>
    <cellStyle name="40% - Énfasis6 2 2 3 2 5" xfId="4237" xr:uid="{00000000-0005-0000-0000-00007D210000}"/>
    <cellStyle name="40% - Énfasis6 2 2 3 2 6" xfId="8013" xr:uid="{00000000-0005-0000-0000-00007E210000}"/>
    <cellStyle name="40% - Énfasis6 2 2 3 3" xfId="690" xr:uid="{00000000-0005-0000-0000-00007F210000}"/>
    <cellStyle name="40% - Énfasis6 2 2 3 3 2" xfId="1636" xr:uid="{00000000-0005-0000-0000-000080210000}"/>
    <cellStyle name="40% - Énfasis6 2 2 3 3 2 2" xfId="3526" xr:uid="{00000000-0005-0000-0000-000081210000}"/>
    <cellStyle name="40% - Énfasis6 2 2 3 3 2 2 2" xfId="7305" xr:uid="{00000000-0005-0000-0000-000082210000}"/>
    <cellStyle name="40% - Énfasis6 2 2 3 3 2 2 3" xfId="11081" xr:uid="{00000000-0005-0000-0000-000083210000}"/>
    <cellStyle name="40% - Énfasis6 2 2 3 3 2 3" xfId="5417" xr:uid="{00000000-0005-0000-0000-000084210000}"/>
    <cellStyle name="40% - Énfasis6 2 2 3 3 2 4" xfId="9193" xr:uid="{00000000-0005-0000-0000-000085210000}"/>
    <cellStyle name="40% - Énfasis6 2 2 3 3 3" xfId="2582" xr:uid="{00000000-0005-0000-0000-000086210000}"/>
    <cellStyle name="40% - Énfasis6 2 2 3 3 3 2" xfId="6361" xr:uid="{00000000-0005-0000-0000-000087210000}"/>
    <cellStyle name="40% - Énfasis6 2 2 3 3 3 3" xfId="10137" xr:uid="{00000000-0005-0000-0000-000088210000}"/>
    <cellStyle name="40% - Énfasis6 2 2 3 3 4" xfId="4473" xr:uid="{00000000-0005-0000-0000-000089210000}"/>
    <cellStyle name="40% - Énfasis6 2 2 3 3 5" xfId="8249" xr:uid="{00000000-0005-0000-0000-00008A210000}"/>
    <cellStyle name="40% - Énfasis6 2 2 3 4" xfId="1164" xr:uid="{00000000-0005-0000-0000-00008B210000}"/>
    <cellStyle name="40% - Énfasis6 2 2 3 4 2" xfId="3054" xr:uid="{00000000-0005-0000-0000-00008C210000}"/>
    <cellStyle name="40% - Énfasis6 2 2 3 4 2 2" xfId="6833" xr:uid="{00000000-0005-0000-0000-00008D210000}"/>
    <cellStyle name="40% - Énfasis6 2 2 3 4 2 3" xfId="10609" xr:uid="{00000000-0005-0000-0000-00008E210000}"/>
    <cellStyle name="40% - Énfasis6 2 2 3 4 3" xfId="4945" xr:uid="{00000000-0005-0000-0000-00008F210000}"/>
    <cellStyle name="40% - Énfasis6 2 2 3 4 4" xfId="8721" xr:uid="{00000000-0005-0000-0000-000090210000}"/>
    <cellStyle name="40% - Énfasis6 2 2 3 5" xfId="2110" xr:uid="{00000000-0005-0000-0000-000091210000}"/>
    <cellStyle name="40% - Énfasis6 2 2 3 5 2" xfId="5889" xr:uid="{00000000-0005-0000-0000-000092210000}"/>
    <cellStyle name="40% - Énfasis6 2 2 3 5 3" xfId="9665" xr:uid="{00000000-0005-0000-0000-000093210000}"/>
    <cellStyle name="40% - Énfasis6 2 2 3 6" xfId="4001" xr:uid="{00000000-0005-0000-0000-000094210000}"/>
    <cellStyle name="40% - Énfasis6 2 2 3 7" xfId="7777" xr:uid="{00000000-0005-0000-0000-000095210000}"/>
    <cellStyle name="40% - Énfasis6 2 2 4" xfId="334" xr:uid="{00000000-0005-0000-0000-000096210000}"/>
    <cellStyle name="40% - Énfasis6 2 2 4 2" xfId="808" xr:uid="{00000000-0005-0000-0000-000097210000}"/>
    <cellStyle name="40% - Énfasis6 2 2 4 2 2" xfId="1754" xr:uid="{00000000-0005-0000-0000-000098210000}"/>
    <cellStyle name="40% - Énfasis6 2 2 4 2 2 2" xfId="3644" xr:uid="{00000000-0005-0000-0000-000099210000}"/>
    <cellStyle name="40% - Énfasis6 2 2 4 2 2 2 2" xfId="7423" xr:uid="{00000000-0005-0000-0000-00009A210000}"/>
    <cellStyle name="40% - Énfasis6 2 2 4 2 2 2 3" xfId="11199" xr:uid="{00000000-0005-0000-0000-00009B210000}"/>
    <cellStyle name="40% - Énfasis6 2 2 4 2 2 3" xfId="5535" xr:uid="{00000000-0005-0000-0000-00009C210000}"/>
    <cellStyle name="40% - Énfasis6 2 2 4 2 2 4" xfId="9311" xr:uid="{00000000-0005-0000-0000-00009D210000}"/>
    <cellStyle name="40% - Énfasis6 2 2 4 2 3" xfId="2700" xr:uid="{00000000-0005-0000-0000-00009E210000}"/>
    <cellStyle name="40% - Énfasis6 2 2 4 2 3 2" xfId="6479" xr:uid="{00000000-0005-0000-0000-00009F210000}"/>
    <cellStyle name="40% - Énfasis6 2 2 4 2 3 3" xfId="10255" xr:uid="{00000000-0005-0000-0000-0000A0210000}"/>
    <cellStyle name="40% - Énfasis6 2 2 4 2 4" xfId="4591" xr:uid="{00000000-0005-0000-0000-0000A1210000}"/>
    <cellStyle name="40% - Énfasis6 2 2 4 2 5" xfId="8367" xr:uid="{00000000-0005-0000-0000-0000A2210000}"/>
    <cellStyle name="40% - Énfasis6 2 2 4 3" xfId="1282" xr:uid="{00000000-0005-0000-0000-0000A3210000}"/>
    <cellStyle name="40% - Énfasis6 2 2 4 3 2" xfId="3172" xr:uid="{00000000-0005-0000-0000-0000A4210000}"/>
    <cellStyle name="40% - Énfasis6 2 2 4 3 2 2" xfId="6951" xr:uid="{00000000-0005-0000-0000-0000A5210000}"/>
    <cellStyle name="40% - Énfasis6 2 2 4 3 2 3" xfId="10727" xr:uid="{00000000-0005-0000-0000-0000A6210000}"/>
    <cellStyle name="40% - Énfasis6 2 2 4 3 3" xfId="5063" xr:uid="{00000000-0005-0000-0000-0000A7210000}"/>
    <cellStyle name="40% - Énfasis6 2 2 4 3 4" xfId="8839" xr:uid="{00000000-0005-0000-0000-0000A8210000}"/>
    <cellStyle name="40% - Énfasis6 2 2 4 4" xfId="2228" xr:uid="{00000000-0005-0000-0000-0000A9210000}"/>
    <cellStyle name="40% - Énfasis6 2 2 4 4 2" xfId="6007" xr:uid="{00000000-0005-0000-0000-0000AA210000}"/>
    <cellStyle name="40% - Énfasis6 2 2 4 4 3" xfId="9783" xr:uid="{00000000-0005-0000-0000-0000AB210000}"/>
    <cellStyle name="40% - Énfasis6 2 2 4 5" xfId="4119" xr:uid="{00000000-0005-0000-0000-0000AC210000}"/>
    <cellStyle name="40% - Énfasis6 2 2 4 6" xfId="7895" xr:uid="{00000000-0005-0000-0000-0000AD210000}"/>
    <cellStyle name="40% - Énfasis6 2 2 5" xfId="572" xr:uid="{00000000-0005-0000-0000-0000AE210000}"/>
    <cellStyle name="40% - Énfasis6 2 2 5 2" xfId="1518" xr:uid="{00000000-0005-0000-0000-0000AF210000}"/>
    <cellStyle name="40% - Énfasis6 2 2 5 2 2" xfId="3408" xr:uid="{00000000-0005-0000-0000-0000B0210000}"/>
    <cellStyle name="40% - Énfasis6 2 2 5 2 2 2" xfId="7187" xr:uid="{00000000-0005-0000-0000-0000B1210000}"/>
    <cellStyle name="40% - Énfasis6 2 2 5 2 2 3" xfId="10963" xr:uid="{00000000-0005-0000-0000-0000B2210000}"/>
    <cellStyle name="40% - Énfasis6 2 2 5 2 3" xfId="5299" xr:uid="{00000000-0005-0000-0000-0000B3210000}"/>
    <cellStyle name="40% - Énfasis6 2 2 5 2 4" xfId="9075" xr:uid="{00000000-0005-0000-0000-0000B4210000}"/>
    <cellStyle name="40% - Énfasis6 2 2 5 3" xfId="2464" xr:uid="{00000000-0005-0000-0000-0000B5210000}"/>
    <cellStyle name="40% - Énfasis6 2 2 5 3 2" xfId="6243" xr:uid="{00000000-0005-0000-0000-0000B6210000}"/>
    <cellStyle name="40% - Énfasis6 2 2 5 3 3" xfId="10019" xr:uid="{00000000-0005-0000-0000-0000B7210000}"/>
    <cellStyle name="40% - Énfasis6 2 2 5 4" xfId="4355" xr:uid="{00000000-0005-0000-0000-0000B8210000}"/>
    <cellStyle name="40% - Énfasis6 2 2 5 5" xfId="8131" xr:uid="{00000000-0005-0000-0000-0000B9210000}"/>
    <cellStyle name="40% - Énfasis6 2 2 6" xfId="1046" xr:uid="{00000000-0005-0000-0000-0000BA210000}"/>
    <cellStyle name="40% - Énfasis6 2 2 6 2" xfId="2936" xr:uid="{00000000-0005-0000-0000-0000BB210000}"/>
    <cellStyle name="40% - Énfasis6 2 2 6 2 2" xfId="6715" xr:uid="{00000000-0005-0000-0000-0000BC210000}"/>
    <cellStyle name="40% - Énfasis6 2 2 6 2 3" xfId="10491" xr:uid="{00000000-0005-0000-0000-0000BD210000}"/>
    <cellStyle name="40% - Énfasis6 2 2 6 3" xfId="4827" xr:uid="{00000000-0005-0000-0000-0000BE210000}"/>
    <cellStyle name="40% - Énfasis6 2 2 6 4" xfId="8603" xr:uid="{00000000-0005-0000-0000-0000BF210000}"/>
    <cellStyle name="40% - Énfasis6 2 2 7" xfId="1992" xr:uid="{00000000-0005-0000-0000-0000C0210000}"/>
    <cellStyle name="40% - Énfasis6 2 2 7 2" xfId="5771" xr:uid="{00000000-0005-0000-0000-0000C1210000}"/>
    <cellStyle name="40% - Énfasis6 2 2 7 3" xfId="9547" xr:uid="{00000000-0005-0000-0000-0000C2210000}"/>
    <cellStyle name="40% - Énfasis6 2 2 8" xfId="3883" xr:uid="{00000000-0005-0000-0000-0000C3210000}"/>
    <cellStyle name="40% - Énfasis6 2 2 9" xfId="7659" xr:uid="{00000000-0005-0000-0000-0000C4210000}"/>
    <cellStyle name="40% - Énfasis6 2 3" xfId="121" xr:uid="{00000000-0005-0000-0000-0000C5210000}"/>
    <cellStyle name="40% - Énfasis6 2 3 2" xfId="244" xr:uid="{00000000-0005-0000-0000-0000C6210000}"/>
    <cellStyle name="40% - Énfasis6 2 3 2 2" xfId="482" xr:uid="{00000000-0005-0000-0000-0000C7210000}"/>
    <cellStyle name="40% - Énfasis6 2 3 2 2 2" xfId="956" xr:uid="{00000000-0005-0000-0000-0000C8210000}"/>
    <cellStyle name="40% - Énfasis6 2 3 2 2 2 2" xfId="1902" xr:uid="{00000000-0005-0000-0000-0000C9210000}"/>
    <cellStyle name="40% - Énfasis6 2 3 2 2 2 2 2" xfId="3792" xr:uid="{00000000-0005-0000-0000-0000CA210000}"/>
    <cellStyle name="40% - Énfasis6 2 3 2 2 2 2 2 2" xfId="7571" xr:uid="{00000000-0005-0000-0000-0000CB210000}"/>
    <cellStyle name="40% - Énfasis6 2 3 2 2 2 2 2 3" xfId="11347" xr:uid="{00000000-0005-0000-0000-0000CC210000}"/>
    <cellStyle name="40% - Énfasis6 2 3 2 2 2 2 3" xfId="5683" xr:uid="{00000000-0005-0000-0000-0000CD210000}"/>
    <cellStyle name="40% - Énfasis6 2 3 2 2 2 2 4" xfId="9459" xr:uid="{00000000-0005-0000-0000-0000CE210000}"/>
    <cellStyle name="40% - Énfasis6 2 3 2 2 2 3" xfId="2848" xr:uid="{00000000-0005-0000-0000-0000CF210000}"/>
    <cellStyle name="40% - Énfasis6 2 3 2 2 2 3 2" xfId="6627" xr:uid="{00000000-0005-0000-0000-0000D0210000}"/>
    <cellStyle name="40% - Énfasis6 2 3 2 2 2 3 3" xfId="10403" xr:uid="{00000000-0005-0000-0000-0000D1210000}"/>
    <cellStyle name="40% - Énfasis6 2 3 2 2 2 4" xfId="4739" xr:uid="{00000000-0005-0000-0000-0000D2210000}"/>
    <cellStyle name="40% - Énfasis6 2 3 2 2 2 5" xfId="8515" xr:uid="{00000000-0005-0000-0000-0000D3210000}"/>
    <cellStyle name="40% - Énfasis6 2 3 2 2 3" xfId="1430" xr:uid="{00000000-0005-0000-0000-0000D4210000}"/>
    <cellStyle name="40% - Énfasis6 2 3 2 2 3 2" xfId="3320" xr:uid="{00000000-0005-0000-0000-0000D5210000}"/>
    <cellStyle name="40% - Énfasis6 2 3 2 2 3 2 2" xfId="7099" xr:uid="{00000000-0005-0000-0000-0000D6210000}"/>
    <cellStyle name="40% - Énfasis6 2 3 2 2 3 2 3" xfId="10875" xr:uid="{00000000-0005-0000-0000-0000D7210000}"/>
    <cellStyle name="40% - Énfasis6 2 3 2 2 3 3" xfId="5211" xr:uid="{00000000-0005-0000-0000-0000D8210000}"/>
    <cellStyle name="40% - Énfasis6 2 3 2 2 3 4" xfId="8987" xr:uid="{00000000-0005-0000-0000-0000D9210000}"/>
    <cellStyle name="40% - Énfasis6 2 3 2 2 4" xfId="2376" xr:uid="{00000000-0005-0000-0000-0000DA210000}"/>
    <cellStyle name="40% - Énfasis6 2 3 2 2 4 2" xfId="6155" xr:uid="{00000000-0005-0000-0000-0000DB210000}"/>
    <cellStyle name="40% - Énfasis6 2 3 2 2 4 3" xfId="9931" xr:uid="{00000000-0005-0000-0000-0000DC210000}"/>
    <cellStyle name="40% - Énfasis6 2 3 2 2 5" xfId="4267" xr:uid="{00000000-0005-0000-0000-0000DD210000}"/>
    <cellStyle name="40% - Énfasis6 2 3 2 2 6" xfId="8043" xr:uid="{00000000-0005-0000-0000-0000DE210000}"/>
    <cellStyle name="40% - Énfasis6 2 3 2 3" xfId="720" xr:uid="{00000000-0005-0000-0000-0000DF210000}"/>
    <cellStyle name="40% - Énfasis6 2 3 2 3 2" xfId="1666" xr:uid="{00000000-0005-0000-0000-0000E0210000}"/>
    <cellStyle name="40% - Énfasis6 2 3 2 3 2 2" xfId="3556" xr:uid="{00000000-0005-0000-0000-0000E1210000}"/>
    <cellStyle name="40% - Énfasis6 2 3 2 3 2 2 2" xfId="7335" xr:uid="{00000000-0005-0000-0000-0000E2210000}"/>
    <cellStyle name="40% - Énfasis6 2 3 2 3 2 2 3" xfId="11111" xr:uid="{00000000-0005-0000-0000-0000E3210000}"/>
    <cellStyle name="40% - Énfasis6 2 3 2 3 2 3" xfId="5447" xr:uid="{00000000-0005-0000-0000-0000E4210000}"/>
    <cellStyle name="40% - Énfasis6 2 3 2 3 2 4" xfId="9223" xr:uid="{00000000-0005-0000-0000-0000E5210000}"/>
    <cellStyle name="40% - Énfasis6 2 3 2 3 3" xfId="2612" xr:uid="{00000000-0005-0000-0000-0000E6210000}"/>
    <cellStyle name="40% - Énfasis6 2 3 2 3 3 2" xfId="6391" xr:uid="{00000000-0005-0000-0000-0000E7210000}"/>
    <cellStyle name="40% - Énfasis6 2 3 2 3 3 3" xfId="10167" xr:uid="{00000000-0005-0000-0000-0000E8210000}"/>
    <cellStyle name="40% - Énfasis6 2 3 2 3 4" xfId="4503" xr:uid="{00000000-0005-0000-0000-0000E9210000}"/>
    <cellStyle name="40% - Énfasis6 2 3 2 3 5" xfId="8279" xr:uid="{00000000-0005-0000-0000-0000EA210000}"/>
    <cellStyle name="40% - Énfasis6 2 3 2 4" xfId="1194" xr:uid="{00000000-0005-0000-0000-0000EB210000}"/>
    <cellStyle name="40% - Énfasis6 2 3 2 4 2" xfId="3084" xr:uid="{00000000-0005-0000-0000-0000EC210000}"/>
    <cellStyle name="40% - Énfasis6 2 3 2 4 2 2" xfId="6863" xr:uid="{00000000-0005-0000-0000-0000ED210000}"/>
    <cellStyle name="40% - Énfasis6 2 3 2 4 2 3" xfId="10639" xr:uid="{00000000-0005-0000-0000-0000EE210000}"/>
    <cellStyle name="40% - Énfasis6 2 3 2 4 3" xfId="4975" xr:uid="{00000000-0005-0000-0000-0000EF210000}"/>
    <cellStyle name="40% - Énfasis6 2 3 2 4 4" xfId="8751" xr:uid="{00000000-0005-0000-0000-0000F0210000}"/>
    <cellStyle name="40% - Énfasis6 2 3 2 5" xfId="2140" xr:uid="{00000000-0005-0000-0000-0000F1210000}"/>
    <cellStyle name="40% - Énfasis6 2 3 2 5 2" xfId="5919" xr:uid="{00000000-0005-0000-0000-0000F2210000}"/>
    <cellStyle name="40% - Énfasis6 2 3 2 5 3" xfId="9695" xr:uid="{00000000-0005-0000-0000-0000F3210000}"/>
    <cellStyle name="40% - Énfasis6 2 3 2 6" xfId="4031" xr:uid="{00000000-0005-0000-0000-0000F4210000}"/>
    <cellStyle name="40% - Énfasis6 2 3 2 7" xfId="7807" xr:uid="{00000000-0005-0000-0000-0000F5210000}"/>
    <cellStyle name="40% - Énfasis6 2 3 3" xfId="364" xr:uid="{00000000-0005-0000-0000-0000F6210000}"/>
    <cellStyle name="40% - Énfasis6 2 3 3 2" xfId="838" xr:uid="{00000000-0005-0000-0000-0000F7210000}"/>
    <cellStyle name="40% - Énfasis6 2 3 3 2 2" xfId="1784" xr:uid="{00000000-0005-0000-0000-0000F8210000}"/>
    <cellStyle name="40% - Énfasis6 2 3 3 2 2 2" xfId="3674" xr:uid="{00000000-0005-0000-0000-0000F9210000}"/>
    <cellStyle name="40% - Énfasis6 2 3 3 2 2 2 2" xfId="7453" xr:uid="{00000000-0005-0000-0000-0000FA210000}"/>
    <cellStyle name="40% - Énfasis6 2 3 3 2 2 2 3" xfId="11229" xr:uid="{00000000-0005-0000-0000-0000FB210000}"/>
    <cellStyle name="40% - Énfasis6 2 3 3 2 2 3" xfId="5565" xr:uid="{00000000-0005-0000-0000-0000FC210000}"/>
    <cellStyle name="40% - Énfasis6 2 3 3 2 2 4" xfId="9341" xr:uid="{00000000-0005-0000-0000-0000FD210000}"/>
    <cellStyle name="40% - Énfasis6 2 3 3 2 3" xfId="2730" xr:uid="{00000000-0005-0000-0000-0000FE210000}"/>
    <cellStyle name="40% - Énfasis6 2 3 3 2 3 2" xfId="6509" xr:uid="{00000000-0005-0000-0000-0000FF210000}"/>
    <cellStyle name="40% - Énfasis6 2 3 3 2 3 3" xfId="10285" xr:uid="{00000000-0005-0000-0000-000000220000}"/>
    <cellStyle name="40% - Énfasis6 2 3 3 2 4" xfId="4621" xr:uid="{00000000-0005-0000-0000-000001220000}"/>
    <cellStyle name="40% - Énfasis6 2 3 3 2 5" xfId="8397" xr:uid="{00000000-0005-0000-0000-000002220000}"/>
    <cellStyle name="40% - Énfasis6 2 3 3 3" xfId="1312" xr:uid="{00000000-0005-0000-0000-000003220000}"/>
    <cellStyle name="40% - Énfasis6 2 3 3 3 2" xfId="3202" xr:uid="{00000000-0005-0000-0000-000004220000}"/>
    <cellStyle name="40% - Énfasis6 2 3 3 3 2 2" xfId="6981" xr:uid="{00000000-0005-0000-0000-000005220000}"/>
    <cellStyle name="40% - Énfasis6 2 3 3 3 2 3" xfId="10757" xr:uid="{00000000-0005-0000-0000-000006220000}"/>
    <cellStyle name="40% - Énfasis6 2 3 3 3 3" xfId="5093" xr:uid="{00000000-0005-0000-0000-000007220000}"/>
    <cellStyle name="40% - Énfasis6 2 3 3 3 4" xfId="8869" xr:uid="{00000000-0005-0000-0000-000008220000}"/>
    <cellStyle name="40% - Énfasis6 2 3 3 4" xfId="2258" xr:uid="{00000000-0005-0000-0000-000009220000}"/>
    <cellStyle name="40% - Énfasis6 2 3 3 4 2" xfId="6037" xr:uid="{00000000-0005-0000-0000-00000A220000}"/>
    <cellStyle name="40% - Énfasis6 2 3 3 4 3" xfId="9813" xr:uid="{00000000-0005-0000-0000-00000B220000}"/>
    <cellStyle name="40% - Énfasis6 2 3 3 5" xfId="4149" xr:uid="{00000000-0005-0000-0000-00000C220000}"/>
    <cellStyle name="40% - Énfasis6 2 3 3 6" xfId="7925" xr:uid="{00000000-0005-0000-0000-00000D220000}"/>
    <cellStyle name="40% - Énfasis6 2 3 4" xfId="602" xr:uid="{00000000-0005-0000-0000-00000E220000}"/>
    <cellStyle name="40% - Énfasis6 2 3 4 2" xfId="1548" xr:uid="{00000000-0005-0000-0000-00000F220000}"/>
    <cellStyle name="40% - Énfasis6 2 3 4 2 2" xfId="3438" xr:uid="{00000000-0005-0000-0000-000010220000}"/>
    <cellStyle name="40% - Énfasis6 2 3 4 2 2 2" xfId="7217" xr:uid="{00000000-0005-0000-0000-000011220000}"/>
    <cellStyle name="40% - Énfasis6 2 3 4 2 2 3" xfId="10993" xr:uid="{00000000-0005-0000-0000-000012220000}"/>
    <cellStyle name="40% - Énfasis6 2 3 4 2 3" xfId="5329" xr:uid="{00000000-0005-0000-0000-000013220000}"/>
    <cellStyle name="40% - Énfasis6 2 3 4 2 4" xfId="9105" xr:uid="{00000000-0005-0000-0000-000014220000}"/>
    <cellStyle name="40% - Énfasis6 2 3 4 3" xfId="2494" xr:uid="{00000000-0005-0000-0000-000015220000}"/>
    <cellStyle name="40% - Énfasis6 2 3 4 3 2" xfId="6273" xr:uid="{00000000-0005-0000-0000-000016220000}"/>
    <cellStyle name="40% - Énfasis6 2 3 4 3 3" xfId="10049" xr:uid="{00000000-0005-0000-0000-000017220000}"/>
    <cellStyle name="40% - Énfasis6 2 3 4 4" xfId="4385" xr:uid="{00000000-0005-0000-0000-000018220000}"/>
    <cellStyle name="40% - Énfasis6 2 3 4 5" xfId="8161" xr:uid="{00000000-0005-0000-0000-000019220000}"/>
    <cellStyle name="40% - Énfasis6 2 3 5" xfId="1076" xr:uid="{00000000-0005-0000-0000-00001A220000}"/>
    <cellStyle name="40% - Énfasis6 2 3 5 2" xfId="2966" xr:uid="{00000000-0005-0000-0000-00001B220000}"/>
    <cellStyle name="40% - Énfasis6 2 3 5 2 2" xfId="6745" xr:uid="{00000000-0005-0000-0000-00001C220000}"/>
    <cellStyle name="40% - Énfasis6 2 3 5 2 3" xfId="10521" xr:uid="{00000000-0005-0000-0000-00001D220000}"/>
    <cellStyle name="40% - Énfasis6 2 3 5 3" xfId="4857" xr:uid="{00000000-0005-0000-0000-00001E220000}"/>
    <cellStyle name="40% - Énfasis6 2 3 5 4" xfId="8633" xr:uid="{00000000-0005-0000-0000-00001F220000}"/>
    <cellStyle name="40% - Énfasis6 2 3 6" xfId="2022" xr:uid="{00000000-0005-0000-0000-000020220000}"/>
    <cellStyle name="40% - Énfasis6 2 3 6 2" xfId="5801" xr:uid="{00000000-0005-0000-0000-000021220000}"/>
    <cellStyle name="40% - Énfasis6 2 3 6 3" xfId="9577" xr:uid="{00000000-0005-0000-0000-000022220000}"/>
    <cellStyle name="40% - Énfasis6 2 3 7" xfId="3913" xr:uid="{00000000-0005-0000-0000-000023220000}"/>
    <cellStyle name="40% - Énfasis6 2 3 8" xfId="7689" xr:uid="{00000000-0005-0000-0000-000024220000}"/>
    <cellStyle name="40% - Énfasis6 2 4" xfId="185" xr:uid="{00000000-0005-0000-0000-000025220000}"/>
    <cellStyle name="40% - Énfasis6 2 4 2" xfId="423" xr:uid="{00000000-0005-0000-0000-000026220000}"/>
    <cellStyle name="40% - Énfasis6 2 4 2 2" xfId="897" xr:uid="{00000000-0005-0000-0000-000027220000}"/>
    <cellStyle name="40% - Énfasis6 2 4 2 2 2" xfId="1843" xr:uid="{00000000-0005-0000-0000-000028220000}"/>
    <cellStyle name="40% - Énfasis6 2 4 2 2 2 2" xfId="3733" xr:uid="{00000000-0005-0000-0000-000029220000}"/>
    <cellStyle name="40% - Énfasis6 2 4 2 2 2 2 2" xfId="7512" xr:uid="{00000000-0005-0000-0000-00002A220000}"/>
    <cellStyle name="40% - Énfasis6 2 4 2 2 2 2 3" xfId="11288" xr:uid="{00000000-0005-0000-0000-00002B220000}"/>
    <cellStyle name="40% - Énfasis6 2 4 2 2 2 3" xfId="5624" xr:uid="{00000000-0005-0000-0000-00002C220000}"/>
    <cellStyle name="40% - Énfasis6 2 4 2 2 2 4" xfId="9400" xr:uid="{00000000-0005-0000-0000-00002D220000}"/>
    <cellStyle name="40% - Énfasis6 2 4 2 2 3" xfId="2789" xr:uid="{00000000-0005-0000-0000-00002E220000}"/>
    <cellStyle name="40% - Énfasis6 2 4 2 2 3 2" xfId="6568" xr:uid="{00000000-0005-0000-0000-00002F220000}"/>
    <cellStyle name="40% - Énfasis6 2 4 2 2 3 3" xfId="10344" xr:uid="{00000000-0005-0000-0000-000030220000}"/>
    <cellStyle name="40% - Énfasis6 2 4 2 2 4" xfId="4680" xr:uid="{00000000-0005-0000-0000-000031220000}"/>
    <cellStyle name="40% - Énfasis6 2 4 2 2 5" xfId="8456" xr:uid="{00000000-0005-0000-0000-000032220000}"/>
    <cellStyle name="40% - Énfasis6 2 4 2 3" xfId="1371" xr:uid="{00000000-0005-0000-0000-000033220000}"/>
    <cellStyle name="40% - Énfasis6 2 4 2 3 2" xfId="3261" xr:uid="{00000000-0005-0000-0000-000034220000}"/>
    <cellStyle name="40% - Énfasis6 2 4 2 3 2 2" xfId="7040" xr:uid="{00000000-0005-0000-0000-000035220000}"/>
    <cellStyle name="40% - Énfasis6 2 4 2 3 2 3" xfId="10816" xr:uid="{00000000-0005-0000-0000-000036220000}"/>
    <cellStyle name="40% - Énfasis6 2 4 2 3 3" xfId="5152" xr:uid="{00000000-0005-0000-0000-000037220000}"/>
    <cellStyle name="40% - Énfasis6 2 4 2 3 4" xfId="8928" xr:uid="{00000000-0005-0000-0000-000038220000}"/>
    <cellStyle name="40% - Énfasis6 2 4 2 4" xfId="2317" xr:uid="{00000000-0005-0000-0000-000039220000}"/>
    <cellStyle name="40% - Énfasis6 2 4 2 4 2" xfId="6096" xr:uid="{00000000-0005-0000-0000-00003A220000}"/>
    <cellStyle name="40% - Énfasis6 2 4 2 4 3" xfId="9872" xr:uid="{00000000-0005-0000-0000-00003B220000}"/>
    <cellStyle name="40% - Énfasis6 2 4 2 5" xfId="4208" xr:uid="{00000000-0005-0000-0000-00003C220000}"/>
    <cellStyle name="40% - Énfasis6 2 4 2 6" xfId="7984" xr:uid="{00000000-0005-0000-0000-00003D220000}"/>
    <cellStyle name="40% - Énfasis6 2 4 3" xfId="661" xr:uid="{00000000-0005-0000-0000-00003E220000}"/>
    <cellStyle name="40% - Énfasis6 2 4 3 2" xfId="1607" xr:uid="{00000000-0005-0000-0000-00003F220000}"/>
    <cellStyle name="40% - Énfasis6 2 4 3 2 2" xfId="3497" xr:uid="{00000000-0005-0000-0000-000040220000}"/>
    <cellStyle name="40% - Énfasis6 2 4 3 2 2 2" xfId="7276" xr:uid="{00000000-0005-0000-0000-000041220000}"/>
    <cellStyle name="40% - Énfasis6 2 4 3 2 2 3" xfId="11052" xr:uid="{00000000-0005-0000-0000-000042220000}"/>
    <cellStyle name="40% - Énfasis6 2 4 3 2 3" xfId="5388" xr:uid="{00000000-0005-0000-0000-000043220000}"/>
    <cellStyle name="40% - Énfasis6 2 4 3 2 4" xfId="9164" xr:uid="{00000000-0005-0000-0000-000044220000}"/>
    <cellStyle name="40% - Énfasis6 2 4 3 3" xfId="2553" xr:uid="{00000000-0005-0000-0000-000045220000}"/>
    <cellStyle name="40% - Énfasis6 2 4 3 3 2" xfId="6332" xr:uid="{00000000-0005-0000-0000-000046220000}"/>
    <cellStyle name="40% - Énfasis6 2 4 3 3 3" xfId="10108" xr:uid="{00000000-0005-0000-0000-000047220000}"/>
    <cellStyle name="40% - Énfasis6 2 4 3 4" xfId="4444" xr:uid="{00000000-0005-0000-0000-000048220000}"/>
    <cellStyle name="40% - Énfasis6 2 4 3 5" xfId="8220" xr:uid="{00000000-0005-0000-0000-000049220000}"/>
    <cellStyle name="40% - Énfasis6 2 4 4" xfId="1135" xr:uid="{00000000-0005-0000-0000-00004A220000}"/>
    <cellStyle name="40% - Énfasis6 2 4 4 2" xfId="3025" xr:uid="{00000000-0005-0000-0000-00004B220000}"/>
    <cellStyle name="40% - Énfasis6 2 4 4 2 2" xfId="6804" xr:uid="{00000000-0005-0000-0000-00004C220000}"/>
    <cellStyle name="40% - Énfasis6 2 4 4 2 3" xfId="10580" xr:uid="{00000000-0005-0000-0000-00004D220000}"/>
    <cellStyle name="40% - Énfasis6 2 4 4 3" xfId="4916" xr:uid="{00000000-0005-0000-0000-00004E220000}"/>
    <cellStyle name="40% - Énfasis6 2 4 4 4" xfId="8692" xr:uid="{00000000-0005-0000-0000-00004F220000}"/>
    <cellStyle name="40% - Énfasis6 2 4 5" xfId="2081" xr:uid="{00000000-0005-0000-0000-000050220000}"/>
    <cellStyle name="40% - Énfasis6 2 4 5 2" xfId="5860" xr:uid="{00000000-0005-0000-0000-000051220000}"/>
    <cellStyle name="40% - Énfasis6 2 4 5 3" xfId="9636" xr:uid="{00000000-0005-0000-0000-000052220000}"/>
    <cellStyle name="40% - Énfasis6 2 4 6" xfId="3972" xr:uid="{00000000-0005-0000-0000-000053220000}"/>
    <cellStyle name="40% - Énfasis6 2 4 7" xfId="7748" xr:uid="{00000000-0005-0000-0000-000054220000}"/>
    <cellStyle name="40% - Énfasis6 2 5" xfId="305" xr:uid="{00000000-0005-0000-0000-000055220000}"/>
    <cellStyle name="40% - Énfasis6 2 5 2" xfId="779" xr:uid="{00000000-0005-0000-0000-000056220000}"/>
    <cellStyle name="40% - Énfasis6 2 5 2 2" xfId="1725" xr:uid="{00000000-0005-0000-0000-000057220000}"/>
    <cellStyle name="40% - Énfasis6 2 5 2 2 2" xfId="3615" xr:uid="{00000000-0005-0000-0000-000058220000}"/>
    <cellStyle name="40% - Énfasis6 2 5 2 2 2 2" xfId="7394" xr:uid="{00000000-0005-0000-0000-000059220000}"/>
    <cellStyle name="40% - Énfasis6 2 5 2 2 2 3" xfId="11170" xr:uid="{00000000-0005-0000-0000-00005A220000}"/>
    <cellStyle name="40% - Énfasis6 2 5 2 2 3" xfId="5506" xr:uid="{00000000-0005-0000-0000-00005B220000}"/>
    <cellStyle name="40% - Énfasis6 2 5 2 2 4" xfId="9282" xr:uid="{00000000-0005-0000-0000-00005C220000}"/>
    <cellStyle name="40% - Énfasis6 2 5 2 3" xfId="2671" xr:uid="{00000000-0005-0000-0000-00005D220000}"/>
    <cellStyle name="40% - Énfasis6 2 5 2 3 2" xfId="6450" xr:uid="{00000000-0005-0000-0000-00005E220000}"/>
    <cellStyle name="40% - Énfasis6 2 5 2 3 3" xfId="10226" xr:uid="{00000000-0005-0000-0000-00005F220000}"/>
    <cellStyle name="40% - Énfasis6 2 5 2 4" xfId="4562" xr:uid="{00000000-0005-0000-0000-000060220000}"/>
    <cellStyle name="40% - Énfasis6 2 5 2 5" xfId="8338" xr:uid="{00000000-0005-0000-0000-000061220000}"/>
    <cellStyle name="40% - Énfasis6 2 5 3" xfId="1253" xr:uid="{00000000-0005-0000-0000-000062220000}"/>
    <cellStyle name="40% - Énfasis6 2 5 3 2" xfId="3143" xr:uid="{00000000-0005-0000-0000-000063220000}"/>
    <cellStyle name="40% - Énfasis6 2 5 3 2 2" xfId="6922" xr:uid="{00000000-0005-0000-0000-000064220000}"/>
    <cellStyle name="40% - Énfasis6 2 5 3 2 3" xfId="10698" xr:uid="{00000000-0005-0000-0000-000065220000}"/>
    <cellStyle name="40% - Énfasis6 2 5 3 3" xfId="5034" xr:uid="{00000000-0005-0000-0000-000066220000}"/>
    <cellStyle name="40% - Énfasis6 2 5 3 4" xfId="8810" xr:uid="{00000000-0005-0000-0000-000067220000}"/>
    <cellStyle name="40% - Énfasis6 2 5 4" xfId="2199" xr:uid="{00000000-0005-0000-0000-000068220000}"/>
    <cellStyle name="40% - Énfasis6 2 5 4 2" xfId="5978" xr:uid="{00000000-0005-0000-0000-000069220000}"/>
    <cellStyle name="40% - Énfasis6 2 5 4 3" xfId="9754" xr:uid="{00000000-0005-0000-0000-00006A220000}"/>
    <cellStyle name="40% - Énfasis6 2 5 5" xfId="4090" xr:uid="{00000000-0005-0000-0000-00006B220000}"/>
    <cellStyle name="40% - Énfasis6 2 5 6" xfId="7866" xr:uid="{00000000-0005-0000-0000-00006C220000}"/>
    <cellStyle name="40% - Énfasis6 2 6" xfId="543" xr:uid="{00000000-0005-0000-0000-00006D220000}"/>
    <cellStyle name="40% - Énfasis6 2 6 2" xfId="1489" xr:uid="{00000000-0005-0000-0000-00006E220000}"/>
    <cellStyle name="40% - Énfasis6 2 6 2 2" xfId="3379" xr:uid="{00000000-0005-0000-0000-00006F220000}"/>
    <cellStyle name="40% - Énfasis6 2 6 2 2 2" xfId="7158" xr:uid="{00000000-0005-0000-0000-000070220000}"/>
    <cellStyle name="40% - Énfasis6 2 6 2 2 3" xfId="10934" xr:uid="{00000000-0005-0000-0000-000071220000}"/>
    <cellStyle name="40% - Énfasis6 2 6 2 3" xfId="5270" xr:uid="{00000000-0005-0000-0000-000072220000}"/>
    <cellStyle name="40% - Énfasis6 2 6 2 4" xfId="9046" xr:uid="{00000000-0005-0000-0000-000073220000}"/>
    <cellStyle name="40% - Énfasis6 2 6 3" xfId="2435" xr:uid="{00000000-0005-0000-0000-000074220000}"/>
    <cellStyle name="40% - Énfasis6 2 6 3 2" xfId="6214" xr:uid="{00000000-0005-0000-0000-000075220000}"/>
    <cellStyle name="40% - Énfasis6 2 6 3 3" xfId="9990" xr:uid="{00000000-0005-0000-0000-000076220000}"/>
    <cellStyle name="40% - Énfasis6 2 6 4" xfId="4326" xr:uid="{00000000-0005-0000-0000-000077220000}"/>
    <cellStyle name="40% - Énfasis6 2 6 5" xfId="8102" xr:uid="{00000000-0005-0000-0000-000078220000}"/>
    <cellStyle name="40% - Énfasis6 2 7" xfId="1017" xr:uid="{00000000-0005-0000-0000-000079220000}"/>
    <cellStyle name="40% - Énfasis6 2 7 2" xfId="2907" xr:uid="{00000000-0005-0000-0000-00007A220000}"/>
    <cellStyle name="40% - Énfasis6 2 7 2 2" xfId="6686" xr:uid="{00000000-0005-0000-0000-00007B220000}"/>
    <cellStyle name="40% - Énfasis6 2 7 2 3" xfId="10462" xr:uid="{00000000-0005-0000-0000-00007C220000}"/>
    <cellStyle name="40% - Énfasis6 2 7 3" xfId="4798" xr:uid="{00000000-0005-0000-0000-00007D220000}"/>
    <cellStyle name="40% - Énfasis6 2 7 4" xfId="8574" xr:uid="{00000000-0005-0000-0000-00007E220000}"/>
    <cellStyle name="40% - Énfasis6 2 8" xfId="1963" xr:uid="{00000000-0005-0000-0000-00007F220000}"/>
    <cellStyle name="40% - Énfasis6 2 8 2" xfId="5742" xr:uid="{00000000-0005-0000-0000-000080220000}"/>
    <cellStyle name="40% - Énfasis6 2 8 3" xfId="9518" xr:uid="{00000000-0005-0000-0000-000081220000}"/>
    <cellStyle name="40% - Énfasis6 2 9" xfId="3854" xr:uid="{00000000-0005-0000-0000-000082220000}"/>
    <cellStyle name="40% - Énfasis6 3" xfId="70" xr:uid="{00000000-0005-0000-0000-000083220000}"/>
    <cellStyle name="40% - Énfasis6 3 2" xfId="134" xr:uid="{00000000-0005-0000-0000-000084220000}"/>
    <cellStyle name="40% - Énfasis6 3 2 2" xfId="257" xr:uid="{00000000-0005-0000-0000-000085220000}"/>
    <cellStyle name="40% - Énfasis6 3 2 2 2" xfId="495" xr:uid="{00000000-0005-0000-0000-000086220000}"/>
    <cellStyle name="40% - Énfasis6 3 2 2 2 2" xfId="969" xr:uid="{00000000-0005-0000-0000-000087220000}"/>
    <cellStyle name="40% - Énfasis6 3 2 2 2 2 2" xfId="1915" xr:uid="{00000000-0005-0000-0000-000088220000}"/>
    <cellStyle name="40% - Énfasis6 3 2 2 2 2 2 2" xfId="3805" xr:uid="{00000000-0005-0000-0000-000089220000}"/>
    <cellStyle name="40% - Énfasis6 3 2 2 2 2 2 2 2" xfId="7584" xr:uid="{00000000-0005-0000-0000-00008A220000}"/>
    <cellStyle name="40% - Énfasis6 3 2 2 2 2 2 2 3" xfId="11360" xr:uid="{00000000-0005-0000-0000-00008B220000}"/>
    <cellStyle name="40% - Énfasis6 3 2 2 2 2 2 3" xfId="5696" xr:uid="{00000000-0005-0000-0000-00008C220000}"/>
    <cellStyle name="40% - Énfasis6 3 2 2 2 2 2 4" xfId="9472" xr:uid="{00000000-0005-0000-0000-00008D220000}"/>
    <cellStyle name="40% - Énfasis6 3 2 2 2 2 3" xfId="2861" xr:uid="{00000000-0005-0000-0000-00008E220000}"/>
    <cellStyle name="40% - Énfasis6 3 2 2 2 2 3 2" xfId="6640" xr:uid="{00000000-0005-0000-0000-00008F220000}"/>
    <cellStyle name="40% - Énfasis6 3 2 2 2 2 3 3" xfId="10416" xr:uid="{00000000-0005-0000-0000-000090220000}"/>
    <cellStyle name="40% - Énfasis6 3 2 2 2 2 4" xfId="4752" xr:uid="{00000000-0005-0000-0000-000091220000}"/>
    <cellStyle name="40% - Énfasis6 3 2 2 2 2 5" xfId="8528" xr:uid="{00000000-0005-0000-0000-000092220000}"/>
    <cellStyle name="40% - Énfasis6 3 2 2 2 3" xfId="1443" xr:uid="{00000000-0005-0000-0000-000093220000}"/>
    <cellStyle name="40% - Énfasis6 3 2 2 2 3 2" xfId="3333" xr:uid="{00000000-0005-0000-0000-000094220000}"/>
    <cellStyle name="40% - Énfasis6 3 2 2 2 3 2 2" xfId="7112" xr:uid="{00000000-0005-0000-0000-000095220000}"/>
    <cellStyle name="40% - Énfasis6 3 2 2 2 3 2 3" xfId="10888" xr:uid="{00000000-0005-0000-0000-000096220000}"/>
    <cellStyle name="40% - Énfasis6 3 2 2 2 3 3" xfId="5224" xr:uid="{00000000-0005-0000-0000-000097220000}"/>
    <cellStyle name="40% - Énfasis6 3 2 2 2 3 4" xfId="9000" xr:uid="{00000000-0005-0000-0000-000098220000}"/>
    <cellStyle name="40% - Énfasis6 3 2 2 2 4" xfId="2389" xr:uid="{00000000-0005-0000-0000-000099220000}"/>
    <cellStyle name="40% - Énfasis6 3 2 2 2 4 2" xfId="6168" xr:uid="{00000000-0005-0000-0000-00009A220000}"/>
    <cellStyle name="40% - Énfasis6 3 2 2 2 4 3" xfId="9944" xr:uid="{00000000-0005-0000-0000-00009B220000}"/>
    <cellStyle name="40% - Énfasis6 3 2 2 2 5" xfId="4280" xr:uid="{00000000-0005-0000-0000-00009C220000}"/>
    <cellStyle name="40% - Énfasis6 3 2 2 2 6" xfId="8056" xr:uid="{00000000-0005-0000-0000-00009D220000}"/>
    <cellStyle name="40% - Énfasis6 3 2 2 3" xfId="733" xr:uid="{00000000-0005-0000-0000-00009E220000}"/>
    <cellStyle name="40% - Énfasis6 3 2 2 3 2" xfId="1679" xr:uid="{00000000-0005-0000-0000-00009F220000}"/>
    <cellStyle name="40% - Énfasis6 3 2 2 3 2 2" xfId="3569" xr:uid="{00000000-0005-0000-0000-0000A0220000}"/>
    <cellStyle name="40% - Énfasis6 3 2 2 3 2 2 2" xfId="7348" xr:uid="{00000000-0005-0000-0000-0000A1220000}"/>
    <cellStyle name="40% - Énfasis6 3 2 2 3 2 2 3" xfId="11124" xr:uid="{00000000-0005-0000-0000-0000A2220000}"/>
    <cellStyle name="40% - Énfasis6 3 2 2 3 2 3" xfId="5460" xr:uid="{00000000-0005-0000-0000-0000A3220000}"/>
    <cellStyle name="40% - Énfasis6 3 2 2 3 2 4" xfId="9236" xr:uid="{00000000-0005-0000-0000-0000A4220000}"/>
    <cellStyle name="40% - Énfasis6 3 2 2 3 3" xfId="2625" xr:uid="{00000000-0005-0000-0000-0000A5220000}"/>
    <cellStyle name="40% - Énfasis6 3 2 2 3 3 2" xfId="6404" xr:uid="{00000000-0005-0000-0000-0000A6220000}"/>
    <cellStyle name="40% - Énfasis6 3 2 2 3 3 3" xfId="10180" xr:uid="{00000000-0005-0000-0000-0000A7220000}"/>
    <cellStyle name="40% - Énfasis6 3 2 2 3 4" xfId="4516" xr:uid="{00000000-0005-0000-0000-0000A8220000}"/>
    <cellStyle name="40% - Énfasis6 3 2 2 3 5" xfId="8292" xr:uid="{00000000-0005-0000-0000-0000A9220000}"/>
    <cellStyle name="40% - Énfasis6 3 2 2 4" xfId="1207" xr:uid="{00000000-0005-0000-0000-0000AA220000}"/>
    <cellStyle name="40% - Énfasis6 3 2 2 4 2" xfId="3097" xr:uid="{00000000-0005-0000-0000-0000AB220000}"/>
    <cellStyle name="40% - Énfasis6 3 2 2 4 2 2" xfId="6876" xr:uid="{00000000-0005-0000-0000-0000AC220000}"/>
    <cellStyle name="40% - Énfasis6 3 2 2 4 2 3" xfId="10652" xr:uid="{00000000-0005-0000-0000-0000AD220000}"/>
    <cellStyle name="40% - Énfasis6 3 2 2 4 3" xfId="4988" xr:uid="{00000000-0005-0000-0000-0000AE220000}"/>
    <cellStyle name="40% - Énfasis6 3 2 2 4 4" xfId="8764" xr:uid="{00000000-0005-0000-0000-0000AF220000}"/>
    <cellStyle name="40% - Énfasis6 3 2 2 5" xfId="2153" xr:uid="{00000000-0005-0000-0000-0000B0220000}"/>
    <cellStyle name="40% - Énfasis6 3 2 2 5 2" xfId="5932" xr:uid="{00000000-0005-0000-0000-0000B1220000}"/>
    <cellStyle name="40% - Énfasis6 3 2 2 5 3" xfId="9708" xr:uid="{00000000-0005-0000-0000-0000B2220000}"/>
    <cellStyle name="40% - Énfasis6 3 2 2 6" xfId="4044" xr:uid="{00000000-0005-0000-0000-0000B3220000}"/>
    <cellStyle name="40% - Énfasis6 3 2 2 7" xfId="7820" xr:uid="{00000000-0005-0000-0000-0000B4220000}"/>
    <cellStyle name="40% - Énfasis6 3 2 3" xfId="377" xr:uid="{00000000-0005-0000-0000-0000B5220000}"/>
    <cellStyle name="40% - Énfasis6 3 2 3 2" xfId="851" xr:uid="{00000000-0005-0000-0000-0000B6220000}"/>
    <cellStyle name="40% - Énfasis6 3 2 3 2 2" xfId="1797" xr:uid="{00000000-0005-0000-0000-0000B7220000}"/>
    <cellStyle name="40% - Énfasis6 3 2 3 2 2 2" xfId="3687" xr:uid="{00000000-0005-0000-0000-0000B8220000}"/>
    <cellStyle name="40% - Énfasis6 3 2 3 2 2 2 2" xfId="7466" xr:uid="{00000000-0005-0000-0000-0000B9220000}"/>
    <cellStyle name="40% - Énfasis6 3 2 3 2 2 2 3" xfId="11242" xr:uid="{00000000-0005-0000-0000-0000BA220000}"/>
    <cellStyle name="40% - Énfasis6 3 2 3 2 2 3" xfId="5578" xr:uid="{00000000-0005-0000-0000-0000BB220000}"/>
    <cellStyle name="40% - Énfasis6 3 2 3 2 2 4" xfId="9354" xr:uid="{00000000-0005-0000-0000-0000BC220000}"/>
    <cellStyle name="40% - Énfasis6 3 2 3 2 3" xfId="2743" xr:uid="{00000000-0005-0000-0000-0000BD220000}"/>
    <cellStyle name="40% - Énfasis6 3 2 3 2 3 2" xfId="6522" xr:uid="{00000000-0005-0000-0000-0000BE220000}"/>
    <cellStyle name="40% - Énfasis6 3 2 3 2 3 3" xfId="10298" xr:uid="{00000000-0005-0000-0000-0000BF220000}"/>
    <cellStyle name="40% - Énfasis6 3 2 3 2 4" xfId="4634" xr:uid="{00000000-0005-0000-0000-0000C0220000}"/>
    <cellStyle name="40% - Énfasis6 3 2 3 2 5" xfId="8410" xr:uid="{00000000-0005-0000-0000-0000C1220000}"/>
    <cellStyle name="40% - Énfasis6 3 2 3 3" xfId="1325" xr:uid="{00000000-0005-0000-0000-0000C2220000}"/>
    <cellStyle name="40% - Énfasis6 3 2 3 3 2" xfId="3215" xr:uid="{00000000-0005-0000-0000-0000C3220000}"/>
    <cellStyle name="40% - Énfasis6 3 2 3 3 2 2" xfId="6994" xr:uid="{00000000-0005-0000-0000-0000C4220000}"/>
    <cellStyle name="40% - Énfasis6 3 2 3 3 2 3" xfId="10770" xr:uid="{00000000-0005-0000-0000-0000C5220000}"/>
    <cellStyle name="40% - Énfasis6 3 2 3 3 3" xfId="5106" xr:uid="{00000000-0005-0000-0000-0000C6220000}"/>
    <cellStyle name="40% - Énfasis6 3 2 3 3 4" xfId="8882" xr:uid="{00000000-0005-0000-0000-0000C7220000}"/>
    <cellStyle name="40% - Énfasis6 3 2 3 4" xfId="2271" xr:uid="{00000000-0005-0000-0000-0000C8220000}"/>
    <cellStyle name="40% - Énfasis6 3 2 3 4 2" xfId="6050" xr:uid="{00000000-0005-0000-0000-0000C9220000}"/>
    <cellStyle name="40% - Énfasis6 3 2 3 4 3" xfId="9826" xr:uid="{00000000-0005-0000-0000-0000CA220000}"/>
    <cellStyle name="40% - Énfasis6 3 2 3 5" xfId="4162" xr:uid="{00000000-0005-0000-0000-0000CB220000}"/>
    <cellStyle name="40% - Énfasis6 3 2 3 6" xfId="7938" xr:uid="{00000000-0005-0000-0000-0000CC220000}"/>
    <cellStyle name="40% - Énfasis6 3 2 4" xfId="615" xr:uid="{00000000-0005-0000-0000-0000CD220000}"/>
    <cellStyle name="40% - Énfasis6 3 2 4 2" xfId="1561" xr:uid="{00000000-0005-0000-0000-0000CE220000}"/>
    <cellStyle name="40% - Énfasis6 3 2 4 2 2" xfId="3451" xr:uid="{00000000-0005-0000-0000-0000CF220000}"/>
    <cellStyle name="40% - Énfasis6 3 2 4 2 2 2" xfId="7230" xr:uid="{00000000-0005-0000-0000-0000D0220000}"/>
    <cellStyle name="40% - Énfasis6 3 2 4 2 2 3" xfId="11006" xr:uid="{00000000-0005-0000-0000-0000D1220000}"/>
    <cellStyle name="40% - Énfasis6 3 2 4 2 3" xfId="5342" xr:uid="{00000000-0005-0000-0000-0000D2220000}"/>
    <cellStyle name="40% - Énfasis6 3 2 4 2 4" xfId="9118" xr:uid="{00000000-0005-0000-0000-0000D3220000}"/>
    <cellStyle name="40% - Énfasis6 3 2 4 3" xfId="2507" xr:uid="{00000000-0005-0000-0000-0000D4220000}"/>
    <cellStyle name="40% - Énfasis6 3 2 4 3 2" xfId="6286" xr:uid="{00000000-0005-0000-0000-0000D5220000}"/>
    <cellStyle name="40% - Énfasis6 3 2 4 3 3" xfId="10062" xr:uid="{00000000-0005-0000-0000-0000D6220000}"/>
    <cellStyle name="40% - Énfasis6 3 2 4 4" xfId="4398" xr:uid="{00000000-0005-0000-0000-0000D7220000}"/>
    <cellStyle name="40% - Énfasis6 3 2 4 5" xfId="8174" xr:uid="{00000000-0005-0000-0000-0000D8220000}"/>
    <cellStyle name="40% - Énfasis6 3 2 5" xfId="1089" xr:uid="{00000000-0005-0000-0000-0000D9220000}"/>
    <cellStyle name="40% - Énfasis6 3 2 5 2" xfId="2979" xr:uid="{00000000-0005-0000-0000-0000DA220000}"/>
    <cellStyle name="40% - Énfasis6 3 2 5 2 2" xfId="6758" xr:uid="{00000000-0005-0000-0000-0000DB220000}"/>
    <cellStyle name="40% - Énfasis6 3 2 5 2 3" xfId="10534" xr:uid="{00000000-0005-0000-0000-0000DC220000}"/>
    <cellStyle name="40% - Énfasis6 3 2 5 3" xfId="4870" xr:uid="{00000000-0005-0000-0000-0000DD220000}"/>
    <cellStyle name="40% - Énfasis6 3 2 5 4" xfId="8646" xr:uid="{00000000-0005-0000-0000-0000DE220000}"/>
    <cellStyle name="40% - Énfasis6 3 2 6" xfId="2035" xr:uid="{00000000-0005-0000-0000-0000DF220000}"/>
    <cellStyle name="40% - Énfasis6 3 2 6 2" xfId="5814" xr:uid="{00000000-0005-0000-0000-0000E0220000}"/>
    <cellStyle name="40% - Énfasis6 3 2 6 3" xfId="9590" xr:uid="{00000000-0005-0000-0000-0000E1220000}"/>
    <cellStyle name="40% - Énfasis6 3 2 7" xfId="3926" xr:uid="{00000000-0005-0000-0000-0000E2220000}"/>
    <cellStyle name="40% - Énfasis6 3 2 8" xfId="7702" xr:uid="{00000000-0005-0000-0000-0000E3220000}"/>
    <cellStyle name="40% - Énfasis6 3 3" xfId="198" xr:uid="{00000000-0005-0000-0000-0000E4220000}"/>
    <cellStyle name="40% - Énfasis6 3 3 2" xfId="436" xr:uid="{00000000-0005-0000-0000-0000E5220000}"/>
    <cellStyle name="40% - Énfasis6 3 3 2 2" xfId="910" xr:uid="{00000000-0005-0000-0000-0000E6220000}"/>
    <cellStyle name="40% - Énfasis6 3 3 2 2 2" xfId="1856" xr:uid="{00000000-0005-0000-0000-0000E7220000}"/>
    <cellStyle name="40% - Énfasis6 3 3 2 2 2 2" xfId="3746" xr:uid="{00000000-0005-0000-0000-0000E8220000}"/>
    <cellStyle name="40% - Énfasis6 3 3 2 2 2 2 2" xfId="7525" xr:uid="{00000000-0005-0000-0000-0000E9220000}"/>
    <cellStyle name="40% - Énfasis6 3 3 2 2 2 2 3" xfId="11301" xr:uid="{00000000-0005-0000-0000-0000EA220000}"/>
    <cellStyle name="40% - Énfasis6 3 3 2 2 2 3" xfId="5637" xr:uid="{00000000-0005-0000-0000-0000EB220000}"/>
    <cellStyle name="40% - Énfasis6 3 3 2 2 2 4" xfId="9413" xr:uid="{00000000-0005-0000-0000-0000EC220000}"/>
    <cellStyle name="40% - Énfasis6 3 3 2 2 3" xfId="2802" xr:uid="{00000000-0005-0000-0000-0000ED220000}"/>
    <cellStyle name="40% - Énfasis6 3 3 2 2 3 2" xfId="6581" xr:uid="{00000000-0005-0000-0000-0000EE220000}"/>
    <cellStyle name="40% - Énfasis6 3 3 2 2 3 3" xfId="10357" xr:uid="{00000000-0005-0000-0000-0000EF220000}"/>
    <cellStyle name="40% - Énfasis6 3 3 2 2 4" xfId="4693" xr:uid="{00000000-0005-0000-0000-0000F0220000}"/>
    <cellStyle name="40% - Énfasis6 3 3 2 2 5" xfId="8469" xr:uid="{00000000-0005-0000-0000-0000F1220000}"/>
    <cellStyle name="40% - Énfasis6 3 3 2 3" xfId="1384" xr:uid="{00000000-0005-0000-0000-0000F2220000}"/>
    <cellStyle name="40% - Énfasis6 3 3 2 3 2" xfId="3274" xr:uid="{00000000-0005-0000-0000-0000F3220000}"/>
    <cellStyle name="40% - Énfasis6 3 3 2 3 2 2" xfId="7053" xr:uid="{00000000-0005-0000-0000-0000F4220000}"/>
    <cellStyle name="40% - Énfasis6 3 3 2 3 2 3" xfId="10829" xr:uid="{00000000-0005-0000-0000-0000F5220000}"/>
    <cellStyle name="40% - Énfasis6 3 3 2 3 3" xfId="5165" xr:uid="{00000000-0005-0000-0000-0000F6220000}"/>
    <cellStyle name="40% - Énfasis6 3 3 2 3 4" xfId="8941" xr:uid="{00000000-0005-0000-0000-0000F7220000}"/>
    <cellStyle name="40% - Énfasis6 3 3 2 4" xfId="2330" xr:uid="{00000000-0005-0000-0000-0000F8220000}"/>
    <cellStyle name="40% - Énfasis6 3 3 2 4 2" xfId="6109" xr:uid="{00000000-0005-0000-0000-0000F9220000}"/>
    <cellStyle name="40% - Énfasis6 3 3 2 4 3" xfId="9885" xr:uid="{00000000-0005-0000-0000-0000FA220000}"/>
    <cellStyle name="40% - Énfasis6 3 3 2 5" xfId="4221" xr:uid="{00000000-0005-0000-0000-0000FB220000}"/>
    <cellStyle name="40% - Énfasis6 3 3 2 6" xfId="7997" xr:uid="{00000000-0005-0000-0000-0000FC220000}"/>
    <cellStyle name="40% - Énfasis6 3 3 3" xfId="674" xr:uid="{00000000-0005-0000-0000-0000FD220000}"/>
    <cellStyle name="40% - Énfasis6 3 3 3 2" xfId="1620" xr:uid="{00000000-0005-0000-0000-0000FE220000}"/>
    <cellStyle name="40% - Énfasis6 3 3 3 2 2" xfId="3510" xr:uid="{00000000-0005-0000-0000-0000FF220000}"/>
    <cellStyle name="40% - Énfasis6 3 3 3 2 2 2" xfId="7289" xr:uid="{00000000-0005-0000-0000-000000230000}"/>
    <cellStyle name="40% - Énfasis6 3 3 3 2 2 3" xfId="11065" xr:uid="{00000000-0005-0000-0000-000001230000}"/>
    <cellStyle name="40% - Énfasis6 3 3 3 2 3" xfId="5401" xr:uid="{00000000-0005-0000-0000-000002230000}"/>
    <cellStyle name="40% - Énfasis6 3 3 3 2 4" xfId="9177" xr:uid="{00000000-0005-0000-0000-000003230000}"/>
    <cellStyle name="40% - Énfasis6 3 3 3 3" xfId="2566" xr:uid="{00000000-0005-0000-0000-000004230000}"/>
    <cellStyle name="40% - Énfasis6 3 3 3 3 2" xfId="6345" xr:uid="{00000000-0005-0000-0000-000005230000}"/>
    <cellStyle name="40% - Énfasis6 3 3 3 3 3" xfId="10121" xr:uid="{00000000-0005-0000-0000-000006230000}"/>
    <cellStyle name="40% - Énfasis6 3 3 3 4" xfId="4457" xr:uid="{00000000-0005-0000-0000-000007230000}"/>
    <cellStyle name="40% - Énfasis6 3 3 3 5" xfId="8233" xr:uid="{00000000-0005-0000-0000-000008230000}"/>
    <cellStyle name="40% - Énfasis6 3 3 4" xfId="1148" xr:uid="{00000000-0005-0000-0000-000009230000}"/>
    <cellStyle name="40% - Énfasis6 3 3 4 2" xfId="3038" xr:uid="{00000000-0005-0000-0000-00000A230000}"/>
    <cellStyle name="40% - Énfasis6 3 3 4 2 2" xfId="6817" xr:uid="{00000000-0005-0000-0000-00000B230000}"/>
    <cellStyle name="40% - Énfasis6 3 3 4 2 3" xfId="10593" xr:uid="{00000000-0005-0000-0000-00000C230000}"/>
    <cellStyle name="40% - Énfasis6 3 3 4 3" xfId="4929" xr:uid="{00000000-0005-0000-0000-00000D230000}"/>
    <cellStyle name="40% - Énfasis6 3 3 4 4" xfId="8705" xr:uid="{00000000-0005-0000-0000-00000E230000}"/>
    <cellStyle name="40% - Énfasis6 3 3 5" xfId="2094" xr:uid="{00000000-0005-0000-0000-00000F230000}"/>
    <cellStyle name="40% - Énfasis6 3 3 5 2" xfId="5873" xr:uid="{00000000-0005-0000-0000-000010230000}"/>
    <cellStyle name="40% - Énfasis6 3 3 5 3" xfId="9649" xr:uid="{00000000-0005-0000-0000-000011230000}"/>
    <cellStyle name="40% - Énfasis6 3 3 6" xfId="3985" xr:uid="{00000000-0005-0000-0000-000012230000}"/>
    <cellStyle name="40% - Énfasis6 3 3 7" xfId="7761" xr:uid="{00000000-0005-0000-0000-000013230000}"/>
    <cellStyle name="40% - Énfasis6 3 4" xfId="318" xr:uid="{00000000-0005-0000-0000-000014230000}"/>
    <cellStyle name="40% - Énfasis6 3 4 2" xfId="792" xr:uid="{00000000-0005-0000-0000-000015230000}"/>
    <cellStyle name="40% - Énfasis6 3 4 2 2" xfId="1738" xr:uid="{00000000-0005-0000-0000-000016230000}"/>
    <cellStyle name="40% - Énfasis6 3 4 2 2 2" xfId="3628" xr:uid="{00000000-0005-0000-0000-000017230000}"/>
    <cellStyle name="40% - Énfasis6 3 4 2 2 2 2" xfId="7407" xr:uid="{00000000-0005-0000-0000-000018230000}"/>
    <cellStyle name="40% - Énfasis6 3 4 2 2 2 3" xfId="11183" xr:uid="{00000000-0005-0000-0000-000019230000}"/>
    <cellStyle name="40% - Énfasis6 3 4 2 2 3" xfId="5519" xr:uid="{00000000-0005-0000-0000-00001A230000}"/>
    <cellStyle name="40% - Énfasis6 3 4 2 2 4" xfId="9295" xr:uid="{00000000-0005-0000-0000-00001B230000}"/>
    <cellStyle name="40% - Énfasis6 3 4 2 3" xfId="2684" xr:uid="{00000000-0005-0000-0000-00001C230000}"/>
    <cellStyle name="40% - Énfasis6 3 4 2 3 2" xfId="6463" xr:uid="{00000000-0005-0000-0000-00001D230000}"/>
    <cellStyle name="40% - Énfasis6 3 4 2 3 3" xfId="10239" xr:uid="{00000000-0005-0000-0000-00001E230000}"/>
    <cellStyle name="40% - Énfasis6 3 4 2 4" xfId="4575" xr:uid="{00000000-0005-0000-0000-00001F230000}"/>
    <cellStyle name="40% - Énfasis6 3 4 2 5" xfId="8351" xr:uid="{00000000-0005-0000-0000-000020230000}"/>
    <cellStyle name="40% - Énfasis6 3 4 3" xfId="1266" xr:uid="{00000000-0005-0000-0000-000021230000}"/>
    <cellStyle name="40% - Énfasis6 3 4 3 2" xfId="3156" xr:uid="{00000000-0005-0000-0000-000022230000}"/>
    <cellStyle name="40% - Énfasis6 3 4 3 2 2" xfId="6935" xr:uid="{00000000-0005-0000-0000-000023230000}"/>
    <cellStyle name="40% - Énfasis6 3 4 3 2 3" xfId="10711" xr:uid="{00000000-0005-0000-0000-000024230000}"/>
    <cellStyle name="40% - Énfasis6 3 4 3 3" xfId="5047" xr:uid="{00000000-0005-0000-0000-000025230000}"/>
    <cellStyle name="40% - Énfasis6 3 4 3 4" xfId="8823" xr:uid="{00000000-0005-0000-0000-000026230000}"/>
    <cellStyle name="40% - Énfasis6 3 4 4" xfId="2212" xr:uid="{00000000-0005-0000-0000-000027230000}"/>
    <cellStyle name="40% - Énfasis6 3 4 4 2" xfId="5991" xr:uid="{00000000-0005-0000-0000-000028230000}"/>
    <cellStyle name="40% - Énfasis6 3 4 4 3" xfId="9767" xr:uid="{00000000-0005-0000-0000-000029230000}"/>
    <cellStyle name="40% - Énfasis6 3 4 5" xfId="4103" xr:uid="{00000000-0005-0000-0000-00002A230000}"/>
    <cellStyle name="40% - Énfasis6 3 4 6" xfId="7879" xr:uid="{00000000-0005-0000-0000-00002B230000}"/>
    <cellStyle name="40% - Énfasis6 3 5" xfId="556" xr:uid="{00000000-0005-0000-0000-00002C230000}"/>
    <cellStyle name="40% - Énfasis6 3 5 2" xfId="1502" xr:uid="{00000000-0005-0000-0000-00002D230000}"/>
    <cellStyle name="40% - Énfasis6 3 5 2 2" xfId="3392" xr:uid="{00000000-0005-0000-0000-00002E230000}"/>
    <cellStyle name="40% - Énfasis6 3 5 2 2 2" xfId="7171" xr:uid="{00000000-0005-0000-0000-00002F230000}"/>
    <cellStyle name="40% - Énfasis6 3 5 2 2 3" xfId="10947" xr:uid="{00000000-0005-0000-0000-000030230000}"/>
    <cellStyle name="40% - Énfasis6 3 5 2 3" xfId="5283" xr:uid="{00000000-0005-0000-0000-000031230000}"/>
    <cellStyle name="40% - Énfasis6 3 5 2 4" xfId="9059" xr:uid="{00000000-0005-0000-0000-000032230000}"/>
    <cellStyle name="40% - Énfasis6 3 5 3" xfId="2448" xr:uid="{00000000-0005-0000-0000-000033230000}"/>
    <cellStyle name="40% - Énfasis6 3 5 3 2" xfId="6227" xr:uid="{00000000-0005-0000-0000-000034230000}"/>
    <cellStyle name="40% - Énfasis6 3 5 3 3" xfId="10003" xr:uid="{00000000-0005-0000-0000-000035230000}"/>
    <cellStyle name="40% - Énfasis6 3 5 4" xfId="4339" xr:uid="{00000000-0005-0000-0000-000036230000}"/>
    <cellStyle name="40% - Énfasis6 3 5 5" xfId="8115" xr:uid="{00000000-0005-0000-0000-000037230000}"/>
    <cellStyle name="40% - Énfasis6 3 6" xfId="1030" xr:uid="{00000000-0005-0000-0000-000038230000}"/>
    <cellStyle name="40% - Énfasis6 3 6 2" xfId="2920" xr:uid="{00000000-0005-0000-0000-000039230000}"/>
    <cellStyle name="40% - Énfasis6 3 6 2 2" xfId="6699" xr:uid="{00000000-0005-0000-0000-00003A230000}"/>
    <cellStyle name="40% - Énfasis6 3 6 2 3" xfId="10475" xr:uid="{00000000-0005-0000-0000-00003B230000}"/>
    <cellStyle name="40% - Énfasis6 3 6 3" xfId="4811" xr:uid="{00000000-0005-0000-0000-00003C230000}"/>
    <cellStyle name="40% - Énfasis6 3 6 4" xfId="8587" xr:uid="{00000000-0005-0000-0000-00003D230000}"/>
    <cellStyle name="40% - Énfasis6 3 7" xfId="1976" xr:uid="{00000000-0005-0000-0000-00003E230000}"/>
    <cellStyle name="40% - Énfasis6 3 7 2" xfId="5755" xr:uid="{00000000-0005-0000-0000-00003F230000}"/>
    <cellStyle name="40% - Énfasis6 3 7 3" xfId="9531" xr:uid="{00000000-0005-0000-0000-000040230000}"/>
    <cellStyle name="40% - Énfasis6 3 8" xfId="3867" xr:uid="{00000000-0005-0000-0000-000041230000}"/>
    <cellStyle name="40% - Énfasis6 3 9" xfId="7643" xr:uid="{00000000-0005-0000-0000-000042230000}"/>
    <cellStyle name="40% - Énfasis6 4" xfId="103" xr:uid="{00000000-0005-0000-0000-000043230000}"/>
    <cellStyle name="40% - Énfasis6 4 2" xfId="228" xr:uid="{00000000-0005-0000-0000-000044230000}"/>
    <cellStyle name="40% - Énfasis6 4 2 2" xfId="466" xr:uid="{00000000-0005-0000-0000-000045230000}"/>
    <cellStyle name="40% - Énfasis6 4 2 2 2" xfId="940" xr:uid="{00000000-0005-0000-0000-000046230000}"/>
    <cellStyle name="40% - Énfasis6 4 2 2 2 2" xfId="1886" xr:uid="{00000000-0005-0000-0000-000047230000}"/>
    <cellStyle name="40% - Énfasis6 4 2 2 2 2 2" xfId="3776" xr:uid="{00000000-0005-0000-0000-000048230000}"/>
    <cellStyle name="40% - Énfasis6 4 2 2 2 2 2 2" xfId="7555" xr:uid="{00000000-0005-0000-0000-000049230000}"/>
    <cellStyle name="40% - Énfasis6 4 2 2 2 2 2 3" xfId="11331" xr:uid="{00000000-0005-0000-0000-00004A230000}"/>
    <cellStyle name="40% - Énfasis6 4 2 2 2 2 3" xfId="5667" xr:uid="{00000000-0005-0000-0000-00004B230000}"/>
    <cellStyle name="40% - Énfasis6 4 2 2 2 2 4" xfId="9443" xr:uid="{00000000-0005-0000-0000-00004C230000}"/>
    <cellStyle name="40% - Énfasis6 4 2 2 2 3" xfId="2832" xr:uid="{00000000-0005-0000-0000-00004D230000}"/>
    <cellStyle name="40% - Énfasis6 4 2 2 2 3 2" xfId="6611" xr:uid="{00000000-0005-0000-0000-00004E230000}"/>
    <cellStyle name="40% - Énfasis6 4 2 2 2 3 3" xfId="10387" xr:uid="{00000000-0005-0000-0000-00004F230000}"/>
    <cellStyle name="40% - Énfasis6 4 2 2 2 4" xfId="4723" xr:uid="{00000000-0005-0000-0000-000050230000}"/>
    <cellStyle name="40% - Énfasis6 4 2 2 2 5" xfId="8499" xr:uid="{00000000-0005-0000-0000-000051230000}"/>
    <cellStyle name="40% - Énfasis6 4 2 2 3" xfId="1414" xr:uid="{00000000-0005-0000-0000-000052230000}"/>
    <cellStyle name="40% - Énfasis6 4 2 2 3 2" xfId="3304" xr:uid="{00000000-0005-0000-0000-000053230000}"/>
    <cellStyle name="40% - Énfasis6 4 2 2 3 2 2" xfId="7083" xr:uid="{00000000-0005-0000-0000-000054230000}"/>
    <cellStyle name="40% - Énfasis6 4 2 2 3 2 3" xfId="10859" xr:uid="{00000000-0005-0000-0000-000055230000}"/>
    <cellStyle name="40% - Énfasis6 4 2 2 3 3" xfId="5195" xr:uid="{00000000-0005-0000-0000-000056230000}"/>
    <cellStyle name="40% - Énfasis6 4 2 2 3 4" xfId="8971" xr:uid="{00000000-0005-0000-0000-000057230000}"/>
    <cellStyle name="40% - Énfasis6 4 2 2 4" xfId="2360" xr:uid="{00000000-0005-0000-0000-000058230000}"/>
    <cellStyle name="40% - Énfasis6 4 2 2 4 2" xfId="6139" xr:uid="{00000000-0005-0000-0000-000059230000}"/>
    <cellStyle name="40% - Énfasis6 4 2 2 4 3" xfId="9915" xr:uid="{00000000-0005-0000-0000-00005A230000}"/>
    <cellStyle name="40% - Énfasis6 4 2 2 5" xfId="4251" xr:uid="{00000000-0005-0000-0000-00005B230000}"/>
    <cellStyle name="40% - Énfasis6 4 2 2 6" xfId="8027" xr:uid="{00000000-0005-0000-0000-00005C230000}"/>
    <cellStyle name="40% - Énfasis6 4 2 3" xfId="704" xr:uid="{00000000-0005-0000-0000-00005D230000}"/>
    <cellStyle name="40% - Énfasis6 4 2 3 2" xfId="1650" xr:uid="{00000000-0005-0000-0000-00005E230000}"/>
    <cellStyle name="40% - Énfasis6 4 2 3 2 2" xfId="3540" xr:uid="{00000000-0005-0000-0000-00005F230000}"/>
    <cellStyle name="40% - Énfasis6 4 2 3 2 2 2" xfId="7319" xr:uid="{00000000-0005-0000-0000-000060230000}"/>
    <cellStyle name="40% - Énfasis6 4 2 3 2 2 3" xfId="11095" xr:uid="{00000000-0005-0000-0000-000061230000}"/>
    <cellStyle name="40% - Énfasis6 4 2 3 2 3" xfId="5431" xr:uid="{00000000-0005-0000-0000-000062230000}"/>
    <cellStyle name="40% - Énfasis6 4 2 3 2 4" xfId="9207" xr:uid="{00000000-0005-0000-0000-000063230000}"/>
    <cellStyle name="40% - Énfasis6 4 2 3 3" xfId="2596" xr:uid="{00000000-0005-0000-0000-000064230000}"/>
    <cellStyle name="40% - Énfasis6 4 2 3 3 2" xfId="6375" xr:uid="{00000000-0005-0000-0000-000065230000}"/>
    <cellStyle name="40% - Énfasis6 4 2 3 3 3" xfId="10151" xr:uid="{00000000-0005-0000-0000-000066230000}"/>
    <cellStyle name="40% - Énfasis6 4 2 3 4" xfId="4487" xr:uid="{00000000-0005-0000-0000-000067230000}"/>
    <cellStyle name="40% - Énfasis6 4 2 3 5" xfId="8263" xr:uid="{00000000-0005-0000-0000-000068230000}"/>
    <cellStyle name="40% - Énfasis6 4 2 4" xfId="1178" xr:uid="{00000000-0005-0000-0000-000069230000}"/>
    <cellStyle name="40% - Énfasis6 4 2 4 2" xfId="3068" xr:uid="{00000000-0005-0000-0000-00006A230000}"/>
    <cellStyle name="40% - Énfasis6 4 2 4 2 2" xfId="6847" xr:uid="{00000000-0005-0000-0000-00006B230000}"/>
    <cellStyle name="40% - Énfasis6 4 2 4 2 3" xfId="10623" xr:uid="{00000000-0005-0000-0000-00006C230000}"/>
    <cellStyle name="40% - Énfasis6 4 2 4 3" xfId="4959" xr:uid="{00000000-0005-0000-0000-00006D230000}"/>
    <cellStyle name="40% - Énfasis6 4 2 4 4" xfId="8735" xr:uid="{00000000-0005-0000-0000-00006E230000}"/>
    <cellStyle name="40% - Énfasis6 4 2 5" xfId="2124" xr:uid="{00000000-0005-0000-0000-00006F230000}"/>
    <cellStyle name="40% - Énfasis6 4 2 5 2" xfId="5903" xr:uid="{00000000-0005-0000-0000-000070230000}"/>
    <cellStyle name="40% - Énfasis6 4 2 5 3" xfId="9679" xr:uid="{00000000-0005-0000-0000-000071230000}"/>
    <cellStyle name="40% - Énfasis6 4 2 6" xfId="4015" xr:uid="{00000000-0005-0000-0000-000072230000}"/>
    <cellStyle name="40% - Énfasis6 4 2 7" xfId="7791" xr:uid="{00000000-0005-0000-0000-000073230000}"/>
    <cellStyle name="40% - Énfasis6 4 3" xfId="348" xr:uid="{00000000-0005-0000-0000-000074230000}"/>
    <cellStyle name="40% - Énfasis6 4 3 2" xfId="822" xr:uid="{00000000-0005-0000-0000-000075230000}"/>
    <cellStyle name="40% - Énfasis6 4 3 2 2" xfId="1768" xr:uid="{00000000-0005-0000-0000-000076230000}"/>
    <cellStyle name="40% - Énfasis6 4 3 2 2 2" xfId="3658" xr:uid="{00000000-0005-0000-0000-000077230000}"/>
    <cellStyle name="40% - Énfasis6 4 3 2 2 2 2" xfId="7437" xr:uid="{00000000-0005-0000-0000-000078230000}"/>
    <cellStyle name="40% - Énfasis6 4 3 2 2 2 3" xfId="11213" xr:uid="{00000000-0005-0000-0000-000079230000}"/>
    <cellStyle name="40% - Énfasis6 4 3 2 2 3" xfId="5549" xr:uid="{00000000-0005-0000-0000-00007A230000}"/>
    <cellStyle name="40% - Énfasis6 4 3 2 2 4" xfId="9325" xr:uid="{00000000-0005-0000-0000-00007B230000}"/>
    <cellStyle name="40% - Énfasis6 4 3 2 3" xfId="2714" xr:uid="{00000000-0005-0000-0000-00007C230000}"/>
    <cellStyle name="40% - Énfasis6 4 3 2 3 2" xfId="6493" xr:uid="{00000000-0005-0000-0000-00007D230000}"/>
    <cellStyle name="40% - Énfasis6 4 3 2 3 3" xfId="10269" xr:uid="{00000000-0005-0000-0000-00007E230000}"/>
    <cellStyle name="40% - Énfasis6 4 3 2 4" xfId="4605" xr:uid="{00000000-0005-0000-0000-00007F230000}"/>
    <cellStyle name="40% - Énfasis6 4 3 2 5" xfId="8381" xr:uid="{00000000-0005-0000-0000-000080230000}"/>
    <cellStyle name="40% - Énfasis6 4 3 3" xfId="1296" xr:uid="{00000000-0005-0000-0000-000081230000}"/>
    <cellStyle name="40% - Énfasis6 4 3 3 2" xfId="3186" xr:uid="{00000000-0005-0000-0000-000082230000}"/>
    <cellStyle name="40% - Énfasis6 4 3 3 2 2" xfId="6965" xr:uid="{00000000-0005-0000-0000-000083230000}"/>
    <cellStyle name="40% - Énfasis6 4 3 3 2 3" xfId="10741" xr:uid="{00000000-0005-0000-0000-000084230000}"/>
    <cellStyle name="40% - Énfasis6 4 3 3 3" xfId="5077" xr:uid="{00000000-0005-0000-0000-000085230000}"/>
    <cellStyle name="40% - Énfasis6 4 3 3 4" xfId="8853" xr:uid="{00000000-0005-0000-0000-000086230000}"/>
    <cellStyle name="40% - Énfasis6 4 3 4" xfId="2242" xr:uid="{00000000-0005-0000-0000-000087230000}"/>
    <cellStyle name="40% - Énfasis6 4 3 4 2" xfId="6021" xr:uid="{00000000-0005-0000-0000-000088230000}"/>
    <cellStyle name="40% - Énfasis6 4 3 4 3" xfId="9797" xr:uid="{00000000-0005-0000-0000-000089230000}"/>
    <cellStyle name="40% - Énfasis6 4 3 5" xfId="4133" xr:uid="{00000000-0005-0000-0000-00008A230000}"/>
    <cellStyle name="40% - Énfasis6 4 3 6" xfId="7909" xr:uid="{00000000-0005-0000-0000-00008B230000}"/>
    <cellStyle name="40% - Énfasis6 4 4" xfId="586" xr:uid="{00000000-0005-0000-0000-00008C230000}"/>
    <cellStyle name="40% - Énfasis6 4 4 2" xfId="1532" xr:uid="{00000000-0005-0000-0000-00008D230000}"/>
    <cellStyle name="40% - Énfasis6 4 4 2 2" xfId="3422" xr:uid="{00000000-0005-0000-0000-00008E230000}"/>
    <cellStyle name="40% - Énfasis6 4 4 2 2 2" xfId="7201" xr:uid="{00000000-0005-0000-0000-00008F230000}"/>
    <cellStyle name="40% - Énfasis6 4 4 2 2 3" xfId="10977" xr:uid="{00000000-0005-0000-0000-000090230000}"/>
    <cellStyle name="40% - Énfasis6 4 4 2 3" xfId="5313" xr:uid="{00000000-0005-0000-0000-000091230000}"/>
    <cellStyle name="40% - Énfasis6 4 4 2 4" xfId="9089" xr:uid="{00000000-0005-0000-0000-000092230000}"/>
    <cellStyle name="40% - Énfasis6 4 4 3" xfId="2478" xr:uid="{00000000-0005-0000-0000-000093230000}"/>
    <cellStyle name="40% - Énfasis6 4 4 3 2" xfId="6257" xr:uid="{00000000-0005-0000-0000-000094230000}"/>
    <cellStyle name="40% - Énfasis6 4 4 3 3" xfId="10033" xr:uid="{00000000-0005-0000-0000-000095230000}"/>
    <cellStyle name="40% - Énfasis6 4 4 4" xfId="4369" xr:uid="{00000000-0005-0000-0000-000096230000}"/>
    <cellStyle name="40% - Énfasis6 4 4 5" xfId="8145" xr:uid="{00000000-0005-0000-0000-000097230000}"/>
    <cellStyle name="40% - Énfasis6 4 5" xfId="1060" xr:uid="{00000000-0005-0000-0000-000098230000}"/>
    <cellStyle name="40% - Énfasis6 4 5 2" xfId="2950" xr:uid="{00000000-0005-0000-0000-000099230000}"/>
    <cellStyle name="40% - Énfasis6 4 5 2 2" xfId="6729" xr:uid="{00000000-0005-0000-0000-00009A230000}"/>
    <cellStyle name="40% - Énfasis6 4 5 2 3" xfId="10505" xr:uid="{00000000-0005-0000-0000-00009B230000}"/>
    <cellStyle name="40% - Énfasis6 4 5 3" xfId="4841" xr:uid="{00000000-0005-0000-0000-00009C230000}"/>
    <cellStyle name="40% - Énfasis6 4 5 4" xfId="8617" xr:uid="{00000000-0005-0000-0000-00009D230000}"/>
    <cellStyle name="40% - Énfasis6 4 6" xfId="2006" xr:uid="{00000000-0005-0000-0000-00009E230000}"/>
    <cellStyle name="40% - Énfasis6 4 6 2" xfId="5785" xr:uid="{00000000-0005-0000-0000-00009F230000}"/>
    <cellStyle name="40% - Énfasis6 4 6 3" xfId="9561" xr:uid="{00000000-0005-0000-0000-0000A0230000}"/>
    <cellStyle name="40% - Énfasis6 4 7" xfId="3897" xr:uid="{00000000-0005-0000-0000-0000A1230000}"/>
    <cellStyle name="40% - Énfasis6 4 8" xfId="7673" xr:uid="{00000000-0005-0000-0000-0000A2230000}"/>
    <cellStyle name="40% - Énfasis6 5" xfId="167" xr:uid="{00000000-0005-0000-0000-0000A3230000}"/>
    <cellStyle name="40% - Énfasis6 5 2" xfId="407" xr:uid="{00000000-0005-0000-0000-0000A4230000}"/>
    <cellStyle name="40% - Énfasis6 5 2 2" xfId="881" xr:uid="{00000000-0005-0000-0000-0000A5230000}"/>
    <cellStyle name="40% - Énfasis6 5 2 2 2" xfId="1827" xr:uid="{00000000-0005-0000-0000-0000A6230000}"/>
    <cellStyle name="40% - Énfasis6 5 2 2 2 2" xfId="3717" xr:uid="{00000000-0005-0000-0000-0000A7230000}"/>
    <cellStyle name="40% - Énfasis6 5 2 2 2 2 2" xfId="7496" xr:uid="{00000000-0005-0000-0000-0000A8230000}"/>
    <cellStyle name="40% - Énfasis6 5 2 2 2 2 3" xfId="11272" xr:uid="{00000000-0005-0000-0000-0000A9230000}"/>
    <cellStyle name="40% - Énfasis6 5 2 2 2 3" xfId="5608" xr:uid="{00000000-0005-0000-0000-0000AA230000}"/>
    <cellStyle name="40% - Énfasis6 5 2 2 2 4" xfId="9384" xr:uid="{00000000-0005-0000-0000-0000AB230000}"/>
    <cellStyle name="40% - Énfasis6 5 2 2 3" xfId="2773" xr:uid="{00000000-0005-0000-0000-0000AC230000}"/>
    <cellStyle name="40% - Énfasis6 5 2 2 3 2" xfId="6552" xr:uid="{00000000-0005-0000-0000-0000AD230000}"/>
    <cellStyle name="40% - Énfasis6 5 2 2 3 3" xfId="10328" xr:uid="{00000000-0005-0000-0000-0000AE230000}"/>
    <cellStyle name="40% - Énfasis6 5 2 2 4" xfId="4664" xr:uid="{00000000-0005-0000-0000-0000AF230000}"/>
    <cellStyle name="40% - Énfasis6 5 2 2 5" xfId="8440" xr:uid="{00000000-0005-0000-0000-0000B0230000}"/>
    <cellStyle name="40% - Énfasis6 5 2 3" xfId="1355" xr:uid="{00000000-0005-0000-0000-0000B1230000}"/>
    <cellStyle name="40% - Énfasis6 5 2 3 2" xfId="3245" xr:uid="{00000000-0005-0000-0000-0000B2230000}"/>
    <cellStyle name="40% - Énfasis6 5 2 3 2 2" xfId="7024" xr:uid="{00000000-0005-0000-0000-0000B3230000}"/>
    <cellStyle name="40% - Énfasis6 5 2 3 2 3" xfId="10800" xr:uid="{00000000-0005-0000-0000-0000B4230000}"/>
    <cellStyle name="40% - Énfasis6 5 2 3 3" xfId="5136" xr:uid="{00000000-0005-0000-0000-0000B5230000}"/>
    <cellStyle name="40% - Énfasis6 5 2 3 4" xfId="8912" xr:uid="{00000000-0005-0000-0000-0000B6230000}"/>
    <cellStyle name="40% - Énfasis6 5 2 4" xfId="2301" xr:uid="{00000000-0005-0000-0000-0000B7230000}"/>
    <cellStyle name="40% - Énfasis6 5 2 4 2" xfId="6080" xr:uid="{00000000-0005-0000-0000-0000B8230000}"/>
    <cellStyle name="40% - Énfasis6 5 2 4 3" xfId="9856" xr:uid="{00000000-0005-0000-0000-0000B9230000}"/>
    <cellStyle name="40% - Énfasis6 5 2 5" xfId="4192" xr:uid="{00000000-0005-0000-0000-0000BA230000}"/>
    <cellStyle name="40% - Énfasis6 5 2 6" xfId="7968" xr:uid="{00000000-0005-0000-0000-0000BB230000}"/>
    <cellStyle name="40% - Énfasis6 5 3" xfId="645" xr:uid="{00000000-0005-0000-0000-0000BC230000}"/>
    <cellStyle name="40% - Énfasis6 5 3 2" xfId="1591" xr:uid="{00000000-0005-0000-0000-0000BD230000}"/>
    <cellStyle name="40% - Énfasis6 5 3 2 2" xfId="3481" xr:uid="{00000000-0005-0000-0000-0000BE230000}"/>
    <cellStyle name="40% - Énfasis6 5 3 2 2 2" xfId="7260" xr:uid="{00000000-0005-0000-0000-0000BF230000}"/>
    <cellStyle name="40% - Énfasis6 5 3 2 2 3" xfId="11036" xr:uid="{00000000-0005-0000-0000-0000C0230000}"/>
    <cellStyle name="40% - Énfasis6 5 3 2 3" xfId="5372" xr:uid="{00000000-0005-0000-0000-0000C1230000}"/>
    <cellStyle name="40% - Énfasis6 5 3 2 4" xfId="9148" xr:uid="{00000000-0005-0000-0000-0000C2230000}"/>
    <cellStyle name="40% - Énfasis6 5 3 3" xfId="2537" xr:uid="{00000000-0005-0000-0000-0000C3230000}"/>
    <cellStyle name="40% - Énfasis6 5 3 3 2" xfId="6316" xr:uid="{00000000-0005-0000-0000-0000C4230000}"/>
    <cellStyle name="40% - Énfasis6 5 3 3 3" xfId="10092" xr:uid="{00000000-0005-0000-0000-0000C5230000}"/>
    <cellStyle name="40% - Énfasis6 5 3 4" xfId="4428" xr:uid="{00000000-0005-0000-0000-0000C6230000}"/>
    <cellStyle name="40% - Énfasis6 5 3 5" xfId="8204" xr:uid="{00000000-0005-0000-0000-0000C7230000}"/>
    <cellStyle name="40% - Énfasis6 5 4" xfId="1119" xr:uid="{00000000-0005-0000-0000-0000C8230000}"/>
    <cellStyle name="40% - Énfasis6 5 4 2" xfId="3009" xr:uid="{00000000-0005-0000-0000-0000C9230000}"/>
    <cellStyle name="40% - Énfasis6 5 4 2 2" xfId="6788" xr:uid="{00000000-0005-0000-0000-0000CA230000}"/>
    <cellStyle name="40% - Énfasis6 5 4 2 3" xfId="10564" xr:uid="{00000000-0005-0000-0000-0000CB230000}"/>
    <cellStyle name="40% - Énfasis6 5 4 3" xfId="4900" xr:uid="{00000000-0005-0000-0000-0000CC230000}"/>
    <cellStyle name="40% - Énfasis6 5 4 4" xfId="8676" xr:uid="{00000000-0005-0000-0000-0000CD230000}"/>
    <cellStyle name="40% - Énfasis6 5 5" xfId="2065" xr:uid="{00000000-0005-0000-0000-0000CE230000}"/>
    <cellStyle name="40% - Énfasis6 5 5 2" xfId="5844" xr:uid="{00000000-0005-0000-0000-0000CF230000}"/>
    <cellStyle name="40% - Énfasis6 5 5 3" xfId="9620" xr:uid="{00000000-0005-0000-0000-0000D0230000}"/>
    <cellStyle name="40% - Énfasis6 5 6" xfId="3956" xr:uid="{00000000-0005-0000-0000-0000D1230000}"/>
    <cellStyle name="40% - Énfasis6 5 7" xfId="7732" xr:uid="{00000000-0005-0000-0000-0000D2230000}"/>
    <cellStyle name="40% - Énfasis6 6" xfId="287" xr:uid="{00000000-0005-0000-0000-0000D3230000}"/>
    <cellStyle name="40% - Énfasis6 6 2" xfId="763" xr:uid="{00000000-0005-0000-0000-0000D4230000}"/>
    <cellStyle name="40% - Énfasis6 6 2 2" xfId="1709" xr:uid="{00000000-0005-0000-0000-0000D5230000}"/>
    <cellStyle name="40% - Énfasis6 6 2 2 2" xfId="3599" xr:uid="{00000000-0005-0000-0000-0000D6230000}"/>
    <cellStyle name="40% - Énfasis6 6 2 2 2 2" xfId="7378" xr:uid="{00000000-0005-0000-0000-0000D7230000}"/>
    <cellStyle name="40% - Énfasis6 6 2 2 2 3" xfId="11154" xr:uid="{00000000-0005-0000-0000-0000D8230000}"/>
    <cellStyle name="40% - Énfasis6 6 2 2 3" xfId="5490" xr:uid="{00000000-0005-0000-0000-0000D9230000}"/>
    <cellStyle name="40% - Énfasis6 6 2 2 4" xfId="9266" xr:uid="{00000000-0005-0000-0000-0000DA230000}"/>
    <cellStyle name="40% - Énfasis6 6 2 3" xfId="2655" xr:uid="{00000000-0005-0000-0000-0000DB230000}"/>
    <cellStyle name="40% - Énfasis6 6 2 3 2" xfId="6434" xr:uid="{00000000-0005-0000-0000-0000DC230000}"/>
    <cellStyle name="40% - Énfasis6 6 2 3 3" xfId="10210" xr:uid="{00000000-0005-0000-0000-0000DD230000}"/>
    <cellStyle name="40% - Énfasis6 6 2 4" xfId="4546" xr:uid="{00000000-0005-0000-0000-0000DE230000}"/>
    <cellStyle name="40% - Énfasis6 6 2 5" xfId="8322" xr:uid="{00000000-0005-0000-0000-0000DF230000}"/>
    <cellStyle name="40% - Énfasis6 6 3" xfId="1237" xr:uid="{00000000-0005-0000-0000-0000E0230000}"/>
    <cellStyle name="40% - Énfasis6 6 3 2" xfId="3127" xr:uid="{00000000-0005-0000-0000-0000E1230000}"/>
    <cellStyle name="40% - Énfasis6 6 3 2 2" xfId="6906" xr:uid="{00000000-0005-0000-0000-0000E2230000}"/>
    <cellStyle name="40% - Énfasis6 6 3 2 3" xfId="10682" xr:uid="{00000000-0005-0000-0000-0000E3230000}"/>
    <cellStyle name="40% - Énfasis6 6 3 3" xfId="5018" xr:uid="{00000000-0005-0000-0000-0000E4230000}"/>
    <cellStyle name="40% - Énfasis6 6 3 4" xfId="8794" xr:uid="{00000000-0005-0000-0000-0000E5230000}"/>
    <cellStyle name="40% - Énfasis6 6 4" xfId="2183" xr:uid="{00000000-0005-0000-0000-0000E6230000}"/>
    <cellStyle name="40% - Énfasis6 6 4 2" xfId="5962" xr:uid="{00000000-0005-0000-0000-0000E7230000}"/>
    <cellStyle name="40% - Énfasis6 6 4 3" xfId="9738" xr:uid="{00000000-0005-0000-0000-0000E8230000}"/>
    <cellStyle name="40% - Énfasis6 6 5" xfId="4074" xr:uid="{00000000-0005-0000-0000-0000E9230000}"/>
    <cellStyle name="40% - Énfasis6 6 6" xfId="7850" xr:uid="{00000000-0005-0000-0000-0000EA230000}"/>
    <cellStyle name="40% - Énfasis6 7" xfId="525" xr:uid="{00000000-0005-0000-0000-0000EB230000}"/>
    <cellStyle name="40% - Énfasis6 7 2" xfId="1473" xr:uid="{00000000-0005-0000-0000-0000EC230000}"/>
    <cellStyle name="40% - Énfasis6 7 2 2" xfId="3363" xr:uid="{00000000-0005-0000-0000-0000ED230000}"/>
    <cellStyle name="40% - Énfasis6 7 2 2 2" xfId="7142" xr:uid="{00000000-0005-0000-0000-0000EE230000}"/>
    <cellStyle name="40% - Énfasis6 7 2 2 3" xfId="10918" xr:uid="{00000000-0005-0000-0000-0000EF230000}"/>
    <cellStyle name="40% - Énfasis6 7 2 3" xfId="5254" xr:uid="{00000000-0005-0000-0000-0000F0230000}"/>
    <cellStyle name="40% - Énfasis6 7 2 4" xfId="9030" xr:uid="{00000000-0005-0000-0000-0000F1230000}"/>
    <cellStyle name="40% - Énfasis6 7 3" xfId="2419" xr:uid="{00000000-0005-0000-0000-0000F2230000}"/>
    <cellStyle name="40% - Énfasis6 7 3 2" xfId="6198" xr:uid="{00000000-0005-0000-0000-0000F3230000}"/>
    <cellStyle name="40% - Énfasis6 7 3 3" xfId="9974" xr:uid="{00000000-0005-0000-0000-0000F4230000}"/>
    <cellStyle name="40% - Énfasis6 7 4" xfId="4310" xr:uid="{00000000-0005-0000-0000-0000F5230000}"/>
    <cellStyle name="40% - Énfasis6 7 5" xfId="8086" xr:uid="{00000000-0005-0000-0000-0000F6230000}"/>
    <cellStyle name="40% - Énfasis6 8" xfId="999" xr:uid="{00000000-0005-0000-0000-0000F7230000}"/>
    <cellStyle name="40% - Énfasis6 8 2" xfId="2891" xr:uid="{00000000-0005-0000-0000-0000F8230000}"/>
    <cellStyle name="40% - Énfasis6 8 2 2" xfId="6670" xr:uid="{00000000-0005-0000-0000-0000F9230000}"/>
    <cellStyle name="40% - Énfasis6 8 2 3" xfId="10446" xr:uid="{00000000-0005-0000-0000-0000FA230000}"/>
    <cellStyle name="40% - Énfasis6 8 3" xfId="4782" xr:uid="{00000000-0005-0000-0000-0000FB230000}"/>
    <cellStyle name="40% - Énfasis6 8 4" xfId="8558" xr:uid="{00000000-0005-0000-0000-0000FC230000}"/>
    <cellStyle name="40% - Énfasis6 9" xfId="1945" xr:uid="{00000000-0005-0000-0000-0000FD230000}"/>
    <cellStyle name="40% - Énfasis6 9 2" xfId="5726" xr:uid="{00000000-0005-0000-0000-0000FE230000}"/>
    <cellStyle name="40% - Énfasis6 9 3" xfId="9502" xr:uid="{00000000-0005-0000-0000-0000FF23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rmal 10" xfId="154" xr:uid="{00000000-0005-0000-0000-000016240000}"/>
    <cellStyle name="Normal 11" xfId="168" xr:uid="{00000000-0005-0000-0000-000017240000}"/>
    <cellStyle name="Normal 12" xfId="155" xr:uid="{00000000-0005-0000-0000-000018240000}"/>
    <cellStyle name="Normal 12 2" xfId="395" xr:uid="{00000000-0005-0000-0000-000019240000}"/>
    <cellStyle name="Normal 12 2 2" xfId="869" xr:uid="{00000000-0005-0000-0000-00001A240000}"/>
    <cellStyle name="Normal 12 2 2 2" xfId="1815" xr:uid="{00000000-0005-0000-0000-00001B240000}"/>
    <cellStyle name="Normal 12 2 2 2 2" xfId="3705" xr:uid="{00000000-0005-0000-0000-00001C240000}"/>
    <cellStyle name="Normal 12 2 2 2 2 2" xfId="7484" xr:uid="{00000000-0005-0000-0000-00001D240000}"/>
    <cellStyle name="Normal 12 2 2 2 2 3" xfId="11260" xr:uid="{00000000-0005-0000-0000-00001E240000}"/>
    <cellStyle name="Normal 12 2 2 2 3" xfId="5596" xr:uid="{00000000-0005-0000-0000-00001F240000}"/>
    <cellStyle name="Normal 12 2 2 2 4" xfId="9372" xr:uid="{00000000-0005-0000-0000-000020240000}"/>
    <cellStyle name="Normal 12 2 2 3" xfId="2761" xr:uid="{00000000-0005-0000-0000-000021240000}"/>
    <cellStyle name="Normal 12 2 2 3 2" xfId="6540" xr:uid="{00000000-0005-0000-0000-000022240000}"/>
    <cellStyle name="Normal 12 2 2 3 3" xfId="10316" xr:uid="{00000000-0005-0000-0000-000023240000}"/>
    <cellStyle name="Normal 12 2 2 4" xfId="4652" xr:uid="{00000000-0005-0000-0000-000024240000}"/>
    <cellStyle name="Normal 12 2 2 5" xfId="8428" xr:uid="{00000000-0005-0000-0000-000025240000}"/>
    <cellStyle name="Normal 12 2 3" xfId="1343" xr:uid="{00000000-0005-0000-0000-000026240000}"/>
    <cellStyle name="Normal 12 2 3 2" xfId="3233" xr:uid="{00000000-0005-0000-0000-000027240000}"/>
    <cellStyle name="Normal 12 2 3 2 2" xfId="7012" xr:uid="{00000000-0005-0000-0000-000028240000}"/>
    <cellStyle name="Normal 12 2 3 2 3" xfId="10788" xr:uid="{00000000-0005-0000-0000-000029240000}"/>
    <cellStyle name="Normal 12 2 3 3" xfId="5124" xr:uid="{00000000-0005-0000-0000-00002A240000}"/>
    <cellStyle name="Normal 12 2 3 4" xfId="8900" xr:uid="{00000000-0005-0000-0000-00002B240000}"/>
    <cellStyle name="Normal 12 2 4" xfId="2289" xr:uid="{00000000-0005-0000-0000-00002C240000}"/>
    <cellStyle name="Normal 12 2 4 2" xfId="6068" xr:uid="{00000000-0005-0000-0000-00002D240000}"/>
    <cellStyle name="Normal 12 2 4 3" xfId="9844" xr:uid="{00000000-0005-0000-0000-00002E240000}"/>
    <cellStyle name="Normal 12 2 5" xfId="4180" xr:uid="{00000000-0005-0000-0000-00002F240000}"/>
    <cellStyle name="Normal 12 2 6" xfId="7956" xr:uid="{00000000-0005-0000-0000-000030240000}"/>
    <cellStyle name="Normal 12 3" xfId="633" xr:uid="{00000000-0005-0000-0000-000031240000}"/>
    <cellStyle name="Normal 12 3 2" xfId="1579" xr:uid="{00000000-0005-0000-0000-000032240000}"/>
    <cellStyle name="Normal 12 3 2 2" xfId="3469" xr:uid="{00000000-0005-0000-0000-000033240000}"/>
    <cellStyle name="Normal 12 3 2 2 2" xfId="7248" xr:uid="{00000000-0005-0000-0000-000034240000}"/>
    <cellStyle name="Normal 12 3 2 2 3" xfId="11024" xr:uid="{00000000-0005-0000-0000-000035240000}"/>
    <cellStyle name="Normal 12 3 2 3" xfId="5360" xr:uid="{00000000-0005-0000-0000-000036240000}"/>
    <cellStyle name="Normal 12 3 2 4" xfId="9136" xr:uid="{00000000-0005-0000-0000-000037240000}"/>
    <cellStyle name="Normal 12 3 3" xfId="2525" xr:uid="{00000000-0005-0000-0000-000038240000}"/>
    <cellStyle name="Normal 12 3 3 2" xfId="6304" xr:uid="{00000000-0005-0000-0000-000039240000}"/>
    <cellStyle name="Normal 12 3 3 3" xfId="10080" xr:uid="{00000000-0005-0000-0000-00003A240000}"/>
    <cellStyle name="Normal 12 3 4" xfId="4416" xr:uid="{00000000-0005-0000-0000-00003B240000}"/>
    <cellStyle name="Normal 12 3 5" xfId="8192" xr:uid="{00000000-0005-0000-0000-00003C240000}"/>
    <cellStyle name="Normal 12 4" xfId="1107" xr:uid="{00000000-0005-0000-0000-00003D240000}"/>
    <cellStyle name="Normal 12 4 2" xfId="2997" xr:uid="{00000000-0005-0000-0000-00003E240000}"/>
    <cellStyle name="Normal 12 4 2 2" xfId="6776" xr:uid="{00000000-0005-0000-0000-00003F240000}"/>
    <cellStyle name="Normal 12 4 2 3" xfId="10552" xr:uid="{00000000-0005-0000-0000-000040240000}"/>
    <cellStyle name="Normal 12 4 3" xfId="4888" xr:uid="{00000000-0005-0000-0000-000041240000}"/>
    <cellStyle name="Normal 12 4 4" xfId="8664" xr:uid="{00000000-0005-0000-0000-000042240000}"/>
    <cellStyle name="Normal 12 5" xfId="2053" xr:uid="{00000000-0005-0000-0000-000043240000}"/>
    <cellStyle name="Normal 12 5 2" xfId="5832" xr:uid="{00000000-0005-0000-0000-000044240000}"/>
    <cellStyle name="Normal 12 5 3" xfId="9608" xr:uid="{00000000-0005-0000-0000-000045240000}"/>
    <cellStyle name="Normal 12 6" xfId="3944" xr:uid="{00000000-0005-0000-0000-000046240000}"/>
    <cellStyle name="Normal 12 7" xfId="7720" xr:uid="{00000000-0005-0000-0000-000047240000}"/>
    <cellStyle name="Normal 13" xfId="288" xr:uid="{00000000-0005-0000-0000-000048240000}"/>
    <cellStyle name="Normal 14" xfId="275" xr:uid="{00000000-0005-0000-0000-000049240000}"/>
    <cellStyle name="Normal 14 2" xfId="751" xr:uid="{00000000-0005-0000-0000-00004A240000}"/>
    <cellStyle name="Normal 14 2 2" xfId="1697" xr:uid="{00000000-0005-0000-0000-00004B240000}"/>
    <cellStyle name="Normal 14 2 2 2" xfId="3587" xr:uid="{00000000-0005-0000-0000-00004C240000}"/>
    <cellStyle name="Normal 14 2 2 2 2" xfId="7366" xr:uid="{00000000-0005-0000-0000-00004D240000}"/>
    <cellStyle name="Normal 14 2 2 2 3" xfId="11142" xr:uid="{00000000-0005-0000-0000-00004E240000}"/>
    <cellStyle name="Normal 14 2 2 3" xfId="5478" xr:uid="{00000000-0005-0000-0000-00004F240000}"/>
    <cellStyle name="Normal 14 2 2 4" xfId="9254" xr:uid="{00000000-0005-0000-0000-000050240000}"/>
    <cellStyle name="Normal 14 2 3" xfId="2643" xr:uid="{00000000-0005-0000-0000-000051240000}"/>
    <cellStyle name="Normal 14 2 3 2" xfId="6422" xr:uid="{00000000-0005-0000-0000-000052240000}"/>
    <cellStyle name="Normal 14 2 3 3" xfId="10198" xr:uid="{00000000-0005-0000-0000-000053240000}"/>
    <cellStyle name="Normal 14 2 4" xfId="4534" xr:uid="{00000000-0005-0000-0000-000054240000}"/>
    <cellStyle name="Normal 14 2 5" xfId="8310" xr:uid="{00000000-0005-0000-0000-000055240000}"/>
    <cellStyle name="Normal 14 3" xfId="1225" xr:uid="{00000000-0005-0000-0000-000056240000}"/>
    <cellStyle name="Normal 14 3 2" xfId="3115" xr:uid="{00000000-0005-0000-0000-000057240000}"/>
    <cellStyle name="Normal 14 3 2 2" xfId="6894" xr:uid="{00000000-0005-0000-0000-000058240000}"/>
    <cellStyle name="Normal 14 3 2 3" xfId="10670" xr:uid="{00000000-0005-0000-0000-000059240000}"/>
    <cellStyle name="Normal 14 3 3" xfId="5006" xr:uid="{00000000-0005-0000-0000-00005A240000}"/>
    <cellStyle name="Normal 14 3 4" xfId="8782" xr:uid="{00000000-0005-0000-0000-00005B240000}"/>
    <cellStyle name="Normal 14 4" xfId="2171" xr:uid="{00000000-0005-0000-0000-00005C240000}"/>
    <cellStyle name="Normal 14 4 2" xfId="5950" xr:uid="{00000000-0005-0000-0000-00005D240000}"/>
    <cellStyle name="Normal 14 4 3" xfId="9726" xr:uid="{00000000-0005-0000-0000-00005E240000}"/>
    <cellStyle name="Normal 14 5" xfId="4062" xr:uid="{00000000-0005-0000-0000-00005F240000}"/>
    <cellStyle name="Normal 14 6" xfId="7838" xr:uid="{00000000-0005-0000-0000-000060240000}"/>
    <cellStyle name="Normal 15" xfId="526" xr:uid="{00000000-0005-0000-0000-000061240000}"/>
    <cellStyle name="Normal 16" xfId="513" xr:uid="{00000000-0005-0000-0000-000062240000}"/>
    <cellStyle name="Normal 16 2" xfId="1461" xr:uid="{00000000-0005-0000-0000-000063240000}"/>
    <cellStyle name="Normal 16 2 2" xfId="3351" xr:uid="{00000000-0005-0000-0000-000064240000}"/>
    <cellStyle name="Normal 16 2 2 2" xfId="7130" xr:uid="{00000000-0005-0000-0000-000065240000}"/>
    <cellStyle name="Normal 16 2 2 3" xfId="10906" xr:uid="{00000000-0005-0000-0000-000066240000}"/>
    <cellStyle name="Normal 16 2 3" xfId="5242" xr:uid="{00000000-0005-0000-0000-000067240000}"/>
    <cellStyle name="Normal 16 2 4" xfId="9018" xr:uid="{00000000-0005-0000-0000-000068240000}"/>
    <cellStyle name="Normal 16 3" xfId="2407" xr:uid="{00000000-0005-0000-0000-000069240000}"/>
    <cellStyle name="Normal 16 3 2" xfId="6186" xr:uid="{00000000-0005-0000-0000-00006A240000}"/>
    <cellStyle name="Normal 16 3 3" xfId="9962" xr:uid="{00000000-0005-0000-0000-00006B240000}"/>
    <cellStyle name="Normal 16 4" xfId="4298" xr:uid="{00000000-0005-0000-0000-00006C240000}"/>
    <cellStyle name="Normal 16 5" xfId="8074" xr:uid="{00000000-0005-0000-0000-00006D240000}"/>
    <cellStyle name="Normal 17" xfId="1000" xr:uid="{00000000-0005-0000-0000-00006E240000}"/>
    <cellStyle name="Normal 18" xfId="987" xr:uid="{00000000-0005-0000-0000-00006F240000}"/>
    <cellStyle name="Normal 18 2" xfId="2879" xr:uid="{00000000-0005-0000-0000-000070240000}"/>
    <cellStyle name="Normal 18 2 2" xfId="6658" xr:uid="{00000000-0005-0000-0000-000071240000}"/>
    <cellStyle name="Normal 18 2 3" xfId="10434" xr:uid="{00000000-0005-0000-0000-000072240000}"/>
    <cellStyle name="Normal 18 3" xfId="4770" xr:uid="{00000000-0005-0000-0000-000073240000}"/>
    <cellStyle name="Normal 18 4" xfId="8546" xr:uid="{00000000-0005-0000-0000-000074240000}"/>
    <cellStyle name="Normal 19" xfId="1946" xr:uid="{00000000-0005-0000-0000-000075240000}"/>
    <cellStyle name="Normal 19 2" xfId="3823" xr:uid="{00000000-0005-0000-0000-000076240000}"/>
    <cellStyle name="Normal 2" xfId="42" xr:uid="{00000000-0005-0000-0000-000077240000}"/>
    <cellStyle name="Normal 2 10" xfId="7615" xr:uid="{00000000-0005-0000-0000-000078240000}"/>
    <cellStyle name="Normal 2 2" xfId="73" xr:uid="{00000000-0005-0000-0000-000079240000}"/>
    <cellStyle name="Normal 2 2 2" xfId="136" xr:uid="{00000000-0005-0000-0000-00007A240000}"/>
    <cellStyle name="Normal 2 2 2 2" xfId="258" xr:uid="{00000000-0005-0000-0000-00007B240000}"/>
    <cellStyle name="Normal 2 2 2 2 2" xfId="496" xr:uid="{00000000-0005-0000-0000-00007C240000}"/>
    <cellStyle name="Normal 2 2 2 2 2 2" xfId="970" xr:uid="{00000000-0005-0000-0000-00007D240000}"/>
    <cellStyle name="Normal 2 2 2 2 2 2 2" xfId="1916" xr:uid="{00000000-0005-0000-0000-00007E240000}"/>
    <cellStyle name="Normal 2 2 2 2 2 2 2 2" xfId="3806" xr:uid="{00000000-0005-0000-0000-00007F240000}"/>
    <cellStyle name="Normal 2 2 2 2 2 2 2 2 2" xfId="7585" xr:uid="{00000000-0005-0000-0000-000080240000}"/>
    <cellStyle name="Normal 2 2 2 2 2 2 2 2 3" xfId="11361" xr:uid="{00000000-0005-0000-0000-000081240000}"/>
    <cellStyle name="Normal 2 2 2 2 2 2 2 3" xfId="5697" xr:uid="{00000000-0005-0000-0000-000082240000}"/>
    <cellStyle name="Normal 2 2 2 2 2 2 2 4" xfId="9473" xr:uid="{00000000-0005-0000-0000-000083240000}"/>
    <cellStyle name="Normal 2 2 2 2 2 2 3" xfId="2862" xr:uid="{00000000-0005-0000-0000-000084240000}"/>
    <cellStyle name="Normal 2 2 2 2 2 2 3 2" xfId="6641" xr:uid="{00000000-0005-0000-0000-000085240000}"/>
    <cellStyle name="Normal 2 2 2 2 2 2 3 3" xfId="10417" xr:uid="{00000000-0005-0000-0000-000086240000}"/>
    <cellStyle name="Normal 2 2 2 2 2 2 4" xfId="4753" xr:uid="{00000000-0005-0000-0000-000087240000}"/>
    <cellStyle name="Normal 2 2 2 2 2 2 5" xfId="8529" xr:uid="{00000000-0005-0000-0000-000088240000}"/>
    <cellStyle name="Normal 2 2 2 2 2 3" xfId="1444" xr:uid="{00000000-0005-0000-0000-000089240000}"/>
    <cellStyle name="Normal 2 2 2 2 2 3 2" xfId="3334" xr:uid="{00000000-0005-0000-0000-00008A240000}"/>
    <cellStyle name="Normal 2 2 2 2 2 3 2 2" xfId="7113" xr:uid="{00000000-0005-0000-0000-00008B240000}"/>
    <cellStyle name="Normal 2 2 2 2 2 3 2 3" xfId="10889" xr:uid="{00000000-0005-0000-0000-00008C240000}"/>
    <cellStyle name="Normal 2 2 2 2 2 3 3" xfId="5225" xr:uid="{00000000-0005-0000-0000-00008D240000}"/>
    <cellStyle name="Normal 2 2 2 2 2 3 4" xfId="9001" xr:uid="{00000000-0005-0000-0000-00008E240000}"/>
    <cellStyle name="Normal 2 2 2 2 2 4" xfId="2390" xr:uid="{00000000-0005-0000-0000-00008F240000}"/>
    <cellStyle name="Normal 2 2 2 2 2 4 2" xfId="6169" xr:uid="{00000000-0005-0000-0000-000090240000}"/>
    <cellStyle name="Normal 2 2 2 2 2 4 3" xfId="9945" xr:uid="{00000000-0005-0000-0000-000091240000}"/>
    <cellStyle name="Normal 2 2 2 2 2 5" xfId="4281" xr:uid="{00000000-0005-0000-0000-000092240000}"/>
    <cellStyle name="Normal 2 2 2 2 2 6" xfId="8057" xr:uid="{00000000-0005-0000-0000-000093240000}"/>
    <cellStyle name="Normal 2 2 2 2 3" xfId="734" xr:uid="{00000000-0005-0000-0000-000094240000}"/>
    <cellStyle name="Normal 2 2 2 2 3 2" xfId="1680" xr:uid="{00000000-0005-0000-0000-000095240000}"/>
    <cellStyle name="Normal 2 2 2 2 3 2 2" xfId="3570" xr:uid="{00000000-0005-0000-0000-000096240000}"/>
    <cellStyle name="Normal 2 2 2 2 3 2 2 2" xfId="7349" xr:uid="{00000000-0005-0000-0000-000097240000}"/>
    <cellStyle name="Normal 2 2 2 2 3 2 2 3" xfId="11125" xr:uid="{00000000-0005-0000-0000-000098240000}"/>
    <cellStyle name="Normal 2 2 2 2 3 2 3" xfId="5461" xr:uid="{00000000-0005-0000-0000-000099240000}"/>
    <cellStyle name="Normal 2 2 2 2 3 2 4" xfId="9237" xr:uid="{00000000-0005-0000-0000-00009A240000}"/>
    <cellStyle name="Normal 2 2 2 2 3 3" xfId="2626" xr:uid="{00000000-0005-0000-0000-00009B240000}"/>
    <cellStyle name="Normal 2 2 2 2 3 3 2" xfId="6405" xr:uid="{00000000-0005-0000-0000-00009C240000}"/>
    <cellStyle name="Normal 2 2 2 2 3 3 3" xfId="10181" xr:uid="{00000000-0005-0000-0000-00009D240000}"/>
    <cellStyle name="Normal 2 2 2 2 3 4" xfId="4517" xr:uid="{00000000-0005-0000-0000-00009E240000}"/>
    <cellStyle name="Normal 2 2 2 2 3 5" xfId="8293" xr:uid="{00000000-0005-0000-0000-00009F240000}"/>
    <cellStyle name="Normal 2 2 2 2 4" xfId="1208" xr:uid="{00000000-0005-0000-0000-0000A0240000}"/>
    <cellStyle name="Normal 2 2 2 2 4 2" xfId="3098" xr:uid="{00000000-0005-0000-0000-0000A1240000}"/>
    <cellStyle name="Normal 2 2 2 2 4 2 2" xfId="6877" xr:uid="{00000000-0005-0000-0000-0000A2240000}"/>
    <cellStyle name="Normal 2 2 2 2 4 2 3" xfId="10653" xr:uid="{00000000-0005-0000-0000-0000A3240000}"/>
    <cellStyle name="Normal 2 2 2 2 4 3" xfId="4989" xr:uid="{00000000-0005-0000-0000-0000A4240000}"/>
    <cellStyle name="Normal 2 2 2 2 4 4" xfId="8765" xr:uid="{00000000-0005-0000-0000-0000A5240000}"/>
    <cellStyle name="Normal 2 2 2 2 5" xfId="2154" xr:uid="{00000000-0005-0000-0000-0000A6240000}"/>
    <cellStyle name="Normal 2 2 2 2 5 2" xfId="5933" xr:uid="{00000000-0005-0000-0000-0000A7240000}"/>
    <cellStyle name="Normal 2 2 2 2 5 3" xfId="9709" xr:uid="{00000000-0005-0000-0000-0000A8240000}"/>
    <cellStyle name="Normal 2 2 2 2 6" xfId="4045" xr:uid="{00000000-0005-0000-0000-0000A9240000}"/>
    <cellStyle name="Normal 2 2 2 2 7" xfId="7821" xr:uid="{00000000-0005-0000-0000-0000AA240000}"/>
    <cellStyle name="Normal 2 2 2 3" xfId="378" xr:uid="{00000000-0005-0000-0000-0000AB240000}"/>
    <cellStyle name="Normal 2 2 2 3 2" xfId="852" xr:uid="{00000000-0005-0000-0000-0000AC240000}"/>
    <cellStyle name="Normal 2 2 2 3 2 2" xfId="1798" xr:uid="{00000000-0005-0000-0000-0000AD240000}"/>
    <cellStyle name="Normal 2 2 2 3 2 2 2" xfId="3688" xr:uid="{00000000-0005-0000-0000-0000AE240000}"/>
    <cellStyle name="Normal 2 2 2 3 2 2 2 2" xfId="7467" xr:uid="{00000000-0005-0000-0000-0000AF240000}"/>
    <cellStyle name="Normal 2 2 2 3 2 2 2 3" xfId="11243" xr:uid="{00000000-0005-0000-0000-0000B0240000}"/>
    <cellStyle name="Normal 2 2 2 3 2 2 3" xfId="5579" xr:uid="{00000000-0005-0000-0000-0000B1240000}"/>
    <cellStyle name="Normal 2 2 2 3 2 2 4" xfId="9355" xr:uid="{00000000-0005-0000-0000-0000B2240000}"/>
    <cellStyle name="Normal 2 2 2 3 2 3" xfId="2744" xr:uid="{00000000-0005-0000-0000-0000B3240000}"/>
    <cellStyle name="Normal 2 2 2 3 2 3 2" xfId="6523" xr:uid="{00000000-0005-0000-0000-0000B4240000}"/>
    <cellStyle name="Normal 2 2 2 3 2 3 3" xfId="10299" xr:uid="{00000000-0005-0000-0000-0000B5240000}"/>
    <cellStyle name="Normal 2 2 2 3 2 4" xfId="4635" xr:uid="{00000000-0005-0000-0000-0000B6240000}"/>
    <cellStyle name="Normal 2 2 2 3 2 5" xfId="8411" xr:uid="{00000000-0005-0000-0000-0000B7240000}"/>
    <cellStyle name="Normal 2 2 2 3 3" xfId="1326" xr:uid="{00000000-0005-0000-0000-0000B8240000}"/>
    <cellStyle name="Normal 2 2 2 3 3 2" xfId="3216" xr:uid="{00000000-0005-0000-0000-0000B9240000}"/>
    <cellStyle name="Normal 2 2 2 3 3 2 2" xfId="6995" xr:uid="{00000000-0005-0000-0000-0000BA240000}"/>
    <cellStyle name="Normal 2 2 2 3 3 2 3" xfId="10771" xr:uid="{00000000-0005-0000-0000-0000BB240000}"/>
    <cellStyle name="Normal 2 2 2 3 3 3" xfId="5107" xr:uid="{00000000-0005-0000-0000-0000BC240000}"/>
    <cellStyle name="Normal 2 2 2 3 3 4" xfId="8883" xr:uid="{00000000-0005-0000-0000-0000BD240000}"/>
    <cellStyle name="Normal 2 2 2 3 4" xfId="2272" xr:uid="{00000000-0005-0000-0000-0000BE240000}"/>
    <cellStyle name="Normal 2 2 2 3 4 2" xfId="6051" xr:uid="{00000000-0005-0000-0000-0000BF240000}"/>
    <cellStyle name="Normal 2 2 2 3 4 3" xfId="9827" xr:uid="{00000000-0005-0000-0000-0000C0240000}"/>
    <cellStyle name="Normal 2 2 2 3 5" xfId="4163" xr:uid="{00000000-0005-0000-0000-0000C1240000}"/>
    <cellStyle name="Normal 2 2 2 3 6" xfId="7939" xr:uid="{00000000-0005-0000-0000-0000C2240000}"/>
    <cellStyle name="Normal 2 2 2 4" xfId="616" xr:uid="{00000000-0005-0000-0000-0000C3240000}"/>
    <cellStyle name="Normal 2 2 2 4 2" xfId="1562" xr:uid="{00000000-0005-0000-0000-0000C4240000}"/>
    <cellStyle name="Normal 2 2 2 4 2 2" xfId="3452" xr:uid="{00000000-0005-0000-0000-0000C5240000}"/>
    <cellStyle name="Normal 2 2 2 4 2 2 2" xfId="7231" xr:uid="{00000000-0005-0000-0000-0000C6240000}"/>
    <cellStyle name="Normal 2 2 2 4 2 2 3" xfId="11007" xr:uid="{00000000-0005-0000-0000-0000C7240000}"/>
    <cellStyle name="Normal 2 2 2 4 2 3" xfId="5343" xr:uid="{00000000-0005-0000-0000-0000C8240000}"/>
    <cellStyle name="Normal 2 2 2 4 2 4" xfId="9119" xr:uid="{00000000-0005-0000-0000-0000C9240000}"/>
    <cellStyle name="Normal 2 2 2 4 3" xfId="2508" xr:uid="{00000000-0005-0000-0000-0000CA240000}"/>
    <cellStyle name="Normal 2 2 2 4 3 2" xfId="6287" xr:uid="{00000000-0005-0000-0000-0000CB240000}"/>
    <cellStyle name="Normal 2 2 2 4 3 3" xfId="10063" xr:uid="{00000000-0005-0000-0000-0000CC240000}"/>
    <cellStyle name="Normal 2 2 2 4 4" xfId="4399" xr:uid="{00000000-0005-0000-0000-0000CD240000}"/>
    <cellStyle name="Normal 2 2 2 4 5" xfId="8175" xr:uid="{00000000-0005-0000-0000-0000CE240000}"/>
    <cellStyle name="Normal 2 2 2 5" xfId="1090" xr:uid="{00000000-0005-0000-0000-0000CF240000}"/>
    <cellStyle name="Normal 2 2 2 5 2" xfId="2980" xr:uid="{00000000-0005-0000-0000-0000D0240000}"/>
    <cellStyle name="Normal 2 2 2 5 2 2" xfId="6759" xr:uid="{00000000-0005-0000-0000-0000D1240000}"/>
    <cellStyle name="Normal 2 2 2 5 2 3" xfId="10535" xr:uid="{00000000-0005-0000-0000-0000D2240000}"/>
    <cellStyle name="Normal 2 2 2 5 3" xfId="4871" xr:uid="{00000000-0005-0000-0000-0000D3240000}"/>
    <cellStyle name="Normal 2 2 2 5 4" xfId="8647" xr:uid="{00000000-0005-0000-0000-0000D4240000}"/>
    <cellStyle name="Normal 2 2 2 6" xfId="2036" xr:uid="{00000000-0005-0000-0000-0000D5240000}"/>
    <cellStyle name="Normal 2 2 2 6 2" xfId="5815" xr:uid="{00000000-0005-0000-0000-0000D6240000}"/>
    <cellStyle name="Normal 2 2 2 6 3" xfId="9591" xr:uid="{00000000-0005-0000-0000-0000D7240000}"/>
    <cellStyle name="Normal 2 2 2 7" xfId="3927" xr:uid="{00000000-0005-0000-0000-0000D8240000}"/>
    <cellStyle name="Normal 2 2 2 8" xfId="7703" xr:uid="{00000000-0005-0000-0000-0000D9240000}"/>
    <cellStyle name="Normal 2 2 3" xfId="199" xr:uid="{00000000-0005-0000-0000-0000DA240000}"/>
    <cellStyle name="Normal 2 2 3 2" xfId="437" xr:uid="{00000000-0005-0000-0000-0000DB240000}"/>
    <cellStyle name="Normal 2 2 3 2 2" xfId="911" xr:uid="{00000000-0005-0000-0000-0000DC240000}"/>
    <cellStyle name="Normal 2 2 3 2 2 2" xfId="1857" xr:uid="{00000000-0005-0000-0000-0000DD240000}"/>
    <cellStyle name="Normal 2 2 3 2 2 2 2" xfId="3747" xr:uid="{00000000-0005-0000-0000-0000DE240000}"/>
    <cellStyle name="Normal 2 2 3 2 2 2 2 2" xfId="7526" xr:uid="{00000000-0005-0000-0000-0000DF240000}"/>
    <cellStyle name="Normal 2 2 3 2 2 2 2 3" xfId="11302" xr:uid="{00000000-0005-0000-0000-0000E0240000}"/>
    <cellStyle name="Normal 2 2 3 2 2 2 3" xfId="5638" xr:uid="{00000000-0005-0000-0000-0000E1240000}"/>
    <cellStyle name="Normal 2 2 3 2 2 2 4" xfId="9414" xr:uid="{00000000-0005-0000-0000-0000E2240000}"/>
    <cellStyle name="Normal 2 2 3 2 2 3" xfId="2803" xr:uid="{00000000-0005-0000-0000-0000E3240000}"/>
    <cellStyle name="Normal 2 2 3 2 2 3 2" xfId="6582" xr:uid="{00000000-0005-0000-0000-0000E4240000}"/>
    <cellStyle name="Normal 2 2 3 2 2 3 3" xfId="10358" xr:uid="{00000000-0005-0000-0000-0000E5240000}"/>
    <cellStyle name="Normal 2 2 3 2 2 4" xfId="4694" xr:uid="{00000000-0005-0000-0000-0000E6240000}"/>
    <cellStyle name="Normal 2 2 3 2 2 5" xfId="8470" xr:uid="{00000000-0005-0000-0000-0000E7240000}"/>
    <cellStyle name="Normal 2 2 3 2 3" xfId="1385" xr:uid="{00000000-0005-0000-0000-0000E8240000}"/>
    <cellStyle name="Normal 2 2 3 2 3 2" xfId="3275" xr:uid="{00000000-0005-0000-0000-0000E9240000}"/>
    <cellStyle name="Normal 2 2 3 2 3 2 2" xfId="7054" xr:uid="{00000000-0005-0000-0000-0000EA240000}"/>
    <cellStyle name="Normal 2 2 3 2 3 2 3" xfId="10830" xr:uid="{00000000-0005-0000-0000-0000EB240000}"/>
    <cellStyle name="Normal 2 2 3 2 3 3" xfId="5166" xr:uid="{00000000-0005-0000-0000-0000EC240000}"/>
    <cellStyle name="Normal 2 2 3 2 3 4" xfId="8942" xr:uid="{00000000-0005-0000-0000-0000ED240000}"/>
    <cellStyle name="Normal 2 2 3 2 4" xfId="2331" xr:uid="{00000000-0005-0000-0000-0000EE240000}"/>
    <cellStyle name="Normal 2 2 3 2 4 2" xfId="6110" xr:uid="{00000000-0005-0000-0000-0000EF240000}"/>
    <cellStyle name="Normal 2 2 3 2 4 3" xfId="9886" xr:uid="{00000000-0005-0000-0000-0000F0240000}"/>
    <cellStyle name="Normal 2 2 3 2 5" xfId="4222" xr:uid="{00000000-0005-0000-0000-0000F1240000}"/>
    <cellStyle name="Normal 2 2 3 2 6" xfId="7998" xr:uid="{00000000-0005-0000-0000-0000F2240000}"/>
    <cellStyle name="Normal 2 2 3 3" xfId="675" xr:uid="{00000000-0005-0000-0000-0000F3240000}"/>
    <cellStyle name="Normal 2 2 3 3 2" xfId="1621" xr:uid="{00000000-0005-0000-0000-0000F4240000}"/>
    <cellStyle name="Normal 2 2 3 3 2 2" xfId="3511" xr:uid="{00000000-0005-0000-0000-0000F5240000}"/>
    <cellStyle name="Normal 2 2 3 3 2 2 2" xfId="7290" xr:uid="{00000000-0005-0000-0000-0000F6240000}"/>
    <cellStyle name="Normal 2 2 3 3 2 2 3" xfId="11066" xr:uid="{00000000-0005-0000-0000-0000F7240000}"/>
    <cellStyle name="Normal 2 2 3 3 2 3" xfId="5402" xr:uid="{00000000-0005-0000-0000-0000F8240000}"/>
    <cellStyle name="Normal 2 2 3 3 2 4" xfId="9178" xr:uid="{00000000-0005-0000-0000-0000F9240000}"/>
    <cellStyle name="Normal 2 2 3 3 3" xfId="2567" xr:uid="{00000000-0005-0000-0000-0000FA240000}"/>
    <cellStyle name="Normal 2 2 3 3 3 2" xfId="6346" xr:uid="{00000000-0005-0000-0000-0000FB240000}"/>
    <cellStyle name="Normal 2 2 3 3 3 3" xfId="10122" xr:uid="{00000000-0005-0000-0000-0000FC240000}"/>
    <cellStyle name="Normal 2 2 3 3 4" xfId="4458" xr:uid="{00000000-0005-0000-0000-0000FD240000}"/>
    <cellStyle name="Normal 2 2 3 3 5" xfId="8234" xr:uid="{00000000-0005-0000-0000-0000FE240000}"/>
    <cellStyle name="Normal 2 2 3 4" xfId="1149" xr:uid="{00000000-0005-0000-0000-0000FF240000}"/>
    <cellStyle name="Normal 2 2 3 4 2" xfId="3039" xr:uid="{00000000-0005-0000-0000-000000250000}"/>
    <cellStyle name="Normal 2 2 3 4 2 2" xfId="6818" xr:uid="{00000000-0005-0000-0000-000001250000}"/>
    <cellStyle name="Normal 2 2 3 4 2 3" xfId="10594" xr:uid="{00000000-0005-0000-0000-000002250000}"/>
    <cellStyle name="Normal 2 2 3 4 3" xfId="4930" xr:uid="{00000000-0005-0000-0000-000003250000}"/>
    <cellStyle name="Normal 2 2 3 4 4" xfId="8706" xr:uid="{00000000-0005-0000-0000-000004250000}"/>
    <cellStyle name="Normal 2 2 3 5" xfId="2095" xr:uid="{00000000-0005-0000-0000-000005250000}"/>
    <cellStyle name="Normal 2 2 3 5 2" xfId="5874" xr:uid="{00000000-0005-0000-0000-000006250000}"/>
    <cellStyle name="Normal 2 2 3 5 3" xfId="9650" xr:uid="{00000000-0005-0000-0000-000007250000}"/>
    <cellStyle name="Normal 2 2 3 6" xfId="3986" xr:uid="{00000000-0005-0000-0000-000008250000}"/>
    <cellStyle name="Normal 2 2 3 7" xfId="7762" xr:uid="{00000000-0005-0000-0000-000009250000}"/>
    <cellStyle name="Normal 2 2 4" xfId="319" xr:uid="{00000000-0005-0000-0000-00000A250000}"/>
    <cellStyle name="Normal 2 2 4 2" xfId="793" xr:uid="{00000000-0005-0000-0000-00000B250000}"/>
    <cellStyle name="Normal 2 2 4 2 2" xfId="1739" xr:uid="{00000000-0005-0000-0000-00000C250000}"/>
    <cellStyle name="Normal 2 2 4 2 2 2" xfId="3629" xr:uid="{00000000-0005-0000-0000-00000D250000}"/>
    <cellStyle name="Normal 2 2 4 2 2 2 2" xfId="7408" xr:uid="{00000000-0005-0000-0000-00000E250000}"/>
    <cellStyle name="Normal 2 2 4 2 2 2 3" xfId="11184" xr:uid="{00000000-0005-0000-0000-00000F250000}"/>
    <cellStyle name="Normal 2 2 4 2 2 3" xfId="5520" xr:uid="{00000000-0005-0000-0000-000010250000}"/>
    <cellStyle name="Normal 2 2 4 2 2 4" xfId="9296" xr:uid="{00000000-0005-0000-0000-000011250000}"/>
    <cellStyle name="Normal 2 2 4 2 3" xfId="2685" xr:uid="{00000000-0005-0000-0000-000012250000}"/>
    <cellStyle name="Normal 2 2 4 2 3 2" xfId="6464" xr:uid="{00000000-0005-0000-0000-000013250000}"/>
    <cellStyle name="Normal 2 2 4 2 3 3" xfId="10240" xr:uid="{00000000-0005-0000-0000-000014250000}"/>
    <cellStyle name="Normal 2 2 4 2 4" xfId="4576" xr:uid="{00000000-0005-0000-0000-000015250000}"/>
    <cellStyle name="Normal 2 2 4 2 5" xfId="8352" xr:uid="{00000000-0005-0000-0000-000016250000}"/>
    <cellStyle name="Normal 2 2 4 3" xfId="1267" xr:uid="{00000000-0005-0000-0000-000017250000}"/>
    <cellStyle name="Normal 2 2 4 3 2" xfId="3157" xr:uid="{00000000-0005-0000-0000-000018250000}"/>
    <cellStyle name="Normal 2 2 4 3 2 2" xfId="6936" xr:uid="{00000000-0005-0000-0000-000019250000}"/>
    <cellStyle name="Normal 2 2 4 3 2 3" xfId="10712" xr:uid="{00000000-0005-0000-0000-00001A250000}"/>
    <cellStyle name="Normal 2 2 4 3 3" xfId="5048" xr:uid="{00000000-0005-0000-0000-00001B250000}"/>
    <cellStyle name="Normal 2 2 4 3 4" xfId="8824" xr:uid="{00000000-0005-0000-0000-00001C250000}"/>
    <cellStyle name="Normal 2 2 4 4" xfId="2213" xr:uid="{00000000-0005-0000-0000-00001D250000}"/>
    <cellStyle name="Normal 2 2 4 4 2" xfId="5992" xr:uid="{00000000-0005-0000-0000-00001E250000}"/>
    <cellStyle name="Normal 2 2 4 4 3" xfId="9768" xr:uid="{00000000-0005-0000-0000-00001F250000}"/>
    <cellStyle name="Normal 2 2 4 5" xfId="4104" xr:uid="{00000000-0005-0000-0000-000020250000}"/>
    <cellStyle name="Normal 2 2 4 6" xfId="7880" xr:uid="{00000000-0005-0000-0000-000021250000}"/>
    <cellStyle name="Normal 2 2 5" xfId="557" xr:uid="{00000000-0005-0000-0000-000022250000}"/>
    <cellStyle name="Normal 2 2 5 2" xfId="1503" xr:uid="{00000000-0005-0000-0000-000023250000}"/>
    <cellStyle name="Normal 2 2 5 2 2" xfId="3393" xr:uid="{00000000-0005-0000-0000-000024250000}"/>
    <cellStyle name="Normal 2 2 5 2 2 2" xfId="7172" xr:uid="{00000000-0005-0000-0000-000025250000}"/>
    <cellStyle name="Normal 2 2 5 2 2 3" xfId="10948" xr:uid="{00000000-0005-0000-0000-000026250000}"/>
    <cellStyle name="Normal 2 2 5 2 3" xfId="5284" xr:uid="{00000000-0005-0000-0000-000027250000}"/>
    <cellStyle name="Normal 2 2 5 2 4" xfId="9060" xr:uid="{00000000-0005-0000-0000-000028250000}"/>
    <cellStyle name="Normal 2 2 5 3" xfId="2449" xr:uid="{00000000-0005-0000-0000-000029250000}"/>
    <cellStyle name="Normal 2 2 5 3 2" xfId="6228" xr:uid="{00000000-0005-0000-0000-00002A250000}"/>
    <cellStyle name="Normal 2 2 5 3 3" xfId="10004" xr:uid="{00000000-0005-0000-0000-00002B250000}"/>
    <cellStyle name="Normal 2 2 5 4" xfId="4340" xr:uid="{00000000-0005-0000-0000-00002C250000}"/>
    <cellStyle name="Normal 2 2 5 5" xfId="8116" xr:uid="{00000000-0005-0000-0000-00002D250000}"/>
    <cellStyle name="Normal 2 2 6" xfId="1031" xr:uid="{00000000-0005-0000-0000-00002E250000}"/>
    <cellStyle name="Normal 2 2 6 2" xfId="2921" xr:uid="{00000000-0005-0000-0000-00002F250000}"/>
    <cellStyle name="Normal 2 2 6 2 2" xfId="6700" xr:uid="{00000000-0005-0000-0000-000030250000}"/>
    <cellStyle name="Normal 2 2 6 2 3" xfId="10476" xr:uid="{00000000-0005-0000-0000-000031250000}"/>
    <cellStyle name="Normal 2 2 6 3" xfId="4812" xr:uid="{00000000-0005-0000-0000-000032250000}"/>
    <cellStyle name="Normal 2 2 6 4" xfId="8588" xr:uid="{00000000-0005-0000-0000-000033250000}"/>
    <cellStyle name="Normal 2 2 7" xfId="1977" xr:uid="{00000000-0005-0000-0000-000034250000}"/>
    <cellStyle name="Normal 2 2 7 2" xfId="5756" xr:uid="{00000000-0005-0000-0000-000035250000}"/>
    <cellStyle name="Normal 2 2 7 3" xfId="9532" xr:uid="{00000000-0005-0000-0000-000036250000}"/>
    <cellStyle name="Normal 2 2 8" xfId="3868" xr:uid="{00000000-0005-0000-0000-000037250000}"/>
    <cellStyle name="Normal 2 2 9" xfId="7644" xr:uid="{00000000-0005-0000-0000-000038250000}"/>
    <cellStyle name="Normal 2 3" xfId="106" xr:uid="{00000000-0005-0000-0000-000039250000}"/>
    <cellStyle name="Normal 2 3 2" xfId="229" xr:uid="{00000000-0005-0000-0000-00003A250000}"/>
    <cellStyle name="Normal 2 3 2 2" xfId="467" xr:uid="{00000000-0005-0000-0000-00003B250000}"/>
    <cellStyle name="Normal 2 3 2 2 2" xfId="941" xr:uid="{00000000-0005-0000-0000-00003C250000}"/>
    <cellStyle name="Normal 2 3 2 2 2 2" xfId="1887" xr:uid="{00000000-0005-0000-0000-00003D250000}"/>
    <cellStyle name="Normal 2 3 2 2 2 2 2" xfId="3777" xr:uid="{00000000-0005-0000-0000-00003E250000}"/>
    <cellStyle name="Normal 2 3 2 2 2 2 2 2" xfId="7556" xr:uid="{00000000-0005-0000-0000-00003F250000}"/>
    <cellStyle name="Normal 2 3 2 2 2 2 2 3" xfId="11332" xr:uid="{00000000-0005-0000-0000-000040250000}"/>
    <cellStyle name="Normal 2 3 2 2 2 2 3" xfId="5668" xr:uid="{00000000-0005-0000-0000-000041250000}"/>
    <cellStyle name="Normal 2 3 2 2 2 2 4" xfId="9444" xr:uid="{00000000-0005-0000-0000-000042250000}"/>
    <cellStyle name="Normal 2 3 2 2 2 3" xfId="2833" xr:uid="{00000000-0005-0000-0000-000043250000}"/>
    <cellStyle name="Normal 2 3 2 2 2 3 2" xfId="6612" xr:uid="{00000000-0005-0000-0000-000044250000}"/>
    <cellStyle name="Normal 2 3 2 2 2 3 3" xfId="10388" xr:uid="{00000000-0005-0000-0000-000045250000}"/>
    <cellStyle name="Normal 2 3 2 2 2 4" xfId="4724" xr:uid="{00000000-0005-0000-0000-000046250000}"/>
    <cellStyle name="Normal 2 3 2 2 2 5" xfId="8500" xr:uid="{00000000-0005-0000-0000-000047250000}"/>
    <cellStyle name="Normal 2 3 2 2 3" xfId="1415" xr:uid="{00000000-0005-0000-0000-000048250000}"/>
    <cellStyle name="Normal 2 3 2 2 3 2" xfId="3305" xr:uid="{00000000-0005-0000-0000-000049250000}"/>
    <cellStyle name="Normal 2 3 2 2 3 2 2" xfId="7084" xr:uid="{00000000-0005-0000-0000-00004A250000}"/>
    <cellStyle name="Normal 2 3 2 2 3 2 3" xfId="10860" xr:uid="{00000000-0005-0000-0000-00004B250000}"/>
    <cellStyle name="Normal 2 3 2 2 3 3" xfId="5196" xr:uid="{00000000-0005-0000-0000-00004C250000}"/>
    <cellStyle name="Normal 2 3 2 2 3 4" xfId="8972" xr:uid="{00000000-0005-0000-0000-00004D250000}"/>
    <cellStyle name="Normal 2 3 2 2 4" xfId="2361" xr:uid="{00000000-0005-0000-0000-00004E250000}"/>
    <cellStyle name="Normal 2 3 2 2 4 2" xfId="6140" xr:uid="{00000000-0005-0000-0000-00004F250000}"/>
    <cellStyle name="Normal 2 3 2 2 4 3" xfId="9916" xr:uid="{00000000-0005-0000-0000-000050250000}"/>
    <cellStyle name="Normal 2 3 2 2 5" xfId="4252" xr:uid="{00000000-0005-0000-0000-000051250000}"/>
    <cellStyle name="Normal 2 3 2 2 6" xfId="8028" xr:uid="{00000000-0005-0000-0000-000052250000}"/>
    <cellStyle name="Normal 2 3 2 3" xfId="705" xr:uid="{00000000-0005-0000-0000-000053250000}"/>
    <cellStyle name="Normal 2 3 2 3 2" xfId="1651" xr:uid="{00000000-0005-0000-0000-000054250000}"/>
    <cellStyle name="Normal 2 3 2 3 2 2" xfId="3541" xr:uid="{00000000-0005-0000-0000-000055250000}"/>
    <cellStyle name="Normal 2 3 2 3 2 2 2" xfId="7320" xr:uid="{00000000-0005-0000-0000-000056250000}"/>
    <cellStyle name="Normal 2 3 2 3 2 2 3" xfId="11096" xr:uid="{00000000-0005-0000-0000-000057250000}"/>
    <cellStyle name="Normal 2 3 2 3 2 3" xfId="5432" xr:uid="{00000000-0005-0000-0000-000058250000}"/>
    <cellStyle name="Normal 2 3 2 3 2 4" xfId="9208" xr:uid="{00000000-0005-0000-0000-000059250000}"/>
    <cellStyle name="Normal 2 3 2 3 3" xfId="2597" xr:uid="{00000000-0005-0000-0000-00005A250000}"/>
    <cellStyle name="Normal 2 3 2 3 3 2" xfId="6376" xr:uid="{00000000-0005-0000-0000-00005B250000}"/>
    <cellStyle name="Normal 2 3 2 3 3 3" xfId="10152" xr:uid="{00000000-0005-0000-0000-00005C250000}"/>
    <cellStyle name="Normal 2 3 2 3 4" xfId="4488" xr:uid="{00000000-0005-0000-0000-00005D250000}"/>
    <cellStyle name="Normal 2 3 2 3 5" xfId="8264" xr:uid="{00000000-0005-0000-0000-00005E250000}"/>
    <cellStyle name="Normal 2 3 2 4" xfId="1179" xr:uid="{00000000-0005-0000-0000-00005F250000}"/>
    <cellStyle name="Normal 2 3 2 4 2" xfId="3069" xr:uid="{00000000-0005-0000-0000-000060250000}"/>
    <cellStyle name="Normal 2 3 2 4 2 2" xfId="6848" xr:uid="{00000000-0005-0000-0000-000061250000}"/>
    <cellStyle name="Normal 2 3 2 4 2 3" xfId="10624" xr:uid="{00000000-0005-0000-0000-000062250000}"/>
    <cellStyle name="Normal 2 3 2 4 3" xfId="4960" xr:uid="{00000000-0005-0000-0000-000063250000}"/>
    <cellStyle name="Normal 2 3 2 4 4" xfId="8736" xr:uid="{00000000-0005-0000-0000-000064250000}"/>
    <cellStyle name="Normal 2 3 2 5" xfId="2125" xr:uid="{00000000-0005-0000-0000-000065250000}"/>
    <cellStyle name="Normal 2 3 2 5 2" xfId="5904" xr:uid="{00000000-0005-0000-0000-000066250000}"/>
    <cellStyle name="Normal 2 3 2 5 3" xfId="9680" xr:uid="{00000000-0005-0000-0000-000067250000}"/>
    <cellStyle name="Normal 2 3 2 6" xfId="4016" xr:uid="{00000000-0005-0000-0000-000068250000}"/>
    <cellStyle name="Normal 2 3 2 7" xfId="7792" xr:uid="{00000000-0005-0000-0000-000069250000}"/>
    <cellStyle name="Normal 2 3 3" xfId="349" xr:uid="{00000000-0005-0000-0000-00006A250000}"/>
    <cellStyle name="Normal 2 3 3 2" xfId="823" xr:uid="{00000000-0005-0000-0000-00006B250000}"/>
    <cellStyle name="Normal 2 3 3 2 2" xfId="1769" xr:uid="{00000000-0005-0000-0000-00006C250000}"/>
    <cellStyle name="Normal 2 3 3 2 2 2" xfId="3659" xr:uid="{00000000-0005-0000-0000-00006D250000}"/>
    <cellStyle name="Normal 2 3 3 2 2 2 2" xfId="7438" xr:uid="{00000000-0005-0000-0000-00006E250000}"/>
    <cellStyle name="Normal 2 3 3 2 2 2 3" xfId="11214" xr:uid="{00000000-0005-0000-0000-00006F250000}"/>
    <cellStyle name="Normal 2 3 3 2 2 3" xfId="5550" xr:uid="{00000000-0005-0000-0000-000070250000}"/>
    <cellStyle name="Normal 2 3 3 2 2 4" xfId="9326" xr:uid="{00000000-0005-0000-0000-000071250000}"/>
    <cellStyle name="Normal 2 3 3 2 3" xfId="2715" xr:uid="{00000000-0005-0000-0000-000072250000}"/>
    <cellStyle name="Normal 2 3 3 2 3 2" xfId="6494" xr:uid="{00000000-0005-0000-0000-000073250000}"/>
    <cellStyle name="Normal 2 3 3 2 3 3" xfId="10270" xr:uid="{00000000-0005-0000-0000-000074250000}"/>
    <cellStyle name="Normal 2 3 3 2 4" xfId="4606" xr:uid="{00000000-0005-0000-0000-000075250000}"/>
    <cellStyle name="Normal 2 3 3 2 5" xfId="8382" xr:uid="{00000000-0005-0000-0000-000076250000}"/>
    <cellStyle name="Normal 2 3 3 3" xfId="1297" xr:uid="{00000000-0005-0000-0000-000077250000}"/>
    <cellStyle name="Normal 2 3 3 3 2" xfId="3187" xr:uid="{00000000-0005-0000-0000-000078250000}"/>
    <cellStyle name="Normal 2 3 3 3 2 2" xfId="6966" xr:uid="{00000000-0005-0000-0000-000079250000}"/>
    <cellStyle name="Normal 2 3 3 3 2 3" xfId="10742" xr:uid="{00000000-0005-0000-0000-00007A250000}"/>
    <cellStyle name="Normal 2 3 3 3 3" xfId="5078" xr:uid="{00000000-0005-0000-0000-00007B250000}"/>
    <cellStyle name="Normal 2 3 3 3 4" xfId="8854" xr:uid="{00000000-0005-0000-0000-00007C250000}"/>
    <cellStyle name="Normal 2 3 3 4" xfId="2243" xr:uid="{00000000-0005-0000-0000-00007D250000}"/>
    <cellStyle name="Normal 2 3 3 4 2" xfId="6022" xr:uid="{00000000-0005-0000-0000-00007E250000}"/>
    <cellStyle name="Normal 2 3 3 4 3" xfId="9798" xr:uid="{00000000-0005-0000-0000-00007F250000}"/>
    <cellStyle name="Normal 2 3 3 5" xfId="4134" xr:uid="{00000000-0005-0000-0000-000080250000}"/>
    <cellStyle name="Normal 2 3 3 6" xfId="7910" xr:uid="{00000000-0005-0000-0000-000081250000}"/>
    <cellStyle name="Normal 2 3 4" xfId="587" xr:uid="{00000000-0005-0000-0000-000082250000}"/>
    <cellStyle name="Normal 2 3 4 2" xfId="1533" xr:uid="{00000000-0005-0000-0000-000083250000}"/>
    <cellStyle name="Normal 2 3 4 2 2" xfId="3423" xr:uid="{00000000-0005-0000-0000-000084250000}"/>
    <cellStyle name="Normal 2 3 4 2 2 2" xfId="7202" xr:uid="{00000000-0005-0000-0000-000085250000}"/>
    <cellStyle name="Normal 2 3 4 2 2 3" xfId="10978" xr:uid="{00000000-0005-0000-0000-000086250000}"/>
    <cellStyle name="Normal 2 3 4 2 3" xfId="5314" xr:uid="{00000000-0005-0000-0000-000087250000}"/>
    <cellStyle name="Normal 2 3 4 2 4" xfId="9090" xr:uid="{00000000-0005-0000-0000-000088250000}"/>
    <cellStyle name="Normal 2 3 4 3" xfId="2479" xr:uid="{00000000-0005-0000-0000-000089250000}"/>
    <cellStyle name="Normal 2 3 4 3 2" xfId="6258" xr:uid="{00000000-0005-0000-0000-00008A250000}"/>
    <cellStyle name="Normal 2 3 4 3 3" xfId="10034" xr:uid="{00000000-0005-0000-0000-00008B250000}"/>
    <cellStyle name="Normal 2 3 4 4" xfId="4370" xr:uid="{00000000-0005-0000-0000-00008C250000}"/>
    <cellStyle name="Normal 2 3 4 5" xfId="8146" xr:uid="{00000000-0005-0000-0000-00008D250000}"/>
    <cellStyle name="Normal 2 3 5" xfId="1061" xr:uid="{00000000-0005-0000-0000-00008E250000}"/>
    <cellStyle name="Normal 2 3 5 2" xfId="2951" xr:uid="{00000000-0005-0000-0000-00008F250000}"/>
    <cellStyle name="Normal 2 3 5 2 2" xfId="6730" xr:uid="{00000000-0005-0000-0000-000090250000}"/>
    <cellStyle name="Normal 2 3 5 2 3" xfId="10506" xr:uid="{00000000-0005-0000-0000-000091250000}"/>
    <cellStyle name="Normal 2 3 5 3" xfId="4842" xr:uid="{00000000-0005-0000-0000-000092250000}"/>
    <cellStyle name="Normal 2 3 5 4" xfId="8618" xr:uid="{00000000-0005-0000-0000-000093250000}"/>
    <cellStyle name="Normal 2 3 6" xfId="2007" xr:uid="{00000000-0005-0000-0000-000094250000}"/>
    <cellStyle name="Normal 2 3 6 2" xfId="5786" xr:uid="{00000000-0005-0000-0000-000095250000}"/>
    <cellStyle name="Normal 2 3 6 3" xfId="9562" xr:uid="{00000000-0005-0000-0000-000096250000}"/>
    <cellStyle name="Normal 2 3 7" xfId="3898" xr:uid="{00000000-0005-0000-0000-000097250000}"/>
    <cellStyle name="Normal 2 3 8" xfId="7674" xr:uid="{00000000-0005-0000-0000-000098250000}"/>
    <cellStyle name="Normal 2 4" xfId="170" xr:uid="{00000000-0005-0000-0000-000099250000}"/>
    <cellStyle name="Normal 2 4 2" xfId="408" xr:uid="{00000000-0005-0000-0000-00009A250000}"/>
    <cellStyle name="Normal 2 4 2 2" xfId="882" xr:uid="{00000000-0005-0000-0000-00009B250000}"/>
    <cellStyle name="Normal 2 4 2 2 2" xfId="1828" xr:uid="{00000000-0005-0000-0000-00009C250000}"/>
    <cellStyle name="Normal 2 4 2 2 2 2" xfId="3718" xr:uid="{00000000-0005-0000-0000-00009D250000}"/>
    <cellStyle name="Normal 2 4 2 2 2 2 2" xfId="7497" xr:uid="{00000000-0005-0000-0000-00009E250000}"/>
    <cellStyle name="Normal 2 4 2 2 2 2 3" xfId="11273" xr:uid="{00000000-0005-0000-0000-00009F250000}"/>
    <cellStyle name="Normal 2 4 2 2 2 3" xfId="5609" xr:uid="{00000000-0005-0000-0000-0000A0250000}"/>
    <cellStyle name="Normal 2 4 2 2 2 4" xfId="9385" xr:uid="{00000000-0005-0000-0000-0000A1250000}"/>
    <cellStyle name="Normal 2 4 2 2 3" xfId="2774" xr:uid="{00000000-0005-0000-0000-0000A2250000}"/>
    <cellStyle name="Normal 2 4 2 2 3 2" xfId="6553" xr:uid="{00000000-0005-0000-0000-0000A3250000}"/>
    <cellStyle name="Normal 2 4 2 2 3 3" xfId="10329" xr:uid="{00000000-0005-0000-0000-0000A4250000}"/>
    <cellStyle name="Normal 2 4 2 2 4" xfId="4665" xr:uid="{00000000-0005-0000-0000-0000A5250000}"/>
    <cellStyle name="Normal 2 4 2 2 5" xfId="8441" xr:uid="{00000000-0005-0000-0000-0000A6250000}"/>
    <cellStyle name="Normal 2 4 2 3" xfId="1356" xr:uid="{00000000-0005-0000-0000-0000A7250000}"/>
    <cellStyle name="Normal 2 4 2 3 2" xfId="3246" xr:uid="{00000000-0005-0000-0000-0000A8250000}"/>
    <cellStyle name="Normal 2 4 2 3 2 2" xfId="7025" xr:uid="{00000000-0005-0000-0000-0000A9250000}"/>
    <cellStyle name="Normal 2 4 2 3 2 3" xfId="10801" xr:uid="{00000000-0005-0000-0000-0000AA250000}"/>
    <cellStyle name="Normal 2 4 2 3 3" xfId="5137" xr:uid="{00000000-0005-0000-0000-0000AB250000}"/>
    <cellStyle name="Normal 2 4 2 3 4" xfId="8913" xr:uid="{00000000-0005-0000-0000-0000AC250000}"/>
    <cellStyle name="Normal 2 4 2 4" xfId="2302" xr:uid="{00000000-0005-0000-0000-0000AD250000}"/>
    <cellStyle name="Normal 2 4 2 4 2" xfId="6081" xr:uid="{00000000-0005-0000-0000-0000AE250000}"/>
    <cellStyle name="Normal 2 4 2 4 3" xfId="9857" xr:uid="{00000000-0005-0000-0000-0000AF250000}"/>
    <cellStyle name="Normal 2 4 2 5" xfId="4193" xr:uid="{00000000-0005-0000-0000-0000B0250000}"/>
    <cellStyle name="Normal 2 4 2 6" xfId="7969" xr:uid="{00000000-0005-0000-0000-0000B1250000}"/>
    <cellStyle name="Normal 2 4 3" xfId="646" xr:uid="{00000000-0005-0000-0000-0000B2250000}"/>
    <cellStyle name="Normal 2 4 3 2" xfId="1592" xr:uid="{00000000-0005-0000-0000-0000B3250000}"/>
    <cellStyle name="Normal 2 4 3 2 2" xfId="3482" xr:uid="{00000000-0005-0000-0000-0000B4250000}"/>
    <cellStyle name="Normal 2 4 3 2 2 2" xfId="7261" xr:uid="{00000000-0005-0000-0000-0000B5250000}"/>
    <cellStyle name="Normal 2 4 3 2 2 3" xfId="11037" xr:uid="{00000000-0005-0000-0000-0000B6250000}"/>
    <cellStyle name="Normal 2 4 3 2 3" xfId="5373" xr:uid="{00000000-0005-0000-0000-0000B7250000}"/>
    <cellStyle name="Normal 2 4 3 2 4" xfId="9149" xr:uid="{00000000-0005-0000-0000-0000B8250000}"/>
    <cellStyle name="Normal 2 4 3 3" xfId="2538" xr:uid="{00000000-0005-0000-0000-0000B9250000}"/>
    <cellStyle name="Normal 2 4 3 3 2" xfId="6317" xr:uid="{00000000-0005-0000-0000-0000BA250000}"/>
    <cellStyle name="Normal 2 4 3 3 3" xfId="10093" xr:uid="{00000000-0005-0000-0000-0000BB250000}"/>
    <cellStyle name="Normal 2 4 3 4" xfId="4429" xr:uid="{00000000-0005-0000-0000-0000BC250000}"/>
    <cellStyle name="Normal 2 4 3 5" xfId="8205" xr:uid="{00000000-0005-0000-0000-0000BD250000}"/>
    <cellStyle name="Normal 2 4 4" xfId="1120" xr:uid="{00000000-0005-0000-0000-0000BE250000}"/>
    <cellStyle name="Normal 2 4 4 2" xfId="3010" xr:uid="{00000000-0005-0000-0000-0000BF250000}"/>
    <cellStyle name="Normal 2 4 4 2 2" xfId="6789" xr:uid="{00000000-0005-0000-0000-0000C0250000}"/>
    <cellStyle name="Normal 2 4 4 2 3" xfId="10565" xr:uid="{00000000-0005-0000-0000-0000C1250000}"/>
    <cellStyle name="Normal 2 4 4 3" xfId="4901" xr:uid="{00000000-0005-0000-0000-0000C2250000}"/>
    <cellStyle name="Normal 2 4 4 4" xfId="8677" xr:uid="{00000000-0005-0000-0000-0000C3250000}"/>
    <cellStyle name="Normal 2 4 5" xfId="2066" xr:uid="{00000000-0005-0000-0000-0000C4250000}"/>
    <cellStyle name="Normal 2 4 5 2" xfId="5845" xr:uid="{00000000-0005-0000-0000-0000C5250000}"/>
    <cellStyle name="Normal 2 4 5 3" xfId="9621" xr:uid="{00000000-0005-0000-0000-0000C6250000}"/>
    <cellStyle name="Normal 2 4 6" xfId="3957" xr:uid="{00000000-0005-0000-0000-0000C7250000}"/>
    <cellStyle name="Normal 2 4 7" xfId="7733" xr:uid="{00000000-0005-0000-0000-0000C8250000}"/>
    <cellStyle name="Normal 2 5" xfId="290" xr:uid="{00000000-0005-0000-0000-0000C9250000}"/>
    <cellStyle name="Normal 2 5 2" xfId="764" xr:uid="{00000000-0005-0000-0000-0000CA250000}"/>
    <cellStyle name="Normal 2 5 2 2" xfId="1710" xr:uid="{00000000-0005-0000-0000-0000CB250000}"/>
    <cellStyle name="Normal 2 5 2 2 2" xfId="3600" xr:uid="{00000000-0005-0000-0000-0000CC250000}"/>
    <cellStyle name="Normal 2 5 2 2 2 2" xfId="7379" xr:uid="{00000000-0005-0000-0000-0000CD250000}"/>
    <cellStyle name="Normal 2 5 2 2 2 3" xfId="11155" xr:uid="{00000000-0005-0000-0000-0000CE250000}"/>
    <cellStyle name="Normal 2 5 2 2 3" xfId="5491" xr:uid="{00000000-0005-0000-0000-0000CF250000}"/>
    <cellStyle name="Normal 2 5 2 2 4" xfId="9267" xr:uid="{00000000-0005-0000-0000-0000D0250000}"/>
    <cellStyle name="Normal 2 5 2 3" xfId="2656" xr:uid="{00000000-0005-0000-0000-0000D1250000}"/>
    <cellStyle name="Normal 2 5 2 3 2" xfId="6435" xr:uid="{00000000-0005-0000-0000-0000D2250000}"/>
    <cellStyle name="Normal 2 5 2 3 3" xfId="10211" xr:uid="{00000000-0005-0000-0000-0000D3250000}"/>
    <cellStyle name="Normal 2 5 2 4" xfId="4547" xr:uid="{00000000-0005-0000-0000-0000D4250000}"/>
    <cellStyle name="Normal 2 5 2 5" xfId="8323" xr:uid="{00000000-0005-0000-0000-0000D5250000}"/>
    <cellStyle name="Normal 2 5 3" xfId="1238" xr:uid="{00000000-0005-0000-0000-0000D6250000}"/>
    <cellStyle name="Normal 2 5 3 2" xfId="3128" xr:uid="{00000000-0005-0000-0000-0000D7250000}"/>
    <cellStyle name="Normal 2 5 3 2 2" xfId="6907" xr:uid="{00000000-0005-0000-0000-0000D8250000}"/>
    <cellStyle name="Normal 2 5 3 2 3" xfId="10683" xr:uid="{00000000-0005-0000-0000-0000D9250000}"/>
    <cellStyle name="Normal 2 5 3 3" xfId="5019" xr:uid="{00000000-0005-0000-0000-0000DA250000}"/>
    <cellStyle name="Normal 2 5 3 4" xfId="8795" xr:uid="{00000000-0005-0000-0000-0000DB250000}"/>
    <cellStyle name="Normal 2 5 4" xfId="2184" xr:uid="{00000000-0005-0000-0000-0000DC250000}"/>
    <cellStyle name="Normal 2 5 4 2" xfId="5963" xr:uid="{00000000-0005-0000-0000-0000DD250000}"/>
    <cellStyle name="Normal 2 5 4 3" xfId="9739" xr:uid="{00000000-0005-0000-0000-0000DE250000}"/>
    <cellStyle name="Normal 2 5 5" xfId="4075" xr:uid="{00000000-0005-0000-0000-0000DF250000}"/>
    <cellStyle name="Normal 2 5 6" xfId="7851" xr:uid="{00000000-0005-0000-0000-0000E0250000}"/>
    <cellStyle name="Normal 2 6" xfId="528" xr:uid="{00000000-0005-0000-0000-0000E1250000}"/>
    <cellStyle name="Normal 2 6 2" xfId="1474" xr:uid="{00000000-0005-0000-0000-0000E2250000}"/>
    <cellStyle name="Normal 2 6 2 2" xfId="3364" xr:uid="{00000000-0005-0000-0000-0000E3250000}"/>
    <cellStyle name="Normal 2 6 2 2 2" xfId="7143" xr:uid="{00000000-0005-0000-0000-0000E4250000}"/>
    <cellStyle name="Normal 2 6 2 2 3" xfId="10919" xr:uid="{00000000-0005-0000-0000-0000E5250000}"/>
    <cellStyle name="Normal 2 6 2 3" xfId="5255" xr:uid="{00000000-0005-0000-0000-0000E6250000}"/>
    <cellStyle name="Normal 2 6 2 4" xfId="9031" xr:uid="{00000000-0005-0000-0000-0000E7250000}"/>
    <cellStyle name="Normal 2 6 3" xfId="2420" xr:uid="{00000000-0005-0000-0000-0000E8250000}"/>
    <cellStyle name="Normal 2 6 3 2" xfId="6199" xr:uid="{00000000-0005-0000-0000-0000E9250000}"/>
    <cellStyle name="Normal 2 6 3 3" xfId="9975" xr:uid="{00000000-0005-0000-0000-0000EA250000}"/>
    <cellStyle name="Normal 2 6 4" xfId="4311" xr:uid="{00000000-0005-0000-0000-0000EB250000}"/>
    <cellStyle name="Normal 2 6 5" xfId="8087" xr:uid="{00000000-0005-0000-0000-0000EC250000}"/>
    <cellStyle name="Normal 2 7" xfId="1002" xr:uid="{00000000-0005-0000-0000-0000ED250000}"/>
    <cellStyle name="Normal 2 7 2" xfId="2892" xr:uid="{00000000-0005-0000-0000-0000EE250000}"/>
    <cellStyle name="Normal 2 7 2 2" xfId="6671" xr:uid="{00000000-0005-0000-0000-0000EF250000}"/>
    <cellStyle name="Normal 2 7 2 3" xfId="10447" xr:uid="{00000000-0005-0000-0000-0000F0250000}"/>
    <cellStyle name="Normal 2 7 3" xfId="4783" xr:uid="{00000000-0005-0000-0000-0000F1250000}"/>
    <cellStyle name="Normal 2 7 4" xfId="8559" xr:uid="{00000000-0005-0000-0000-0000F2250000}"/>
    <cellStyle name="Normal 2 8" xfId="1948" xr:uid="{00000000-0005-0000-0000-0000F3250000}"/>
    <cellStyle name="Normal 2 8 2" xfId="5727" xr:uid="{00000000-0005-0000-0000-0000F4250000}"/>
    <cellStyle name="Normal 2 8 3" xfId="9503" xr:uid="{00000000-0005-0000-0000-0000F5250000}"/>
    <cellStyle name="Normal 2 9" xfId="3839" xr:uid="{00000000-0005-0000-0000-0000F6250000}"/>
    <cellStyle name="Normal 20" xfId="1933" xr:uid="{00000000-0005-0000-0000-0000F7250000}"/>
    <cellStyle name="Normal 20 2" xfId="5714" xr:uid="{00000000-0005-0000-0000-0000F8250000}"/>
    <cellStyle name="Normal 20 3" xfId="9490" xr:uid="{00000000-0005-0000-0000-0000F9250000}"/>
    <cellStyle name="Normal 21" xfId="3837" xr:uid="{00000000-0005-0000-0000-0000FA250000}"/>
    <cellStyle name="Normal 22" xfId="3824" xr:uid="{00000000-0005-0000-0000-0000FB250000}"/>
    <cellStyle name="Normal 23" xfId="7602" xr:uid="{00000000-0005-0000-0000-0000FC250000}"/>
    <cellStyle name="Normal 24" xfId="11378" xr:uid="{00000000-0005-0000-0000-0000FD250000}"/>
    <cellStyle name="Normal 24 2" xfId="11380" xr:uid="{00000000-0005-0000-0000-0000FE250000}"/>
    <cellStyle name="Normal 25" xfId="11383" xr:uid="{00000000-0005-0000-0000-0000FF250000}"/>
    <cellStyle name="Normal 3" xfId="44" xr:uid="{00000000-0005-0000-0000-000000260000}"/>
    <cellStyle name="Normal 3 10" xfId="7617" xr:uid="{00000000-0005-0000-0000-000001260000}"/>
    <cellStyle name="Normal 3 2" xfId="75" xr:uid="{00000000-0005-0000-0000-000002260000}"/>
    <cellStyle name="Normal 3 2 2" xfId="138" xr:uid="{00000000-0005-0000-0000-000003260000}"/>
    <cellStyle name="Normal 3 2 2 2" xfId="260" xr:uid="{00000000-0005-0000-0000-000004260000}"/>
    <cellStyle name="Normal 3 2 2 2 2" xfId="498" xr:uid="{00000000-0005-0000-0000-000005260000}"/>
    <cellStyle name="Normal 3 2 2 2 2 2" xfId="972" xr:uid="{00000000-0005-0000-0000-000006260000}"/>
    <cellStyle name="Normal 3 2 2 2 2 2 2" xfId="1918" xr:uid="{00000000-0005-0000-0000-000007260000}"/>
    <cellStyle name="Normal 3 2 2 2 2 2 2 2" xfId="3808" xr:uid="{00000000-0005-0000-0000-000008260000}"/>
    <cellStyle name="Normal 3 2 2 2 2 2 2 2 2" xfId="7587" xr:uid="{00000000-0005-0000-0000-000009260000}"/>
    <cellStyle name="Normal 3 2 2 2 2 2 2 2 3" xfId="11363" xr:uid="{00000000-0005-0000-0000-00000A260000}"/>
    <cellStyle name="Normal 3 2 2 2 2 2 2 3" xfId="5699" xr:uid="{00000000-0005-0000-0000-00000B260000}"/>
    <cellStyle name="Normal 3 2 2 2 2 2 2 4" xfId="9475" xr:uid="{00000000-0005-0000-0000-00000C260000}"/>
    <cellStyle name="Normal 3 2 2 2 2 2 3" xfId="2864" xr:uid="{00000000-0005-0000-0000-00000D260000}"/>
    <cellStyle name="Normal 3 2 2 2 2 2 3 2" xfId="6643" xr:uid="{00000000-0005-0000-0000-00000E260000}"/>
    <cellStyle name="Normal 3 2 2 2 2 2 3 3" xfId="10419" xr:uid="{00000000-0005-0000-0000-00000F260000}"/>
    <cellStyle name="Normal 3 2 2 2 2 2 4" xfId="4755" xr:uid="{00000000-0005-0000-0000-000010260000}"/>
    <cellStyle name="Normal 3 2 2 2 2 2 5" xfId="8531" xr:uid="{00000000-0005-0000-0000-000011260000}"/>
    <cellStyle name="Normal 3 2 2 2 2 3" xfId="1446" xr:uid="{00000000-0005-0000-0000-000012260000}"/>
    <cellStyle name="Normal 3 2 2 2 2 3 2" xfId="3336" xr:uid="{00000000-0005-0000-0000-000013260000}"/>
    <cellStyle name="Normal 3 2 2 2 2 3 2 2" xfId="7115" xr:uid="{00000000-0005-0000-0000-000014260000}"/>
    <cellStyle name="Normal 3 2 2 2 2 3 2 3" xfId="10891" xr:uid="{00000000-0005-0000-0000-000015260000}"/>
    <cellStyle name="Normal 3 2 2 2 2 3 3" xfId="5227" xr:uid="{00000000-0005-0000-0000-000016260000}"/>
    <cellStyle name="Normal 3 2 2 2 2 3 4" xfId="9003" xr:uid="{00000000-0005-0000-0000-000017260000}"/>
    <cellStyle name="Normal 3 2 2 2 2 4" xfId="2392" xr:uid="{00000000-0005-0000-0000-000018260000}"/>
    <cellStyle name="Normal 3 2 2 2 2 4 2" xfId="6171" xr:uid="{00000000-0005-0000-0000-000019260000}"/>
    <cellStyle name="Normal 3 2 2 2 2 4 3" xfId="9947" xr:uid="{00000000-0005-0000-0000-00001A260000}"/>
    <cellStyle name="Normal 3 2 2 2 2 5" xfId="4283" xr:uid="{00000000-0005-0000-0000-00001B260000}"/>
    <cellStyle name="Normal 3 2 2 2 2 6" xfId="8059" xr:uid="{00000000-0005-0000-0000-00001C260000}"/>
    <cellStyle name="Normal 3 2 2 2 3" xfId="736" xr:uid="{00000000-0005-0000-0000-00001D260000}"/>
    <cellStyle name="Normal 3 2 2 2 3 2" xfId="1682" xr:uid="{00000000-0005-0000-0000-00001E260000}"/>
    <cellStyle name="Normal 3 2 2 2 3 2 2" xfId="3572" xr:uid="{00000000-0005-0000-0000-00001F260000}"/>
    <cellStyle name="Normal 3 2 2 2 3 2 2 2" xfId="7351" xr:uid="{00000000-0005-0000-0000-000020260000}"/>
    <cellStyle name="Normal 3 2 2 2 3 2 2 3" xfId="11127" xr:uid="{00000000-0005-0000-0000-000021260000}"/>
    <cellStyle name="Normal 3 2 2 2 3 2 3" xfId="5463" xr:uid="{00000000-0005-0000-0000-000022260000}"/>
    <cellStyle name="Normal 3 2 2 2 3 2 4" xfId="9239" xr:uid="{00000000-0005-0000-0000-000023260000}"/>
    <cellStyle name="Normal 3 2 2 2 3 3" xfId="2628" xr:uid="{00000000-0005-0000-0000-000024260000}"/>
    <cellStyle name="Normal 3 2 2 2 3 3 2" xfId="6407" xr:uid="{00000000-0005-0000-0000-000025260000}"/>
    <cellStyle name="Normal 3 2 2 2 3 3 3" xfId="10183" xr:uid="{00000000-0005-0000-0000-000026260000}"/>
    <cellStyle name="Normal 3 2 2 2 3 4" xfId="4519" xr:uid="{00000000-0005-0000-0000-000027260000}"/>
    <cellStyle name="Normal 3 2 2 2 3 5" xfId="8295" xr:uid="{00000000-0005-0000-0000-000028260000}"/>
    <cellStyle name="Normal 3 2 2 2 4" xfId="1210" xr:uid="{00000000-0005-0000-0000-000029260000}"/>
    <cellStyle name="Normal 3 2 2 2 4 2" xfId="3100" xr:uid="{00000000-0005-0000-0000-00002A260000}"/>
    <cellStyle name="Normal 3 2 2 2 4 2 2" xfId="6879" xr:uid="{00000000-0005-0000-0000-00002B260000}"/>
    <cellStyle name="Normal 3 2 2 2 4 2 3" xfId="10655" xr:uid="{00000000-0005-0000-0000-00002C260000}"/>
    <cellStyle name="Normal 3 2 2 2 4 3" xfId="4991" xr:uid="{00000000-0005-0000-0000-00002D260000}"/>
    <cellStyle name="Normal 3 2 2 2 4 4" xfId="8767" xr:uid="{00000000-0005-0000-0000-00002E260000}"/>
    <cellStyle name="Normal 3 2 2 2 5" xfId="2156" xr:uid="{00000000-0005-0000-0000-00002F260000}"/>
    <cellStyle name="Normal 3 2 2 2 5 2" xfId="5935" xr:uid="{00000000-0005-0000-0000-000030260000}"/>
    <cellStyle name="Normal 3 2 2 2 5 3" xfId="9711" xr:uid="{00000000-0005-0000-0000-000031260000}"/>
    <cellStyle name="Normal 3 2 2 2 6" xfId="4047" xr:uid="{00000000-0005-0000-0000-000032260000}"/>
    <cellStyle name="Normal 3 2 2 2 7" xfId="7823" xr:uid="{00000000-0005-0000-0000-000033260000}"/>
    <cellStyle name="Normal 3 2 2 3" xfId="380" xr:uid="{00000000-0005-0000-0000-000034260000}"/>
    <cellStyle name="Normal 3 2 2 3 2" xfId="854" xr:uid="{00000000-0005-0000-0000-000035260000}"/>
    <cellStyle name="Normal 3 2 2 3 2 2" xfId="1800" xr:uid="{00000000-0005-0000-0000-000036260000}"/>
    <cellStyle name="Normal 3 2 2 3 2 2 2" xfId="3690" xr:uid="{00000000-0005-0000-0000-000037260000}"/>
    <cellStyle name="Normal 3 2 2 3 2 2 2 2" xfId="7469" xr:uid="{00000000-0005-0000-0000-000038260000}"/>
    <cellStyle name="Normal 3 2 2 3 2 2 2 3" xfId="11245" xr:uid="{00000000-0005-0000-0000-000039260000}"/>
    <cellStyle name="Normal 3 2 2 3 2 2 3" xfId="5581" xr:uid="{00000000-0005-0000-0000-00003A260000}"/>
    <cellStyle name="Normal 3 2 2 3 2 2 4" xfId="9357" xr:uid="{00000000-0005-0000-0000-00003B260000}"/>
    <cellStyle name="Normal 3 2 2 3 2 3" xfId="2746" xr:uid="{00000000-0005-0000-0000-00003C260000}"/>
    <cellStyle name="Normal 3 2 2 3 2 3 2" xfId="6525" xr:uid="{00000000-0005-0000-0000-00003D260000}"/>
    <cellStyle name="Normal 3 2 2 3 2 3 3" xfId="10301" xr:uid="{00000000-0005-0000-0000-00003E260000}"/>
    <cellStyle name="Normal 3 2 2 3 2 4" xfId="4637" xr:uid="{00000000-0005-0000-0000-00003F260000}"/>
    <cellStyle name="Normal 3 2 2 3 2 5" xfId="8413" xr:uid="{00000000-0005-0000-0000-000040260000}"/>
    <cellStyle name="Normal 3 2 2 3 3" xfId="1328" xr:uid="{00000000-0005-0000-0000-000041260000}"/>
    <cellStyle name="Normal 3 2 2 3 3 2" xfId="3218" xr:uid="{00000000-0005-0000-0000-000042260000}"/>
    <cellStyle name="Normal 3 2 2 3 3 2 2" xfId="6997" xr:uid="{00000000-0005-0000-0000-000043260000}"/>
    <cellStyle name="Normal 3 2 2 3 3 2 3" xfId="10773" xr:uid="{00000000-0005-0000-0000-000044260000}"/>
    <cellStyle name="Normal 3 2 2 3 3 3" xfId="5109" xr:uid="{00000000-0005-0000-0000-000045260000}"/>
    <cellStyle name="Normal 3 2 2 3 3 4" xfId="8885" xr:uid="{00000000-0005-0000-0000-000046260000}"/>
    <cellStyle name="Normal 3 2 2 3 4" xfId="2274" xr:uid="{00000000-0005-0000-0000-000047260000}"/>
    <cellStyle name="Normal 3 2 2 3 4 2" xfId="6053" xr:uid="{00000000-0005-0000-0000-000048260000}"/>
    <cellStyle name="Normal 3 2 2 3 4 3" xfId="9829" xr:uid="{00000000-0005-0000-0000-000049260000}"/>
    <cellStyle name="Normal 3 2 2 3 5" xfId="4165" xr:uid="{00000000-0005-0000-0000-00004A260000}"/>
    <cellStyle name="Normal 3 2 2 3 6" xfId="7941" xr:uid="{00000000-0005-0000-0000-00004B260000}"/>
    <cellStyle name="Normal 3 2 2 4" xfId="618" xr:uid="{00000000-0005-0000-0000-00004C260000}"/>
    <cellStyle name="Normal 3 2 2 4 2" xfId="1564" xr:uid="{00000000-0005-0000-0000-00004D260000}"/>
    <cellStyle name="Normal 3 2 2 4 2 2" xfId="3454" xr:uid="{00000000-0005-0000-0000-00004E260000}"/>
    <cellStyle name="Normal 3 2 2 4 2 2 2" xfId="7233" xr:uid="{00000000-0005-0000-0000-00004F260000}"/>
    <cellStyle name="Normal 3 2 2 4 2 2 3" xfId="11009" xr:uid="{00000000-0005-0000-0000-000050260000}"/>
    <cellStyle name="Normal 3 2 2 4 2 3" xfId="5345" xr:uid="{00000000-0005-0000-0000-000051260000}"/>
    <cellStyle name="Normal 3 2 2 4 2 4" xfId="9121" xr:uid="{00000000-0005-0000-0000-000052260000}"/>
    <cellStyle name="Normal 3 2 2 4 3" xfId="2510" xr:uid="{00000000-0005-0000-0000-000053260000}"/>
    <cellStyle name="Normal 3 2 2 4 3 2" xfId="6289" xr:uid="{00000000-0005-0000-0000-000054260000}"/>
    <cellStyle name="Normal 3 2 2 4 3 3" xfId="10065" xr:uid="{00000000-0005-0000-0000-000055260000}"/>
    <cellStyle name="Normal 3 2 2 4 4" xfId="4401" xr:uid="{00000000-0005-0000-0000-000056260000}"/>
    <cellStyle name="Normal 3 2 2 4 5" xfId="8177" xr:uid="{00000000-0005-0000-0000-000057260000}"/>
    <cellStyle name="Normal 3 2 2 5" xfId="1092" xr:uid="{00000000-0005-0000-0000-000058260000}"/>
    <cellStyle name="Normal 3 2 2 5 2" xfId="2982" xr:uid="{00000000-0005-0000-0000-000059260000}"/>
    <cellStyle name="Normal 3 2 2 5 2 2" xfId="6761" xr:uid="{00000000-0005-0000-0000-00005A260000}"/>
    <cellStyle name="Normal 3 2 2 5 2 3" xfId="10537" xr:uid="{00000000-0005-0000-0000-00005B260000}"/>
    <cellStyle name="Normal 3 2 2 5 3" xfId="4873" xr:uid="{00000000-0005-0000-0000-00005C260000}"/>
    <cellStyle name="Normal 3 2 2 5 4" xfId="8649" xr:uid="{00000000-0005-0000-0000-00005D260000}"/>
    <cellStyle name="Normal 3 2 2 6" xfId="2038" xr:uid="{00000000-0005-0000-0000-00005E260000}"/>
    <cellStyle name="Normal 3 2 2 6 2" xfId="5817" xr:uid="{00000000-0005-0000-0000-00005F260000}"/>
    <cellStyle name="Normal 3 2 2 6 3" xfId="9593" xr:uid="{00000000-0005-0000-0000-000060260000}"/>
    <cellStyle name="Normal 3 2 2 7" xfId="3929" xr:uid="{00000000-0005-0000-0000-000061260000}"/>
    <cellStyle name="Normal 3 2 2 8" xfId="7705" xr:uid="{00000000-0005-0000-0000-000062260000}"/>
    <cellStyle name="Normal 3 2 3" xfId="201" xr:uid="{00000000-0005-0000-0000-000063260000}"/>
    <cellStyle name="Normal 3 2 3 2" xfId="439" xr:uid="{00000000-0005-0000-0000-000064260000}"/>
    <cellStyle name="Normal 3 2 3 2 2" xfId="913" xr:uid="{00000000-0005-0000-0000-000065260000}"/>
    <cellStyle name="Normal 3 2 3 2 2 2" xfId="1859" xr:uid="{00000000-0005-0000-0000-000066260000}"/>
    <cellStyle name="Normal 3 2 3 2 2 2 2" xfId="3749" xr:uid="{00000000-0005-0000-0000-000067260000}"/>
    <cellStyle name="Normal 3 2 3 2 2 2 2 2" xfId="7528" xr:uid="{00000000-0005-0000-0000-000068260000}"/>
    <cellStyle name="Normal 3 2 3 2 2 2 2 3" xfId="11304" xr:uid="{00000000-0005-0000-0000-000069260000}"/>
    <cellStyle name="Normal 3 2 3 2 2 2 3" xfId="5640" xr:uid="{00000000-0005-0000-0000-00006A260000}"/>
    <cellStyle name="Normal 3 2 3 2 2 2 4" xfId="9416" xr:uid="{00000000-0005-0000-0000-00006B260000}"/>
    <cellStyle name="Normal 3 2 3 2 2 3" xfId="2805" xr:uid="{00000000-0005-0000-0000-00006C260000}"/>
    <cellStyle name="Normal 3 2 3 2 2 3 2" xfId="6584" xr:uid="{00000000-0005-0000-0000-00006D260000}"/>
    <cellStyle name="Normal 3 2 3 2 2 3 3" xfId="10360" xr:uid="{00000000-0005-0000-0000-00006E260000}"/>
    <cellStyle name="Normal 3 2 3 2 2 4" xfId="4696" xr:uid="{00000000-0005-0000-0000-00006F260000}"/>
    <cellStyle name="Normal 3 2 3 2 2 5" xfId="8472" xr:uid="{00000000-0005-0000-0000-000070260000}"/>
    <cellStyle name="Normal 3 2 3 2 3" xfId="1387" xr:uid="{00000000-0005-0000-0000-000071260000}"/>
    <cellStyle name="Normal 3 2 3 2 3 2" xfId="3277" xr:uid="{00000000-0005-0000-0000-000072260000}"/>
    <cellStyle name="Normal 3 2 3 2 3 2 2" xfId="7056" xr:uid="{00000000-0005-0000-0000-000073260000}"/>
    <cellStyle name="Normal 3 2 3 2 3 2 3" xfId="10832" xr:uid="{00000000-0005-0000-0000-000074260000}"/>
    <cellStyle name="Normal 3 2 3 2 3 3" xfId="5168" xr:uid="{00000000-0005-0000-0000-000075260000}"/>
    <cellStyle name="Normal 3 2 3 2 3 4" xfId="8944" xr:uid="{00000000-0005-0000-0000-000076260000}"/>
    <cellStyle name="Normal 3 2 3 2 4" xfId="2333" xr:uid="{00000000-0005-0000-0000-000077260000}"/>
    <cellStyle name="Normal 3 2 3 2 4 2" xfId="6112" xr:uid="{00000000-0005-0000-0000-000078260000}"/>
    <cellStyle name="Normal 3 2 3 2 4 3" xfId="9888" xr:uid="{00000000-0005-0000-0000-000079260000}"/>
    <cellStyle name="Normal 3 2 3 2 5" xfId="4224" xr:uid="{00000000-0005-0000-0000-00007A260000}"/>
    <cellStyle name="Normal 3 2 3 2 6" xfId="8000" xr:uid="{00000000-0005-0000-0000-00007B260000}"/>
    <cellStyle name="Normal 3 2 3 3" xfId="677" xr:uid="{00000000-0005-0000-0000-00007C260000}"/>
    <cellStyle name="Normal 3 2 3 3 2" xfId="1623" xr:uid="{00000000-0005-0000-0000-00007D260000}"/>
    <cellStyle name="Normal 3 2 3 3 2 2" xfId="3513" xr:uid="{00000000-0005-0000-0000-00007E260000}"/>
    <cellStyle name="Normal 3 2 3 3 2 2 2" xfId="7292" xr:uid="{00000000-0005-0000-0000-00007F260000}"/>
    <cellStyle name="Normal 3 2 3 3 2 2 3" xfId="11068" xr:uid="{00000000-0005-0000-0000-000080260000}"/>
    <cellStyle name="Normal 3 2 3 3 2 3" xfId="5404" xr:uid="{00000000-0005-0000-0000-000081260000}"/>
    <cellStyle name="Normal 3 2 3 3 2 4" xfId="9180" xr:uid="{00000000-0005-0000-0000-000082260000}"/>
    <cellStyle name="Normal 3 2 3 3 3" xfId="2569" xr:uid="{00000000-0005-0000-0000-000083260000}"/>
    <cellStyle name="Normal 3 2 3 3 3 2" xfId="6348" xr:uid="{00000000-0005-0000-0000-000084260000}"/>
    <cellStyle name="Normal 3 2 3 3 3 3" xfId="10124" xr:uid="{00000000-0005-0000-0000-000085260000}"/>
    <cellStyle name="Normal 3 2 3 3 4" xfId="4460" xr:uid="{00000000-0005-0000-0000-000086260000}"/>
    <cellStyle name="Normal 3 2 3 3 5" xfId="8236" xr:uid="{00000000-0005-0000-0000-000087260000}"/>
    <cellStyle name="Normal 3 2 3 4" xfId="1151" xr:uid="{00000000-0005-0000-0000-000088260000}"/>
    <cellStyle name="Normal 3 2 3 4 2" xfId="3041" xr:uid="{00000000-0005-0000-0000-000089260000}"/>
    <cellStyle name="Normal 3 2 3 4 2 2" xfId="6820" xr:uid="{00000000-0005-0000-0000-00008A260000}"/>
    <cellStyle name="Normal 3 2 3 4 2 3" xfId="10596" xr:uid="{00000000-0005-0000-0000-00008B260000}"/>
    <cellStyle name="Normal 3 2 3 4 3" xfId="4932" xr:uid="{00000000-0005-0000-0000-00008C260000}"/>
    <cellStyle name="Normal 3 2 3 4 4" xfId="8708" xr:uid="{00000000-0005-0000-0000-00008D260000}"/>
    <cellStyle name="Normal 3 2 3 5" xfId="2097" xr:uid="{00000000-0005-0000-0000-00008E260000}"/>
    <cellStyle name="Normal 3 2 3 5 2" xfId="5876" xr:uid="{00000000-0005-0000-0000-00008F260000}"/>
    <cellStyle name="Normal 3 2 3 5 3" xfId="9652" xr:uid="{00000000-0005-0000-0000-000090260000}"/>
    <cellStyle name="Normal 3 2 3 6" xfId="3988" xr:uid="{00000000-0005-0000-0000-000091260000}"/>
    <cellStyle name="Normal 3 2 3 7" xfId="7764" xr:uid="{00000000-0005-0000-0000-000092260000}"/>
    <cellStyle name="Normal 3 2 4" xfId="321" xr:uid="{00000000-0005-0000-0000-000093260000}"/>
    <cellStyle name="Normal 3 2 4 2" xfId="795" xr:uid="{00000000-0005-0000-0000-000094260000}"/>
    <cellStyle name="Normal 3 2 4 2 2" xfId="1741" xr:uid="{00000000-0005-0000-0000-000095260000}"/>
    <cellStyle name="Normal 3 2 4 2 2 2" xfId="3631" xr:uid="{00000000-0005-0000-0000-000096260000}"/>
    <cellStyle name="Normal 3 2 4 2 2 2 2" xfId="7410" xr:uid="{00000000-0005-0000-0000-000097260000}"/>
    <cellStyle name="Normal 3 2 4 2 2 2 3" xfId="11186" xr:uid="{00000000-0005-0000-0000-000098260000}"/>
    <cellStyle name="Normal 3 2 4 2 2 3" xfId="5522" xr:uid="{00000000-0005-0000-0000-000099260000}"/>
    <cellStyle name="Normal 3 2 4 2 2 4" xfId="9298" xr:uid="{00000000-0005-0000-0000-00009A260000}"/>
    <cellStyle name="Normal 3 2 4 2 3" xfId="2687" xr:uid="{00000000-0005-0000-0000-00009B260000}"/>
    <cellStyle name="Normal 3 2 4 2 3 2" xfId="6466" xr:uid="{00000000-0005-0000-0000-00009C260000}"/>
    <cellStyle name="Normal 3 2 4 2 3 3" xfId="10242" xr:uid="{00000000-0005-0000-0000-00009D260000}"/>
    <cellStyle name="Normal 3 2 4 2 4" xfId="4578" xr:uid="{00000000-0005-0000-0000-00009E260000}"/>
    <cellStyle name="Normal 3 2 4 2 5" xfId="8354" xr:uid="{00000000-0005-0000-0000-00009F260000}"/>
    <cellStyle name="Normal 3 2 4 3" xfId="1269" xr:uid="{00000000-0005-0000-0000-0000A0260000}"/>
    <cellStyle name="Normal 3 2 4 3 2" xfId="3159" xr:uid="{00000000-0005-0000-0000-0000A1260000}"/>
    <cellStyle name="Normal 3 2 4 3 2 2" xfId="6938" xr:uid="{00000000-0005-0000-0000-0000A2260000}"/>
    <cellStyle name="Normal 3 2 4 3 2 3" xfId="10714" xr:uid="{00000000-0005-0000-0000-0000A3260000}"/>
    <cellStyle name="Normal 3 2 4 3 3" xfId="5050" xr:uid="{00000000-0005-0000-0000-0000A4260000}"/>
    <cellStyle name="Normal 3 2 4 3 4" xfId="8826" xr:uid="{00000000-0005-0000-0000-0000A5260000}"/>
    <cellStyle name="Normal 3 2 4 4" xfId="2215" xr:uid="{00000000-0005-0000-0000-0000A6260000}"/>
    <cellStyle name="Normal 3 2 4 4 2" xfId="5994" xr:uid="{00000000-0005-0000-0000-0000A7260000}"/>
    <cellStyle name="Normal 3 2 4 4 3" xfId="9770" xr:uid="{00000000-0005-0000-0000-0000A8260000}"/>
    <cellStyle name="Normal 3 2 4 5" xfId="4106" xr:uid="{00000000-0005-0000-0000-0000A9260000}"/>
    <cellStyle name="Normal 3 2 4 6" xfId="7882" xr:uid="{00000000-0005-0000-0000-0000AA260000}"/>
    <cellStyle name="Normal 3 2 5" xfId="559" xr:uid="{00000000-0005-0000-0000-0000AB260000}"/>
    <cellStyle name="Normal 3 2 5 2" xfId="1505" xr:uid="{00000000-0005-0000-0000-0000AC260000}"/>
    <cellStyle name="Normal 3 2 5 2 2" xfId="3395" xr:uid="{00000000-0005-0000-0000-0000AD260000}"/>
    <cellStyle name="Normal 3 2 5 2 2 2" xfId="7174" xr:uid="{00000000-0005-0000-0000-0000AE260000}"/>
    <cellStyle name="Normal 3 2 5 2 2 3" xfId="10950" xr:uid="{00000000-0005-0000-0000-0000AF260000}"/>
    <cellStyle name="Normal 3 2 5 2 3" xfId="5286" xr:uid="{00000000-0005-0000-0000-0000B0260000}"/>
    <cellStyle name="Normal 3 2 5 2 4" xfId="9062" xr:uid="{00000000-0005-0000-0000-0000B1260000}"/>
    <cellStyle name="Normal 3 2 5 3" xfId="2451" xr:uid="{00000000-0005-0000-0000-0000B2260000}"/>
    <cellStyle name="Normal 3 2 5 3 2" xfId="6230" xr:uid="{00000000-0005-0000-0000-0000B3260000}"/>
    <cellStyle name="Normal 3 2 5 3 3" xfId="10006" xr:uid="{00000000-0005-0000-0000-0000B4260000}"/>
    <cellStyle name="Normal 3 2 5 4" xfId="4342" xr:uid="{00000000-0005-0000-0000-0000B5260000}"/>
    <cellStyle name="Normal 3 2 5 5" xfId="8118" xr:uid="{00000000-0005-0000-0000-0000B6260000}"/>
    <cellStyle name="Normal 3 2 6" xfId="1033" xr:uid="{00000000-0005-0000-0000-0000B7260000}"/>
    <cellStyle name="Normal 3 2 6 2" xfId="2923" xr:uid="{00000000-0005-0000-0000-0000B8260000}"/>
    <cellStyle name="Normal 3 2 6 2 2" xfId="6702" xr:uid="{00000000-0005-0000-0000-0000B9260000}"/>
    <cellStyle name="Normal 3 2 6 2 3" xfId="10478" xr:uid="{00000000-0005-0000-0000-0000BA260000}"/>
    <cellStyle name="Normal 3 2 6 3" xfId="4814" xr:uid="{00000000-0005-0000-0000-0000BB260000}"/>
    <cellStyle name="Normal 3 2 6 4" xfId="8590" xr:uid="{00000000-0005-0000-0000-0000BC260000}"/>
    <cellStyle name="Normal 3 2 7" xfId="1979" xr:uid="{00000000-0005-0000-0000-0000BD260000}"/>
    <cellStyle name="Normal 3 2 7 2" xfId="5758" xr:uid="{00000000-0005-0000-0000-0000BE260000}"/>
    <cellStyle name="Normal 3 2 7 3" xfId="9534" xr:uid="{00000000-0005-0000-0000-0000BF260000}"/>
    <cellStyle name="Normal 3 2 8" xfId="3870" xr:uid="{00000000-0005-0000-0000-0000C0260000}"/>
    <cellStyle name="Normal 3 2 9" xfId="7646" xr:uid="{00000000-0005-0000-0000-0000C1260000}"/>
    <cellStyle name="Normal 3 3" xfId="108" xr:uid="{00000000-0005-0000-0000-0000C2260000}"/>
    <cellStyle name="Normal 3 3 2" xfId="231" xr:uid="{00000000-0005-0000-0000-0000C3260000}"/>
    <cellStyle name="Normal 3 3 2 2" xfId="469" xr:uid="{00000000-0005-0000-0000-0000C4260000}"/>
    <cellStyle name="Normal 3 3 2 2 2" xfId="943" xr:uid="{00000000-0005-0000-0000-0000C5260000}"/>
    <cellStyle name="Normal 3 3 2 2 2 2" xfId="1889" xr:uid="{00000000-0005-0000-0000-0000C6260000}"/>
    <cellStyle name="Normal 3 3 2 2 2 2 2" xfId="3779" xr:uid="{00000000-0005-0000-0000-0000C7260000}"/>
    <cellStyle name="Normal 3 3 2 2 2 2 2 2" xfId="7558" xr:uid="{00000000-0005-0000-0000-0000C8260000}"/>
    <cellStyle name="Normal 3 3 2 2 2 2 2 3" xfId="11334" xr:uid="{00000000-0005-0000-0000-0000C9260000}"/>
    <cellStyle name="Normal 3 3 2 2 2 2 3" xfId="5670" xr:uid="{00000000-0005-0000-0000-0000CA260000}"/>
    <cellStyle name="Normal 3 3 2 2 2 2 4" xfId="9446" xr:uid="{00000000-0005-0000-0000-0000CB260000}"/>
    <cellStyle name="Normal 3 3 2 2 2 3" xfId="2835" xr:uid="{00000000-0005-0000-0000-0000CC260000}"/>
    <cellStyle name="Normal 3 3 2 2 2 3 2" xfId="6614" xr:uid="{00000000-0005-0000-0000-0000CD260000}"/>
    <cellStyle name="Normal 3 3 2 2 2 3 3" xfId="10390" xr:uid="{00000000-0005-0000-0000-0000CE260000}"/>
    <cellStyle name="Normal 3 3 2 2 2 4" xfId="4726" xr:uid="{00000000-0005-0000-0000-0000CF260000}"/>
    <cellStyle name="Normal 3 3 2 2 2 5" xfId="8502" xr:uid="{00000000-0005-0000-0000-0000D0260000}"/>
    <cellStyle name="Normal 3 3 2 2 3" xfId="1417" xr:uid="{00000000-0005-0000-0000-0000D1260000}"/>
    <cellStyle name="Normal 3 3 2 2 3 2" xfId="3307" xr:uid="{00000000-0005-0000-0000-0000D2260000}"/>
    <cellStyle name="Normal 3 3 2 2 3 2 2" xfId="7086" xr:uid="{00000000-0005-0000-0000-0000D3260000}"/>
    <cellStyle name="Normal 3 3 2 2 3 2 3" xfId="10862" xr:uid="{00000000-0005-0000-0000-0000D4260000}"/>
    <cellStyle name="Normal 3 3 2 2 3 3" xfId="5198" xr:uid="{00000000-0005-0000-0000-0000D5260000}"/>
    <cellStyle name="Normal 3 3 2 2 3 4" xfId="8974" xr:uid="{00000000-0005-0000-0000-0000D6260000}"/>
    <cellStyle name="Normal 3 3 2 2 4" xfId="2363" xr:uid="{00000000-0005-0000-0000-0000D7260000}"/>
    <cellStyle name="Normal 3 3 2 2 4 2" xfId="6142" xr:uid="{00000000-0005-0000-0000-0000D8260000}"/>
    <cellStyle name="Normal 3 3 2 2 4 3" xfId="9918" xr:uid="{00000000-0005-0000-0000-0000D9260000}"/>
    <cellStyle name="Normal 3 3 2 2 5" xfId="4254" xr:uid="{00000000-0005-0000-0000-0000DA260000}"/>
    <cellStyle name="Normal 3 3 2 2 6" xfId="8030" xr:uid="{00000000-0005-0000-0000-0000DB260000}"/>
    <cellStyle name="Normal 3 3 2 3" xfId="707" xr:uid="{00000000-0005-0000-0000-0000DC260000}"/>
    <cellStyle name="Normal 3 3 2 3 2" xfId="1653" xr:uid="{00000000-0005-0000-0000-0000DD260000}"/>
    <cellStyle name="Normal 3 3 2 3 2 2" xfId="3543" xr:uid="{00000000-0005-0000-0000-0000DE260000}"/>
    <cellStyle name="Normal 3 3 2 3 2 2 2" xfId="7322" xr:uid="{00000000-0005-0000-0000-0000DF260000}"/>
    <cellStyle name="Normal 3 3 2 3 2 2 3" xfId="11098" xr:uid="{00000000-0005-0000-0000-0000E0260000}"/>
    <cellStyle name="Normal 3 3 2 3 2 3" xfId="5434" xr:uid="{00000000-0005-0000-0000-0000E1260000}"/>
    <cellStyle name="Normal 3 3 2 3 2 4" xfId="9210" xr:uid="{00000000-0005-0000-0000-0000E2260000}"/>
    <cellStyle name="Normal 3 3 2 3 3" xfId="2599" xr:uid="{00000000-0005-0000-0000-0000E3260000}"/>
    <cellStyle name="Normal 3 3 2 3 3 2" xfId="6378" xr:uid="{00000000-0005-0000-0000-0000E4260000}"/>
    <cellStyle name="Normal 3 3 2 3 3 3" xfId="10154" xr:uid="{00000000-0005-0000-0000-0000E5260000}"/>
    <cellStyle name="Normal 3 3 2 3 4" xfId="4490" xr:uid="{00000000-0005-0000-0000-0000E6260000}"/>
    <cellStyle name="Normal 3 3 2 3 5" xfId="8266" xr:uid="{00000000-0005-0000-0000-0000E7260000}"/>
    <cellStyle name="Normal 3 3 2 4" xfId="1181" xr:uid="{00000000-0005-0000-0000-0000E8260000}"/>
    <cellStyle name="Normal 3 3 2 4 2" xfId="3071" xr:uid="{00000000-0005-0000-0000-0000E9260000}"/>
    <cellStyle name="Normal 3 3 2 4 2 2" xfId="6850" xr:uid="{00000000-0005-0000-0000-0000EA260000}"/>
    <cellStyle name="Normal 3 3 2 4 2 3" xfId="10626" xr:uid="{00000000-0005-0000-0000-0000EB260000}"/>
    <cellStyle name="Normal 3 3 2 4 3" xfId="4962" xr:uid="{00000000-0005-0000-0000-0000EC260000}"/>
    <cellStyle name="Normal 3 3 2 4 4" xfId="8738" xr:uid="{00000000-0005-0000-0000-0000ED260000}"/>
    <cellStyle name="Normal 3 3 2 5" xfId="2127" xr:uid="{00000000-0005-0000-0000-0000EE260000}"/>
    <cellStyle name="Normal 3 3 2 5 2" xfId="5906" xr:uid="{00000000-0005-0000-0000-0000EF260000}"/>
    <cellStyle name="Normal 3 3 2 5 3" xfId="9682" xr:uid="{00000000-0005-0000-0000-0000F0260000}"/>
    <cellStyle name="Normal 3 3 2 6" xfId="4018" xr:uid="{00000000-0005-0000-0000-0000F1260000}"/>
    <cellStyle name="Normal 3 3 2 7" xfId="7794" xr:uid="{00000000-0005-0000-0000-0000F2260000}"/>
    <cellStyle name="Normal 3 3 3" xfId="351" xr:uid="{00000000-0005-0000-0000-0000F3260000}"/>
    <cellStyle name="Normal 3 3 3 2" xfId="825" xr:uid="{00000000-0005-0000-0000-0000F4260000}"/>
    <cellStyle name="Normal 3 3 3 2 2" xfId="1771" xr:uid="{00000000-0005-0000-0000-0000F5260000}"/>
    <cellStyle name="Normal 3 3 3 2 2 2" xfId="3661" xr:uid="{00000000-0005-0000-0000-0000F6260000}"/>
    <cellStyle name="Normal 3 3 3 2 2 2 2" xfId="7440" xr:uid="{00000000-0005-0000-0000-0000F7260000}"/>
    <cellStyle name="Normal 3 3 3 2 2 2 3" xfId="11216" xr:uid="{00000000-0005-0000-0000-0000F8260000}"/>
    <cellStyle name="Normal 3 3 3 2 2 3" xfId="5552" xr:uid="{00000000-0005-0000-0000-0000F9260000}"/>
    <cellStyle name="Normal 3 3 3 2 2 4" xfId="9328" xr:uid="{00000000-0005-0000-0000-0000FA260000}"/>
    <cellStyle name="Normal 3 3 3 2 3" xfId="2717" xr:uid="{00000000-0005-0000-0000-0000FB260000}"/>
    <cellStyle name="Normal 3 3 3 2 3 2" xfId="6496" xr:uid="{00000000-0005-0000-0000-0000FC260000}"/>
    <cellStyle name="Normal 3 3 3 2 3 3" xfId="10272" xr:uid="{00000000-0005-0000-0000-0000FD260000}"/>
    <cellStyle name="Normal 3 3 3 2 4" xfId="4608" xr:uid="{00000000-0005-0000-0000-0000FE260000}"/>
    <cellStyle name="Normal 3 3 3 2 5" xfId="8384" xr:uid="{00000000-0005-0000-0000-0000FF260000}"/>
    <cellStyle name="Normal 3 3 3 3" xfId="1299" xr:uid="{00000000-0005-0000-0000-000000270000}"/>
    <cellStyle name="Normal 3 3 3 3 2" xfId="3189" xr:uid="{00000000-0005-0000-0000-000001270000}"/>
    <cellStyle name="Normal 3 3 3 3 2 2" xfId="6968" xr:uid="{00000000-0005-0000-0000-000002270000}"/>
    <cellStyle name="Normal 3 3 3 3 2 3" xfId="10744" xr:uid="{00000000-0005-0000-0000-000003270000}"/>
    <cellStyle name="Normal 3 3 3 3 3" xfId="5080" xr:uid="{00000000-0005-0000-0000-000004270000}"/>
    <cellStyle name="Normal 3 3 3 3 4" xfId="8856" xr:uid="{00000000-0005-0000-0000-000005270000}"/>
    <cellStyle name="Normal 3 3 3 4" xfId="2245" xr:uid="{00000000-0005-0000-0000-000006270000}"/>
    <cellStyle name="Normal 3 3 3 4 2" xfId="6024" xr:uid="{00000000-0005-0000-0000-000007270000}"/>
    <cellStyle name="Normal 3 3 3 4 3" xfId="9800" xr:uid="{00000000-0005-0000-0000-000008270000}"/>
    <cellStyle name="Normal 3 3 3 5" xfId="4136" xr:uid="{00000000-0005-0000-0000-000009270000}"/>
    <cellStyle name="Normal 3 3 3 6" xfId="7912" xr:uid="{00000000-0005-0000-0000-00000A270000}"/>
    <cellStyle name="Normal 3 3 4" xfId="589" xr:uid="{00000000-0005-0000-0000-00000B270000}"/>
    <cellStyle name="Normal 3 3 4 2" xfId="1535" xr:uid="{00000000-0005-0000-0000-00000C270000}"/>
    <cellStyle name="Normal 3 3 4 2 2" xfId="3425" xr:uid="{00000000-0005-0000-0000-00000D270000}"/>
    <cellStyle name="Normal 3 3 4 2 2 2" xfId="7204" xr:uid="{00000000-0005-0000-0000-00000E270000}"/>
    <cellStyle name="Normal 3 3 4 2 2 3" xfId="10980" xr:uid="{00000000-0005-0000-0000-00000F270000}"/>
    <cellStyle name="Normal 3 3 4 2 3" xfId="5316" xr:uid="{00000000-0005-0000-0000-000010270000}"/>
    <cellStyle name="Normal 3 3 4 2 4" xfId="9092" xr:uid="{00000000-0005-0000-0000-000011270000}"/>
    <cellStyle name="Normal 3 3 4 3" xfId="2481" xr:uid="{00000000-0005-0000-0000-000012270000}"/>
    <cellStyle name="Normal 3 3 4 3 2" xfId="6260" xr:uid="{00000000-0005-0000-0000-000013270000}"/>
    <cellStyle name="Normal 3 3 4 3 3" xfId="10036" xr:uid="{00000000-0005-0000-0000-000014270000}"/>
    <cellStyle name="Normal 3 3 4 4" xfId="4372" xr:uid="{00000000-0005-0000-0000-000015270000}"/>
    <cellStyle name="Normal 3 3 4 5" xfId="8148" xr:uid="{00000000-0005-0000-0000-000016270000}"/>
    <cellStyle name="Normal 3 3 5" xfId="1063" xr:uid="{00000000-0005-0000-0000-000017270000}"/>
    <cellStyle name="Normal 3 3 5 2" xfId="2953" xr:uid="{00000000-0005-0000-0000-000018270000}"/>
    <cellStyle name="Normal 3 3 5 2 2" xfId="6732" xr:uid="{00000000-0005-0000-0000-000019270000}"/>
    <cellStyle name="Normal 3 3 5 2 3" xfId="10508" xr:uid="{00000000-0005-0000-0000-00001A270000}"/>
    <cellStyle name="Normal 3 3 5 3" xfId="4844" xr:uid="{00000000-0005-0000-0000-00001B270000}"/>
    <cellStyle name="Normal 3 3 5 4" xfId="8620" xr:uid="{00000000-0005-0000-0000-00001C270000}"/>
    <cellStyle name="Normal 3 3 6" xfId="2009" xr:uid="{00000000-0005-0000-0000-00001D270000}"/>
    <cellStyle name="Normal 3 3 6 2" xfId="5788" xr:uid="{00000000-0005-0000-0000-00001E270000}"/>
    <cellStyle name="Normal 3 3 6 3" xfId="9564" xr:uid="{00000000-0005-0000-0000-00001F270000}"/>
    <cellStyle name="Normal 3 3 7" xfId="3900" xr:uid="{00000000-0005-0000-0000-000020270000}"/>
    <cellStyle name="Normal 3 3 8" xfId="7676" xr:uid="{00000000-0005-0000-0000-000021270000}"/>
    <cellStyle name="Normal 3 4" xfId="172" xr:uid="{00000000-0005-0000-0000-000022270000}"/>
    <cellStyle name="Normal 3 4 2" xfId="410" xr:uid="{00000000-0005-0000-0000-000023270000}"/>
    <cellStyle name="Normal 3 4 2 2" xfId="884" xr:uid="{00000000-0005-0000-0000-000024270000}"/>
    <cellStyle name="Normal 3 4 2 2 2" xfId="1830" xr:uid="{00000000-0005-0000-0000-000025270000}"/>
    <cellStyle name="Normal 3 4 2 2 2 2" xfId="3720" xr:uid="{00000000-0005-0000-0000-000026270000}"/>
    <cellStyle name="Normal 3 4 2 2 2 2 2" xfId="7499" xr:uid="{00000000-0005-0000-0000-000027270000}"/>
    <cellStyle name="Normal 3 4 2 2 2 2 3" xfId="11275" xr:uid="{00000000-0005-0000-0000-000028270000}"/>
    <cellStyle name="Normal 3 4 2 2 2 3" xfId="5611" xr:uid="{00000000-0005-0000-0000-000029270000}"/>
    <cellStyle name="Normal 3 4 2 2 2 4" xfId="9387" xr:uid="{00000000-0005-0000-0000-00002A270000}"/>
    <cellStyle name="Normal 3 4 2 2 3" xfId="2776" xr:uid="{00000000-0005-0000-0000-00002B270000}"/>
    <cellStyle name="Normal 3 4 2 2 3 2" xfId="6555" xr:uid="{00000000-0005-0000-0000-00002C270000}"/>
    <cellStyle name="Normal 3 4 2 2 3 3" xfId="10331" xr:uid="{00000000-0005-0000-0000-00002D270000}"/>
    <cellStyle name="Normal 3 4 2 2 4" xfId="4667" xr:uid="{00000000-0005-0000-0000-00002E270000}"/>
    <cellStyle name="Normal 3 4 2 2 5" xfId="8443" xr:uid="{00000000-0005-0000-0000-00002F270000}"/>
    <cellStyle name="Normal 3 4 2 3" xfId="1358" xr:uid="{00000000-0005-0000-0000-000030270000}"/>
    <cellStyle name="Normal 3 4 2 3 2" xfId="3248" xr:uid="{00000000-0005-0000-0000-000031270000}"/>
    <cellStyle name="Normal 3 4 2 3 2 2" xfId="7027" xr:uid="{00000000-0005-0000-0000-000032270000}"/>
    <cellStyle name="Normal 3 4 2 3 2 3" xfId="10803" xr:uid="{00000000-0005-0000-0000-000033270000}"/>
    <cellStyle name="Normal 3 4 2 3 3" xfId="5139" xr:uid="{00000000-0005-0000-0000-000034270000}"/>
    <cellStyle name="Normal 3 4 2 3 4" xfId="8915" xr:uid="{00000000-0005-0000-0000-000035270000}"/>
    <cellStyle name="Normal 3 4 2 4" xfId="2304" xr:uid="{00000000-0005-0000-0000-000036270000}"/>
    <cellStyle name="Normal 3 4 2 4 2" xfId="6083" xr:uid="{00000000-0005-0000-0000-000037270000}"/>
    <cellStyle name="Normal 3 4 2 4 3" xfId="9859" xr:uid="{00000000-0005-0000-0000-000038270000}"/>
    <cellStyle name="Normal 3 4 2 5" xfId="4195" xr:uid="{00000000-0005-0000-0000-000039270000}"/>
    <cellStyle name="Normal 3 4 2 6" xfId="7971" xr:uid="{00000000-0005-0000-0000-00003A270000}"/>
    <cellStyle name="Normal 3 4 3" xfId="648" xr:uid="{00000000-0005-0000-0000-00003B270000}"/>
    <cellStyle name="Normal 3 4 3 2" xfId="1594" xr:uid="{00000000-0005-0000-0000-00003C270000}"/>
    <cellStyle name="Normal 3 4 3 2 2" xfId="3484" xr:uid="{00000000-0005-0000-0000-00003D270000}"/>
    <cellStyle name="Normal 3 4 3 2 2 2" xfId="7263" xr:uid="{00000000-0005-0000-0000-00003E270000}"/>
    <cellStyle name="Normal 3 4 3 2 2 3" xfId="11039" xr:uid="{00000000-0005-0000-0000-00003F270000}"/>
    <cellStyle name="Normal 3 4 3 2 3" xfId="5375" xr:uid="{00000000-0005-0000-0000-000040270000}"/>
    <cellStyle name="Normal 3 4 3 2 4" xfId="9151" xr:uid="{00000000-0005-0000-0000-000041270000}"/>
    <cellStyle name="Normal 3 4 3 3" xfId="2540" xr:uid="{00000000-0005-0000-0000-000042270000}"/>
    <cellStyle name="Normal 3 4 3 3 2" xfId="6319" xr:uid="{00000000-0005-0000-0000-000043270000}"/>
    <cellStyle name="Normal 3 4 3 3 3" xfId="10095" xr:uid="{00000000-0005-0000-0000-000044270000}"/>
    <cellStyle name="Normal 3 4 3 4" xfId="4431" xr:uid="{00000000-0005-0000-0000-000045270000}"/>
    <cellStyle name="Normal 3 4 3 5" xfId="8207" xr:uid="{00000000-0005-0000-0000-000046270000}"/>
    <cellStyle name="Normal 3 4 4" xfId="1122" xr:uid="{00000000-0005-0000-0000-000047270000}"/>
    <cellStyle name="Normal 3 4 4 2" xfId="3012" xr:uid="{00000000-0005-0000-0000-000048270000}"/>
    <cellStyle name="Normal 3 4 4 2 2" xfId="6791" xr:uid="{00000000-0005-0000-0000-000049270000}"/>
    <cellStyle name="Normal 3 4 4 2 3" xfId="10567" xr:uid="{00000000-0005-0000-0000-00004A270000}"/>
    <cellStyle name="Normal 3 4 4 3" xfId="4903" xr:uid="{00000000-0005-0000-0000-00004B270000}"/>
    <cellStyle name="Normal 3 4 4 4" xfId="8679" xr:uid="{00000000-0005-0000-0000-00004C270000}"/>
    <cellStyle name="Normal 3 4 5" xfId="2068" xr:uid="{00000000-0005-0000-0000-00004D270000}"/>
    <cellStyle name="Normal 3 4 5 2" xfId="5847" xr:uid="{00000000-0005-0000-0000-00004E270000}"/>
    <cellStyle name="Normal 3 4 5 3" xfId="9623" xr:uid="{00000000-0005-0000-0000-00004F270000}"/>
    <cellStyle name="Normal 3 4 6" xfId="3959" xr:uid="{00000000-0005-0000-0000-000050270000}"/>
    <cellStyle name="Normal 3 4 7" xfId="7735" xr:uid="{00000000-0005-0000-0000-000051270000}"/>
    <cellStyle name="Normal 3 5" xfId="292" xr:uid="{00000000-0005-0000-0000-000052270000}"/>
    <cellStyle name="Normal 3 5 2" xfId="766" xr:uid="{00000000-0005-0000-0000-000053270000}"/>
    <cellStyle name="Normal 3 5 2 2" xfId="1712" xr:uid="{00000000-0005-0000-0000-000054270000}"/>
    <cellStyle name="Normal 3 5 2 2 2" xfId="3602" xr:uid="{00000000-0005-0000-0000-000055270000}"/>
    <cellStyle name="Normal 3 5 2 2 2 2" xfId="7381" xr:uid="{00000000-0005-0000-0000-000056270000}"/>
    <cellStyle name="Normal 3 5 2 2 2 3" xfId="11157" xr:uid="{00000000-0005-0000-0000-000057270000}"/>
    <cellStyle name="Normal 3 5 2 2 3" xfId="5493" xr:uid="{00000000-0005-0000-0000-000058270000}"/>
    <cellStyle name="Normal 3 5 2 2 4" xfId="9269" xr:uid="{00000000-0005-0000-0000-000059270000}"/>
    <cellStyle name="Normal 3 5 2 3" xfId="2658" xr:uid="{00000000-0005-0000-0000-00005A270000}"/>
    <cellStyle name="Normal 3 5 2 3 2" xfId="6437" xr:uid="{00000000-0005-0000-0000-00005B270000}"/>
    <cellStyle name="Normal 3 5 2 3 3" xfId="10213" xr:uid="{00000000-0005-0000-0000-00005C270000}"/>
    <cellStyle name="Normal 3 5 2 4" xfId="4549" xr:uid="{00000000-0005-0000-0000-00005D270000}"/>
    <cellStyle name="Normal 3 5 2 5" xfId="8325" xr:uid="{00000000-0005-0000-0000-00005E270000}"/>
    <cellStyle name="Normal 3 5 3" xfId="1240" xr:uid="{00000000-0005-0000-0000-00005F270000}"/>
    <cellStyle name="Normal 3 5 3 2" xfId="3130" xr:uid="{00000000-0005-0000-0000-000060270000}"/>
    <cellStyle name="Normal 3 5 3 2 2" xfId="6909" xr:uid="{00000000-0005-0000-0000-000061270000}"/>
    <cellStyle name="Normal 3 5 3 2 3" xfId="10685" xr:uid="{00000000-0005-0000-0000-000062270000}"/>
    <cellStyle name="Normal 3 5 3 3" xfId="5021" xr:uid="{00000000-0005-0000-0000-000063270000}"/>
    <cellStyle name="Normal 3 5 3 4" xfId="8797" xr:uid="{00000000-0005-0000-0000-000064270000}"/>
    <cellStyle name="Normal 3 5 4" xfId="2186" xr:uid="{00000000-0005-0000-0000-000065270000}"/>
    <cellStyle name="Normal 3 5 4 2" xfId="5965" xr:uid="{00000000-0005-0000-0000-000066270000}"/>
    <cellStyle name="Normal 3 5 4 3" xfId="9741" xr:uid="{00000000-0005-0000-0000-000067270000}"/>
    <cellStyle name="Normal 3 5 5" xfId="4077" xr:uid="{00000000-0005-0000-0000-000068270000}"/>
    <cellStyle name="Normal 3 5 6" xfId="7853" xr:uid="{00000000-0005-0000-0000-000069270000}"/>
    <cellStyle name="Normal 3 6" xfId="530" xr:uid="{00000000-0005-0000-0000-00006A270000}"/>
    <cellStyle name="Normal 3 6 2" xfId="1476" xr:uid="{00000000-0005-0000-0000-00006B270000}"/>
    <cellStyle name="Normal 3 6 2 2" xfId="3366" xr:uid="{00000000-0005-0000-0000-00006C270000}"/>
    <cellStyle name="Normal 3 6 2 2 2" xfId="7145" xr:uid="{00000000-0005-0000-0000-00006D270000}"/>
    <cellStyle name="Normal 3 6 2 2 3" xfId="10921" xr:uid="{00000000-0005-0000-0000-00006E270000}"/>
    <cellStyle name="Normal 3 6 2 3" xfId="5257" xr:uid="{00000000-0005-0000-0000-00006F270000}"/>
    <cellStyle name="Normal 3 6 2 4" xfId="9033" xr:uid="{00000000-0005-0000-0000-000070270000}"/>
    <cellStyle name="Normal 3 6 3" xfId="2422" xr:uid="{00000000-0005-0000-0000-000071270000}"/>
    <cellStyle name="Normal 3 6 3 2" xfId="6201" xr:uid="{00000000-0005-0000-0000-000072270000}"/>
    <cellStyle name="Normal 3 6 3 3" xfId="9977" xr:uid="{00000000-0005-0000-0000-000073270000}"/>
    <cellStyle name="Normal 3 6 4" xfId="4313" xr:uid="{00000000-0005-0000-0000-000074270000}"/>
    <cellStyle name="Normal 3 6 5" xfId="8089" xr:uid="{00000000-0005-0000-0000-000075270000}"/>
    <cellStyle name="Normal 3 7" xfId="1004" xr:uid="{00000000-0005-0000-0000-000076270000}"/>
    <cellStyle name="Normal 3 7 2" xfId="2894" xr:uid="{00000000-0005-0000-0000-000077270000}"/>
    <cellStyle name="Normal 3 7 2 2" xfId="6673" xr:uid="{00000000-0005-0000-0000-000078270000}"/>
    <cellStyle name="Normal 3 7 2 3" xfId="10449" xr:uid="{00000000-0005-0000-0000-000079270000}"/>
    <cellStyle name="Normal 3 7 3" xfId="4785" xr:uid="{00000000-0005-0000-0000-00007A270000}"/>
    <cellStyle name="Normal 3 7 4" xfId="8561" xr:uid="{00000000-0005-0000-0000-00007B270000}"/>
    <cellStyle name="Normal 3 8" xfId="1950" xr:uid="{00000000-0005-0000-0000-00007C270000}"/>
    <cellStyle name="Normal 3 8 2" xfId="5729" xr:uid="{00000000-0005-0000-0000-00007D270000}"/>
    <cellStyle name="Normal 3 8 3" xfId="9505" xr:uid="{00000000-0005-0000-0000-00007E270000}"/>
    <cellStyle name="Normal 3 9" xfId="3841" xr:uid="{00000000-0005-0000-0000-00007F270000}"/>
    <cellStyle name="Normal 4" xfId="71" xr:uid="{00000000-0005-0000-0000-000080270000}"/>
    <cellStyle name="Normal 4 2" xfId="135" xr:uid="{00000000-0005-0000-0000-000081270000}"/>
    <cellStyle name="Normal 5" xfId="58" xr:uid="{00000000-0005-0000-0000-000082270000}"/>
    <cellStyle name="Normal 5 2" xfId="122" xr:uid="{00000000-0005-0000-0000-000083270000}"/>
    <cellStyle name="Normal 5 2 2" xfId="245" xr:uid="{00000000-0005-0000-0000-000084270000}"/>
    <cellStyle name="Normal 5 2 2 2" xfId="483" xr:uid="{00000000-0005-0000-0000-000085270000}"/>
    <cellStyle name="Normal 5 2 2 2 2" xfId="957" xr:uid="{00000000-0005-0000-0000-000086270000}"/>
    <cellStyle name="Normal 5 2 2 2 2 2" xfId="1903" xr:uid="{00000000-0005-0000-0000-000087270000}"/>
    <cellStyle name="Normal 5 2 2 2 2 2 2" xfId="3793" xr:uid="{00000000-0005-0000-0000-000088270000}"/>
    <cellStyle name="Normal 5 2 2 2 2 2 2 2" xfId="7572" xr:uid="{00000000-0005-0000-0000-000089270000}"/>
    <cellStyle name="Normal 5 2 2 2 2 2 2 3" xfId="11348" xr:uid="{00000000-0005-0000-0000-00008A270000}"/>
    <cellStyle name="Normal 5 2 2 2 2 2 3" xfId="5684" xr:uid="{00000000-0005-0000-0000-00008B270000}"/>
    <cellStyle name="Normal 5 2 2 2 2 2 4" xfId="9460" xr:uid="{00000000-0005-0000-0000-00008C270000}"/>
    <cellStyle name="Normal 5 2 2 2 2 3" xfId="2849" xr:uid="{00000000-0005-0000-0000-00008D270000}"/>
    <cellStyle name="Normal 5 2 2 2 2 3 2" xfId="6628" xr:uid="{00000000-0005-0000-0000-00008E270000}"/>
    <cellStyle name="Normal 5 2 2 2 2 3 3" xfId="10404" xr:uid="{00000000-0005-0000-0000-00008F270000}"/>
    <cellStyle name="Normal 5 2 2 2 2 4" xfId="4740" xr:uid="{00000000-0005-0000-0000-000090270000}"/>
    <cellStyle name="Normal 5 2 2 2 2 5" xfId="8516" xr:uid="{00000000-0005-0000-0000-000091270000}"/>
    <cellStyle name="Normal 5 2 2 2 3" xfId="1431" xr:uid="{00000000-0005-0000-0000-000092270000}"/>
    <cellStyle name="Normal 5 2 2 2 3 2" xfId="3321" xr:uid="{00000000-0005-0000-0000-000093270000}"/>
    <cellStyle name="Normal 5 2 2 2 3 2 2" xfId="7100" xr:uid="{00000000-0005-0000-0000-000094270000}"/>
    <cellStyle name="Normal 5 2 2 2 3 2 3" xfId="10876" xr:uid="{00000000-0005-0000-0000-000095270000}"/>
    <cellStyle name="Normal 5 2 2 2 3 3" xfId="5212" xr:uid="{00000000-0005-0000-0000-000096270000}"/>
    <cellStyle name="Normal 5 2 2 2 3 4" xfId="8988" xr:uid="{00000000-0005-0000-0000-000097270000}"/>
    <cellStyle name="Normal 5 2 2 2 4" xfId="2377" xr:uid="{00000000-0005-0000-0000-000098270000}"/>
    <cellStyle name="Normal 5 2 2 2 4 2" xfId="6156" xr:uid="{00000000-0005-0000-0000-000099270000}"/>
    <cellStyle name="Normal 5 2 2 2 4 3" xfId="9932" xr:uid="{00000000-0005-0000-0000-00009A270000}"/>
    <cellStyle name="Normal 5 2 2 2 5" xfId="4268" xr:uid="{00000000-0005-0000-0000-00009B270000}"/>
    <cellStyle name="Normal 5 2 2 2 6" xfId="8044" xr:uid="{00000000-0005-0000-0000-00009C270000}"/>
    <cellStyle name="Normal 5 2 2 3" xfId="721" xr:uid="{00000000-0005-0000-0000-00009D270000}"/>
    <cellStyle name="Normal 5 2 2 3 2" xfId="1667" xr:uid="{00000000-0005-0000-0000-00009E270000}"/>
    <cellStyle name="Normal 5 2 2 3 2 2" xfId="3557" xr:uid="{00000000-0005-0000-0000-00009F270000}"/>
    <cellStyle name="Normal 5 2 2 3 2 2 2" xfId="7336" xr:uid="{00000000-0005-0000-0000-0000A0270000}"/>
    <cellStyle name="Normal 5 2 2 3 2 2 3" xfId="11112" xr:uid="{00000000-0005-0000-0000-0000A1270000}"/>
    <cellStyle name="Normal 5 2 2 3 2 3" xfId="5448" xr:uid="{00000000-0005-0000-0000-0000A2270000}"/>
    <cellStyle name="Normal 5 2 2 3 2 4" xfId="9224" xr:uid="{00000000-0005-0000-0000-0000A3270000}"/>
    <cellStyle name="Normal 5 2 2 3 3" xfId="2613" xr:uid="{00000000-0005-0000-0000-0000A4270000}"/>
    <cellStyle name="Normal 5 2 2 3 3 2" xfId="6392" xr:uid="{00000000-0005-0000-0000-0000A5270000}"/>
    <cellStyle name="Normal 5 2 2 3 3 3" xfId="10168" xr:uid="{00000000-0005-0000-0000-0000A6270000}"/>
    <cellStyle name="Normal 5 2 2 3 4" xfId="4504" xr:uid="{00000000-0005-0000-0000-0000A7270000}"/>
    <cellStyle name="Normal 5 2 2 3 5" xfId="8280" xr:uid="{00000000-0005-0000-0000-0000A8270000}"/>
    <cellStyle name="Normal 5 2 2 4" xfId="1195" xr:uid="{00000000-0005-0000-0000-0000A9270000}"/>
    <cellStyle name="Normal 5 2 2 4 2" xfId="3085" xr:uid="{00000000-0005-0000-0000-0000AA270000}"/>
    <cellStyle name="Normal 5 2 2 4 2 2" xfId="6864" xr:uid="{00000000-0005-0000-0000-0000AB270000}"/>
    <cellStyle name="Normal 5 2 2 4 2 3" xfId="10640" xr:uid="{00000000-0005-0000-0000-0000AC270000}"/>
    <cellStyle name="Normal 5 2 2 4 3" xfId="4976" xr:uid="{00000000-0005-0000-0000-0000AD270000}"/>
    <cellStyle name="Normal 5 2 2 4 4" xfId="8752" xr:uid="{00000000-0005-0000-0000-0000AE270000}"/>
    <cellStyle name="Normal 5 2 2 5" xfId="2141" xr:uid="{00000000-0005-0000-0000-0000AF270000}"/>
    <cellStyle name="Normal 5 2 2 5 2" xfId="5920" xr:uid="{00000000-0005-0000-0000-0000B0270000}"/>
    <cellStyle name="Normal 5 2 2 5 3" xfId="9696" xr:uid="{00000000-0005-0000-0000-0000B1270000}"/>
    <cellStyle name="Normal 5 2 2 6" xfId="4032" xr:uid="{00000000-0005-0000-0000-0000B2270000}"/>
    <cellStyle name="Normal 5 2 2 7" xfId="7808" xr:uid="{00000000-0005-0000-0000-0000B3270000}"/>
    <cellStyle name="Normal 5 2 3" xfId="365" xr:uid="{00000000-0005-0000-0000-0000B4270000}"/>
    <cellStyle name="Normal 5 2 3 2" xfId="839" xr:uid="{00000000-0005-0000-0000-0000B5270000}"/>
    <cellStyle name="Normal 5 2 3 2 2" xfId="1785" xr:uid="{00000000-0005-0000-0000-0000B6270000}"/>
    <cellStyle name="Normal 5 2 3 2 2 2" xfId="3675" xr:uid="{00000000-0005-0000-0000-0000B7270000}"/>
    <cellStyle name="Normal 5 2 3 2 2 2 2" xfId="7454" xr:uid="{00000000-0005-0000-0000-0000B8270000}"/>
    <cellStyle name="Normal 5 2 3 2 2 2 3" xfId="11230" xr:uid="{00000000-0005-0000-0000-0000B9270000}"/>
    <cellStyle name="Normal 5 2 3 2 2 3" xfId="5566" xr:uid="{00000000-0005-0000-0000-0000BA270000}"/>
    <cellStyle name="Normal 5 2 3 2 2 4" xfId="9342" xr:uid="{00000000-0005-0000-0000-0000BB270000}"/>
    <cellStyle name="Normal 5 2 3 2 3" xfId="2731" xr:uid="{00000000-0005-0000-0000-0000BC270000}"/>
    <cellStyle name="Normal 5 2 3 2 3 2" xfId="6510" xr:uid="{00000000-0005-0000-0000-0000BD270000}"/>
    <cellStyle name="Normal 5 2 3 2 3 3" xfId="10286" xr:uid="{00000000-0005-0000-0000-0000BE270000}"/>
    <cellStyle name="Normal 5 2 3 2 4" xfId="4622" xr:uid="{00000000-0005-0000-0000-0000BF270000}"/>
    <cellStyle name="Normal 5 2 3 2 5" xfId="8398" xr:uid="{00000000-0005-0000-0000-0000C0270000}"/>
    <cellStyle name="Normal 5 2 3 3" xfId="1313" xr:uid="{00000000-0005-0000-0000-0000C1270000}"/>
    <cellStyle name="Normal 5 2 3 3 2" xfId="3203" xr:uid="{00000000-0005-0000-0000-0000C2270000}"/>
    <cellStyle name="Normal 5 2 3 3 2 2" xfId="6982" xr:uid="{00000000-0005-0000-0000-0000C3270000}"/>
    <cellStyle name="Normal 5 2 3 3 2 3" xfId="10758" xr:uid="{00000000-0005-0000-0000-0000C4270000}"/>
    <cellStyle name="Normal 5 2 3 3 3" xfId="5094" xr:uid="{00000000-0005-0000-0000-0000C5270000}"/>
    <cellStyle name="Normal 5 2 3 3 4" xfId="8870" xr:uid="{00000000-0005-0000-0000-0000C6270000}"/>
    <cellStyle name="Normal 5 2 3 4" xfId="2259" xr:uid="{00000000-0005-0000-0000-0000C7270000}"/>
    <cellStyle name="Normal 5 2 3 4 2" xfId="6038" xr:uid="{00000000-0005-0000-0000-0000C8270000}"/>
    <cellStyle name="Normal 5 2 3 4 3" xfId="9814" xr:uid="{00000000-0005-0000-0000-0000C9270000}"/>
    <cellStyle name="Normal 5 2 3 5" xfId="4150" xr:uid="{00000000-0005-0000-0000-0000CA270000}"/>
    <cellStyle name="Normal 5 2 3 6" xfId="7926" xr:uid="{00000000-0005-0000-0000-0000CB270000}"/>
    <cellStyle name="Normal 5 2 4" xfId="603" xr:uid="{00000000-0005-0000-0000-0000CC270000}"/>
    <cellStyle name="Normal 5 2 4 2" xfId="1549" xr:uid="{00000000-0005-0000-0000-0000CD270000}"/>
    <cellStyle name="Normal 5 2 4 2 2" xfId="3439" xr:uid="{00000000-0005-0000-0000-0000CE270000}"/>
    <cellStyle name="Normal 5 2 4 2 2 2" xfId="7218" xr:uid="{00000000-0005-0000-0000-0000CF270000}"/>
    <cellStyle name="Normal 5 2 4 2 2 3" xfId="10994" xr:uid="{00000000-0005-0000-0000-0000D0270000}"/>
    <cellStyle name="Normal 5 2 4 2 3" xfId="5330" xr:uid="{00000000-0005-0000-0000-0000D1270000}"/>
    <cellStyle name="Normal 5 2 4 2 4" xfId="9106" xr:uid="{00000000-0005-0000-0000-0000D2270000}"/>
    <cellStyle name="Normal 5 2 4 3" xfId="2495" xr:uid="{00000000-0005-0000-0000-0000D3270000}"/>
    <cellStyle name="Normal 5 2 4 3 2" xfId="6274" xr:uid="{00000000-0005-0000-0000-0000D4270000}"/>
    <cellStyle name="Normal 5 2 4 3 3" xfId="10050" xr:uid="{00000000-0005-0000-0000-0000D5270000}"/>
    <cellStyle name="Normal 5 2 4 4" xfId="4386" xr:uid="{00000000-0005-0000-0000-0000D6270000}"/>
    <cellStyle name="Normal 5 2 4 5" xfId="8162" xr:uid="{00000000-0005-0000-0000-0000D7270000}"/>
    <cellStyle name="Normal 5 2 5" xfId="1077" xr:uid="{00000000-0005-0000-0000-0000D8270000}"/>
    <cellStyle name="Normal 5 2 5 2" xfId="2967" xr:uid="{00000000-0005-0000-0000-0000D9270000}"/>
    <cellStyle name="Normal 5 2 5 2 2" xfId="6746" xr:uid="{00000000-0005-0000-0000-0000DA270000}"/>
    <cellStyle name="Normal 5 2 5 2 3" xfId="10522" xr:uid="{00000000-0005-0000-0000-0000DB270000}"/>
    <cellStyle name="Normal 5 2 5 3" xfId="4858" xr:uid="{00000000-0005-0000-0000-0000DC270000}"/>
    <cellStyle name="Normal 5 2 5 4" xfId="8634" xr:uid="{00000000-0005-0000-0000-0000DD270000}"/>
    <cellStyle name="Normal 5 2 6" xfId="2023" xr:uid="{00000000-0005-0000-0000-0000DE270000}"/>
    <cellStyle name="Normal 5 2 6 2" xfId="5802" xr:uid="{00000000-0005-0000-0000-0000DF270000}"/>
    <cellStyle name="Normal 5 2 6 3" xfId="9578" xr:uid="{00000000-0005-0000-0000-0000E0270000}"/>
    <cellStyle name="Normal 5 2 7" xfId="3914" xr:uid="{00000000-0005-0000-0000-0000E1270000}"/>
    <cellStyle name="Normal 5 2 8" xfId="7690" xr:uid="{00000000-0005-0000-0000-0000E2270000}"/>
    <cellStyle name="Normal 5 3" xfId="186" xr:uid="{00000000-0005-0000-0000-0000E3270000}"/>
    <cellStyle name="Normal 5 3 2" xfId="424" xr:uid="{00000000-0005-0000-0000-0000E4270000}"/>
    <cellStyle name="Normal 5 3 2 2" xfId="898" xr:uid="{00000000-0005-0000-0000-0000E5270000}"/>
    <cellStyle name="Normal 5 3 2 2 2" xfId="1844" xr:uid="{00000000-0005-0000-0000-0000E6270000}"/>
    <cellStyle name="Normal 5 3 2 2 2 2" xfId="3734" xr:uid="{00000000-0005-0000-0000-0000E7270000}"/>
    <cellStyle name="Normal 5 3 2 2 2 2 2" xfId="7513" xr:uid="{00000000-0005-0000-0000-0000E8270000}"/>
    <cellStyle name="Normal 5 3 2 2 2 2 3" xfId="11289" xr:uid="{00000000-0005-0000-0000-0000E9270000}"/>
    <cellStyle name="Normal 5 3 2 2 2 3" xfId="5625" xr:uid="{00000000-0005-0000-0000-0000EA270000}"/>
    <cellStyle name="Normal 5 3 2 2 2 4" xfId="9401" xr:uid="{00000000-0005-0000-0000-0000EB270000}"/>
    <cellStyle name="Normal 5 3 2 2 3" xfId="2790" xr:uid="{00000000-0005-0000-0000-0000EC270000}"/>
    <cellStyle name="Normal 5 3 2 2 3 2" xfId="6569" xr:uid="{00000000-0005-0000-0000-0000ED270000}"/>
    <cellStyle name="Normal 5 3 2 2 3 3" xfId="10345" xr:uid="{00000000-0005-0000-0000-0000EE270000}"/>
    <cellStyle name="Normal 5 3 2 2 4" xfId="4681" xr:uid="{00000000-0005-0000-0000-0000EF270000}"/>
    <cellStyle name="Normal 5 3 2 2 5" xfId="8457" xr:uid="{00000000-0005-0000-0000-0000F0270000}"/>
    <cellStyle name="Normal 5 3 2 3" xfId="1372" xr:uid="{00000000-0005-0000-0000-0000F1270000}"/>
    <cellStyle name="Normal 5 3 2 3 2" xfId="3262" xr:uid="{00000000-0005-0000-0000-0000F2270000}"/>
    <cellStyle name="Normal 5 3 2 3 2 2" xfId="7041" xr:uid="{00000000-0005-0000-0000-0000F3270000}"/>
    <cellStyle name="Normal 5 3 2 3 2 3" xfId="10817" xr:uid="{00000000-0005-0000-0000-0000F4270000}"/>
    <cellStyle name="Normal 5 3 2 3 3" xfId="5153" xr:uid="{00000000-0005-0000-0000-0000F5270000}"/>
    <cellStyle name="Normal 5 3 2 3 4" xfId="8929" xr:uid="{00000000-0005-0000-0000-0000F6270000}"/>
    <cellStyle name="Normal 5 3 2 4" xfId="2318" xr:uid="{00000000-0005-0000-0000-0000F7270000}"/>
    <cellStyle name="Normal 5 3 2 4 2" xfId="6097" xr:uid="{00000000-0005-0000-0000-0000F8270000}"/>
    <cellStyle name="Normal 5 3 2 4 3" xfId="9873" xr:uid="{00000000-0005-0000-0000-0000F9270000}"/>
    <cellStyle name="Normal 5 3 2 5" xfId="4209" xr:uid="{00000000-0005-0000-0000-0000FA270000}"/>
    <cellStyle name="Normal 5 3 2 6" xfId="7985" xr:uid="{00000000-0005-0000-0000-0000FB270000}"/>
    <cellStyle name="Normal 5 3 3" xfId="662" xr:uid="{00000000-0005-0000-0000-0000FC270000}"/>
    <cellStyle name="Normal 5 3 3 2" xfId="1608" xr:uid="{00000000-0005-0000-0000-0000FD270000}"/>
    <cellStyle name="Normal 5 3 3 2 2" xfId="3498" xr:uid="{00000000-0005-0000-0000-0000FE270000}"/>
    <cellStyle name="Normal 5 3 3 2 2 2" xfId="7277" xr:uid="{00000000-0005-0000-0000-0000FF270000}"/>
    <cellStyle name="Normal 5 3 3 2 2 3" xfId="11053" xr:uid="{00000000-0005-0000-0000-000000280000}"/>
    <cellStyle name="Normal 5 3 3 2 3" xfId="5389" xr:uid="{00000000-0005-0000-0000-000001280000}"/>
    <cellStyle name="Normal 5 3 3 2 4" xfId="9165" xr:uid="{00000000-0005-0000-0000-000002280000}"/>
    <cellStyle name="Normal 5 3 3 3" xfId="2554" xr:uid="{00000000-0005-0000-0000-000003280000}"/>
    <cellStyle name="Normal 5 3 3 3 2" xfId="6333" xr:uid="{00000000-0005-0000-0000-000004280000}"/>
    <cellStyle name="Normal 5 3 3 3 3" xfId="10109" xr:uid="{00000000-0005-0000-0000-000005280000}"/>
    <cellStyle name="Normal 5 3 3 4" xfId="4445" xr:uid="{00000000-0005-0000-0000-000006280000}"/>
    <cellStyle name="Normal 5 3 3 5" xfId="8221" xr:uid="{00000000-0005-0000-0000-000007280000}"/>
    <cellStyle name="Normal 5 3 4" xfId="1136" xr:uid="{00000000-0005-0000-0000-000008280000}"/>
    <cellStyle name="Normal 5 3 4 2" xfId="3026" xr:uid="{00000000-0005-0000-0000-000009280000}"/>
    <cellStyle name="Normal 5 3 4 2 2" xfId="6805" xr:uid="{00000000-0005-0000-0000-00000A280000}"/>
    <cellStyle name="Normal 5 3 4 2 3" xfId="10581" xr:uid="{00000000-0005-0000-0000-00000B280000}"/>
    <cellStyle name="Normal 5 3 4 3" xfId="4917" xr:uid="{00000000-0005-0000-0000-00000C280000}"/>
    <cellStyle name="Normal 5 3 4 4" xfId="8693" xr:uid="{00000000-0005-0000-0000-00000D280000}"/>
    <cellStyle name="Normal 5 3 5" xfId="2082" xr:uid="{00000000-0005-0000-0000-00000E280000}"/>
    <cellStyle name="Normal 5 3 5 2" xfId="5861" xr:uid="{00000000-0005-0000-0000-00000F280000}"/>
    <cellStyle name="Normal 5 3 5 3" xfId="9637" xr:uid="{00000000-0005-0000-0000-000010280000}"/>
    <cellStyle name="Normal 5 3 6" xfId="3973" xr:uid="{00000000-0005-0000-0000-000011280000}"/>
    <cellStyle name="Normal 5 3 7" xfId="7749" xr:uid="{00000000-0005-0000-0000-000012280000}"/>
    <cellStyle name="Normal 5 4" xfId="306" xr:uid="{00000000-0005-0000-0000-000013280000}"/>
    <cellStyle name="Normal 5 4 2" xfId="780" xr:uid="{00000000-0005-0000-0000-000014280000}"/>
    <cellStyle name="Normal 5 4 2 2" xfId="1726" xr:uid="{00000000-0005-0000-0000-000015280000}"/>
    <cellStyle name="Normal 5 4 2 2 2" xfId="3616" xr:uid="{00000000-0005-0000-0000-000016280000}"/>
    <cellStyle name="Normal 5 4 2 2 2 2" xfId="7395" xr:uid="{00000000-0005-0000-0000-000017280000}"/>
    <cellStyle name="Normal 5 4 2 2 2 3" xfId="11171" xr:uid="{00000000-0005-0000-0000-000018280000}"/>
    <cellStyle name="Normal 5 4 2 2 3" xfId="5507" xr:uid="{00000000-0005-0000-0000-000019280000}"/>
    <cellStyle name="Normal 5 4 2 2 4" xfId="9283" xr:uid="{00000000-0005-0000-0000-00001A280000}"/>
    <cellStyle name="Normal 5 4 2 3" xfId="2672" xr:uid="{00000000-0005-0000-0000-00001B280000}"/>
    <cellStyle name="Normal 5 4 2 3 2" xfId="6451" xr:uid="{00000000-0005-0000-0000-00001C280000}"/>
    <cellStyle name="Normal 5 4 2 3 3" xfId="10227" xr:uid="{00000000-0005-0000-0000-00001D280000}"/>
    <cellStyle name="Normal 5 4 2 4" xfId="4563" xr:uid="{00000000-0005-0000-0000-00001E280000}"/>
    <cellStyle name="Normal 5 4 2 5" xfId="8339" xr:uid="{00000000-0005-0000-0000-00001F280000}"/>
    <cellStyle name="Normal 5 4 3" xfId="1254" xr:uid="{00000000-0005-0000-0000-000020280000}"/>
    <cellStyle name="Normal 5 4 3 2" xfId="3144" xr:uid="{00000000-0005-0000-0000-000021280000}"/>
    <cellStyle name="Normal 5 4 3 2 2" xfId="6923" xr:uid="{00000000-0005-0000-0000-000022280000}"/>
    <cellStyle name="Normal 5 4 3 2 3" xfId="10699" xr:uid="{00000000-0005-0000-0000-000023280000}"/>
    <cellStyle name="Normal 5 4 3 3" xfId="5035" xr:uid="{00000000-0005-0000-0000-000024280000}"/>
    <cellStyle name="Normal 5 4 3 4" xfId="8811" xr:uid="{00000000-0005-0000-0000-000025280000}"/>
    <cellStyle name="Normal 5 4 4" xfId="2200" xr:uid="{00000000-0005-0000-0000-000026280000}"/>
    <cellStyle name="Normal 5 4 4 2" xfId="5979" xr:uid="{00000000-0005-0000-0000-000027280000}"/>
    <cellStyle name="Normal 5 4 4 3" xfId="9755" xr:uid="{00000000-0005-0000-0000-000028280000}"/>
    <cellStyle name="Normal 5 4 5" xfId="4091" xr:uid="{00000000-0005-0000-0000-000029280000}"/>
    <cellStyle name="Normal 5 4 6" xfId="7867" xr:uid="{00000000-0005-0000-0000-00002A280000}"/>
    <cellStyle name="Normal 5 5" xfId="544" xr:uid="{00000000-0005-0000-0000-00002B280000}"/>
    <cellStyle name="Normal 5 5 2" xfId="1490" xr:uid="{00000000-0005-0000-0000-00002C280000}"/>
    <cellStyle name="Normal 5 5 2 2" xfId="3380" xr:uid="{00000000-0005-0000-0000-00002D280000}"/>
    <cellStyle name="Normal 5 5 2 2 2" xfId="7159" xr:uid="{00000000-0005-0000-0000-00002E280000}"/>
    <cellStyle name="Normal 5 5 2 2 3" xfId="10935" xr:uid="{00000000-0005-0000-0000-00002F280000}"/>
    <cellStyle name="Normal 5 5 2 3" xfId="5271" xr:uid="{00000000-0005-0000-0000-000030280000}"/>
    <cellStyle name="Normal 5 5 2 4" xfId="9047" xr:uid="{00000000-0005-0000-0000-000031280000}"/>
    <cellStyle name="Normal 5 5 3" xfId="2436" xr:uid="{00000000-0005-0000-0000-000032280000}"/>
    <cellStyle name="Normal 5 5 3 2" xfId="6215" xr:uid="{00000000-0005-0000-0000-000033280000}"/>
    <cellStyle name="Normal 5 5 3 3" xfId="9991" xr:uid="{00000000-0005-0000-0000-000034280000}"/>
    <cellStyle name="Normal 5 5 4" xfId="4327" xr:uid="{00000000-0005-0000-0000-000035280000}"/>
    <cellStyle name="Normal 5 5 5" xfId="8103" xr:uid="{00000000-0005-0000-0000-000036280000}"/>
    <cellStyle name="Normal 5 6" xfId="1018" xr:uid="{00000000-0005-0000-0000-000037280000}"/>
    <cellStyle name="Normal 5 6 2" xfId="2908" xr:uid="{00000000-0005-0000-0000-000038280000}"/>
    <cellStyle name="Normal 5 6 2 2" xfId="6687" xr:uid="{00000000-0005-0000-0000-000039280000}"/>
    <cellStyle name="Normal 5 6 2 3" xfId="10463" xr:uid="{00000000-0005-0000-0000-00003A280000}"/>
    <cellStyle name="Normal 5 6 3" xfId="4799" xr:uid="{00000000-0005-0000-0000-00003B280000}"/>
    <cellStyle name="Normal 5 6 4" xfId="8575" xr:uid="{00000000-0005-0000-0000-00003C280000}"/>
    <cellStyle name="Normal 5 7" xfId="1964" xr:uid="{00000000-0005-0000-0000-00003D280000}"/>
    <cellStyle name="Normal 5 7 2" xfId="5743" xr:uid="{00000000-0005-0000-0000-00003E280000}"/>
    <cellStyle name="Normal 5 7 3" xfId="9519" xr:uid="{00000000-0005-0000-0000-00003F280000}"/>
    <cellStyle name="Normal 5 8" xfId="3855" xr:uid="{00000000-0005-0000-0000-000040280000}"/>
    <cellStyle name="Normal 5 9" xfId="7631" xr:uid="{00000000-0005-0000-0000-000041280000}"/>
    <cellStyle name="Normal 6" xfId="89" xr:uid="{00000000-0005-0000-0000-000042280000}"/>
    <cellStyle name="Normal 6 2" xfId="152" xr:uid="{00000000-0005-0000-0000-000043280000}"/>
    <cellStyle name="Normal 7" xfId="90" xr:uid="{00000000-0005-0000-0000-000044280000}"/>
    <cellStyle name="Normal 7 2" xfId="153" xr:uid="{00000000-0005-0000-0000-000045280000}"/>
    <cellStyle name="Normal 7 2 2" xfId="274" xr:uid="{00000000-0005-0000-0000-000046280000}"/>
    <cellStyle name="Normal 7 2 2 2" xfId="512" xr:uid="{00000000-0005-0000-0000-000047280000}"/>
    <cellStyle name="Normal 7 2 2 2 2" xfId="986" xr:uid="{00000000-0005-0000-0000-000048280000}"/>
    <cellStyle name="Normal 7 2 2 2 2 2" xfId="1932" xr:uid="{00000000-0005-0000-0000-000049280000}"/>
    <cellStyle name="Normal 7 2 2 2 2 2 2" xfId="3822" xr:uid="{00000000-0005-0000-0000-00004A280000}"/>
    <cellStyle name="Normal 7 2 2 2 2 2 2 2" xfId="7601" xr:uid="{00000000-0005-0000-0000-00004B280000}"/>
    <cellStyle name="Normal 7 2 2 2 2 2 2 3" xfId="11377" xr:uid="{00000000-0005-0000-0000-00004C280000}"/>
    <cellStyle name="Normal 7 2 2 2 2 2 3" xfId="5713" xr:uid="{00000000-0005-0000-0000-00004D280000}"/>
    <cellStyle name="Normal 7 2 2 2 2 2 4" xfId="9489" xr:uid="{00000000-0005-0000-0000-00004E280000}"/>
    <cellStyle name="Normal 7 2 2 2 2 3" xfId="2878" xr:uid="{00000000-0005-0000-0000-00004F280000}"/>
    <cellStyle name="Normal 7 2 2 2 2 3 2" xfId="6657" xr:uid="{00000000-0005-0000-0000-000050280000}"/>
    <cellStyle name="Normal 7 2 2 2 2 3 3" xfId="10433" xr:uid="{00000000-0005-0000-0000-000051280000}"/>
    <cellStyle name="Normal 7 2 2 2 2 4" xfId="4769" xr:uid="{00000000-0005-0000-0000-000052280000}"/>
    <cellStyle name="Normal 7 2 2 2 2 5" xfId="8545" xr:uid="{00000000-0005-0000-0000-000053280000}"/>
    <cellStyle name="Normal 7 2 2 2 3" xfId="1460" xr:uid="{00000000-0005-0000-0000-000054280000}"/>
    <cellStyle name="Normal 7 2 2 2 3 2" xfId="3350" xr:uid="{00000000-0005-0000-0000-000055280000}"/>
    <cellStyle name="Normal 7 2 2 2 3 2 2" xfId="7129" xr:uid="{00000000-0005-0000-0000-000056280000}"/>
    <cellStyle name="Normal 7 2 2 2 3 2 3" xfId="10905" xr:uid="{00000000-0005-0000-0000-000057280000}"/>
    <cellStyle name="Normal 7 2 2 2 3 3" xfId="5241" xr:uid="{00000000-0005-0000-0000-000058280000}"/>
    <cellStyle name="Normal 7 2 2 2 3 4" xfId="9017" xr:uid="{00000000-0005-0000-0000-000059280000}"/>
    <cellStyle name="Normal 7 2 2 2 4" xfId="2406" xr:uid="{00000000-0005-0000-0000-00005A280000}"/>
    <cellStyle name="Normal 7 2 2 2 4 2" xfId="6185" xr:uid="{00000000-0005-0000-0000-00005B280000}"/>
    <cellStyle name="Normal 7 2 2 2 4 3" xfId="9961" xr:uid="{00000000-0005-0000-0000-00005C280000}"/>
    <cellStyle name="Normal 7 2 2 2 5" xfId="4297" xr:uid="{00000000-0005-0000-0000-00005D280000}"/>
    <cellStyle name="Normal 7 2 2 2 6" xfId="8073" xr:uid="{00000000-0005-0000-0000-00005E280000}"/>
    <cellStyle name="Normal 7 2 2 3" xfId="750" xr:uid="{00000000-0005-0000-0000-00005F280000}"/>
    <cellStyle name="Normal 7 2 2 3 2" xfId="1696" xr:uid="{00000000-0005-0000-0000-000060280000}"/>
    <cellStyle name="Normal 7 2 2 3 2 2" xfId="3586" xr:uid="{00000000-0005-0000-0000-000061280000}"/>
    <cellStyle name="Normal 7 2 2 3 2 2 2" xfId="7365" xr:uid="{00000000-0005-0000-0000-000062280000}"/>
    <cellStyle name="Normal 7 2 2 3 2 2 3" xfId="11141" xr:uid="{00000000-0005-0000-0000-000063280000}"/>
    <cellStyle name="Normal 7 2 2 3 2 3" xfId="5477" xr:uid="{00000000-0005-0000-0000-000064280000}"/>
    <cellStyle name="Normal 7 2 2 3 2 4" xfId="9253" xr:uid="{00000000-0005-0000-0000-000065280000}"/>
    <cellStyle name="Normal 7 2 2 3 3" xfId="2642" xr:uid="{00000000-0005-0000-0000-000066280000}"/>
    <cellStyle name="Normal 7 2 2 3 3 2" xfId="6421" xr:uid="{00000000-0005-0000-0000-000067280000}"/>
    <cellStyle name="Normal 7 2 2 3 3 3" xfId="10197" xr:uid="{00000000-0005-0000-0000-000068280000}"/>
    <cellStyle name="Normal 7 2 2 3 4" xfId="4533" xr:uid="{00000000-0005-0000-0000-000069280000}"/>
    <cellStyle name="Normal 7 2 2 3 5" xfId="8309" xr:uid="{00000000-0005-0000-0000-00006A280000}"/>
    <cellStyle name="Normal 7 2 2 4" xfId="1224" xr:uid="{00000000-0005-0000-0000-00006B280000}"/>
    <cellStyle name="Normal 7 2 2 4 2" xfId="3114" xr:uid="{00000000-0005-0000-0000-00006C280000}"/>
    <cellStyle name="Normal 7 2 2 4 2 2" xfId="6893" xr:uid="{00000000-0005-0000-0000-00006D280000}"/>
    <cellStyle name="Normal 7 2 2 4 2 3" xfId="10669" xr:uid="{00000000-0005-0000-0000-00006E280000}"/>
    <cellStyle name="Normal 7 2 2 4 3" xfId="5005" xr:uid="{00000000-0005-0000-0000-00006F280000}"/>
    <cellStyle name="Normal 7 2 2 4 4" xfId="8781" xr:uid="{00000000-0005-0000-0000-000070280000}"/>
    <cellStyle name="Normal 7 2 2 5" xfId="2170" xr:uid="{00000000-0005-0000-0000-000071280000}"/>
    <cellStyle name="Normal 7 2 2 5 2" xfId="5949" xr:uid="{00000000-0005-0000-0000-000072280000}"/>
    <cellStyle name="Normal 7 2 2 5 3" xfId="9725" xr:uid="{00000000-0005-0000-0000-000073280000}"/>
    <cellStyle name="Normal 7 2 2 6" xfId="4061" xr:uid="{00000000-0005-0000-0000-000074280000}"/>
    <cellStyle name="Normal 7 2 2 7" xfId="7837" xr:uid="{00000000-0005-0000-0000-000075280000}"/>
    <cellStyle name="Normal 7 2 3" xfId="394" xr:uid="{00000000-0005-0000-0000-000076280000}"/>
    <cellStyle name="Normal 7 2 3 2" xfId="868" xr:uid="{00000000-0005-0000-0000-000077280000}"/>
    <cellStyle name="Normal 7 2 3 2 2" xfId="1814" xr:uid="{00000000-0005-0000-0000-000078280000}"/>
    <cellStyle name="Normal 7 2 3 2 2 2" xfId="3704" xr:uid="{00000000-0005-0000-0000-000079280000}"/>
    <cellStyle name="Normal 7 2 3 2 2 2 2" xfId="7483" xr:uid="{00000000-0005-0000-0000-00007A280000}"/>
    <cellStyle name="Normal 7 2 3 2 2 2 3" xfId="11259" xr:uid="{00000000-0005-0000-0000-00007B280000}"/>
    <cellStyle name="Normal 7 2 3 2 2 3" xfId="5595" xr:uid="{00000000-0005-0000-0000-00007C280000}"/>
    <cellStyle name="Normal 7 2 3 2 2 4" xfId="9371" xr:uid="{00000000-0005-0000-0000-00007D280000}"/>
    <cellStyle name="Normal 7 2 3 2 3" xfId="2760" xr:uid="{00000000-0005-0000-0000-00007E280000}"/>
    <cellStyle name="Normal 7 2 3 2 3 2" xfId="6539" xr:uid="{00000000-0005-0000-0000-00007F280000}"/>
    <cellStyle name="Normal 7 2 3 2 3 3" xfId="10315" xr:uid="{00000000-0005-0000-0000-000080280000}"/>
    <cellStyle name="Normal 7 2 3 2 4" xfId="4651" xr:uid="{00000000-0005-0000-0000-000081280000}"/>
    <cellStyle name="Normal 7 2 3 2 5" xfId="8427" xr:uid="{00000000-0005-0000-0000-000082280000}"/>
    <cellStyle name="Normal 7 2 3 3" xfId="1342" xr:uid="{00000000-0005-0000-0000-000083280000}"/>
    <cellStyle name="Normal 7 2 3 3 2" xfId="3232" xr:uid="{00000000-0005-0000-0000-000084280000}"/>
    <cellStyle name="Normal 7 2 3 3 2 2" xfId="7011" xr:uid="{00000000-0005-0000-0000-000085280000}"/>
    <cellStyle name="Normal 7 2 3 3 2 3" xfId="10787" xr:uid="{00000000-0005-0000-0000-000086280000}"/>
    <cellStyle name="Normal 7 2 3 3 3" xfId="5123" xr:uid="{00000000-0005-0000-0000-000087280000}"/>
    <cellStyle name="Normal 7 2 3 3 4" xfId="8899" xr:uid="{00000000-0005-0000-0000-000088280000}"/>
    <cellStyle name="Normal 7 2 3 4" xfId="2288" xr:uid="{00000000-0005-0000-0000-000089280000}"/>
    <cellStyle name="Normal 7 2 3 4 2" xfId="6067" xr:uid="{00000000-0005-0000-0000-00008A280000}"/>
    <cellStyle name="Normal 7 2 3 4 3" xfId="9843" xr:uid="{00000000-0005-0000-0000-00008B280000}"/>
    <cellStyle name="Normal 7 2 3 5" xfId="4179" xr:uid="{00000000-0005-0000-0000-00008C280000}"/>
    <cellStyle name="Normal 7 2 3 6" xfId="7955" xr:uid="{00000000-0005-0000-0000-00008D280000}"/>
    <cellStyle name="Normal 7 2 4" xfId="632" xr:uid="{00000000-0005-0000-0000-00008E280000}"/>
    <cellStyle name="Normal 7 2 4 2" xfId="1578" xr:uid="{00000000-0005-0000-0000-00008F280000}"/>
    <cellStyle name="Normal 7 2 4 2 2" xfId="3468" xr:uid="{00000000-0005-0000-0000-000090280000}"/>
    <cellStyle name="Normal 7 2 4 2 2 2" xfId="7247" xr:uid="{00000000-0005-0000-0000-000091280000}"/>
    <cellStyle name="Normal 7 2 4 2 2 3" xfId="11023" xr:uid="{00000000-0005-0000-0000-000092280000}"/>
    <cellStyle name="Normal 7 2 4 2 3" xfId="5359" xr:uid="{00000000-0005-0000-0000-000093280000}"/>
    <cellStyle name="Normal 7 2 4 2 4" xfId="9135" xr:uid="{00000000-0005-0000-0000-000094280000}"/>
    <cellStyle name="Normal 7 2 4 3" xfId="2524" xr:uid="{00000000-0005-0000-0000-000095280000}"/>
    <cellStyle name="Normal 7 2 4 3 2" xfId="6303" xr:uid="{00000000-0005-0000-0000-000096280000}"/>
    <cellStyle name="Normal 7 2 4 3 3" xfId="10079" xr:uid="{00000000-0005-0000-0000-000097280000}"/>
    <cellStyle name="Normal 7 2 4 4" xfId="4415" xr:uid="{00000000-0005-0000-0000-000098280000}"/>
    <cellStyle name="Normal 7 2 4 5" xfId="8191" xr:uid="{00000000-0005-0000-0000-000099280000}"/>
    <cellStyle name="Normal 7 2 5" xfId="1106" xr:uid="{00000000-0005-0000-0000-00009A280000}"/>
    <cellStyle name="Normal 7 2 5 2" xfId="2996" xr:uid="{00000000-0005-0000-0000-00009B280000}"/>
    <cellStyle name="Normal 7 2 5 2 2" xfId="6775" xr:uid="{00000000-0005-0000-0000-00009C280000}"/>
    <cellStyle name="Normal 7 2 5 2 3" xfId="10551" xr:uid="{00000000-0005-0000-0000-00009D280000}"/>
    <cellStyle name="Normal 7 2 5 3" xfId="4887" xr:uid="{00000000-0005-0000-0000-00009E280000}"/>
    <cellStyle name="Normal 7 2 5 4" xfId="8663" xr:uid="{00000000-0005-0000-0000-00009F280000}"/>
    <cellStyle name="Normal 7 2 6" xfId="2052" xr:uid="{00000000-0005-0000-0000-0000A0280000}"/>
    <cellStyle name="Normal 7 2 6 2" xfId="5831" xr:uid="{00000000-0005-0000-0000-0000A1280000}"/>
    <cellStyle name="Normal 7 2 6 3" xfId="9607" xr:uid="{00000000-0005-0000-0000-0000A2280000}"/>
    <cellStyle name="Normal 7 2 7" xfId="3943" xr:uid="{00000000-0005-0000-0000-0000A3280000}"/>
    <cellStyle name="Normal 7 2 8" xfId="7719" xr:uid="{00000000-0005-0000-0000-0000A4280000}"/>
    <cellStyle name="Normal 7 3" xfId="215" xr:uid="{00000000-0005-0000-0000-0000A5280000}"/>
    <cellStyle name="Normal 7 3 2" xfId="453" xr:uid="{00000000-0005-0000-0000-0000A6280000}"/>
    <cellStyle name="Normal 7 3 2 2" xfId="927" xr:uid="{00000000-0005-0000-0000-0000A7280000}"/>
    <cellStyle name="Normal 7 3 2 2 2" xfId="1873" xr:uid="{00000000-0005-0000-0000-0000A8280000}"/>
    <cellStyle name="Normal 7 3 2 2 2 2" xfId="3763" xr:uid="{00000000-0005-0000-0000-0000A9280000}"/>
    <cellStyle name="Normal 7 3 2 2 2 2 2" xfId="7542" xr:uid="{00000000-0005-0000-0000-0000AA280000}"/>
    <cellStyle name="Normal 7 3 2 2 2 2 3" xfId="11318" xr:uid="{00000000-0005-0000-0000-0000AB280000}"/>
    <cellStyle name="Normal 7 3 2 2 2 3" xfId="5654" xr:uid="{00000000-0005-0000-0000-0000AC280000}"/>
    <cellStyle name="Normal 7 3 2 2 2 4" xfId="9430" xr:uid="{00000000-0005-0000-0000-0000AD280000}"/>
    <cellStyle name="Normal 7 3 2 2 3" xfId="2819" xr:uid="{00000000-0005-0000-0000-0000AE280000}"/>
    <cellStyle name="Normal 7 3 2 2 3 2" xfId="6598" xr:uid="{00000000-0005-0000-0000-0000AF280000}"/>
    <cellStyle name="Normal 7 3 2 2 3 3" xfId="10374" xr:uid="{00000000-0005-0000-0000-0000B0280000}"/>
    <cellStyle name="Normal 7 3 2 2 4" xfId="4710" xr:uid="{00000000-0005-0000-0000-0000B1280000}"/>
    <cellStyle name="Normal 7 3 2 2 5" xfId="8486" xr:uid="{00000000-0005-0000-0000-0000B2280000}"/>
    <cellStyle name="Normal 7 3 2 3" xfId="1401" xr:uid="{00000000-0005-0000-0000-0000B3280000}"/>
    <cellStyle name="Normal 7 3 2 3 2" xfId="3291" xr:uid="{00000000-0005-0000-0000-0000B4280000}"/>
    <cellStyle name="Normal 7 3 2 3 2 2" xfId="7070" xr:uid="{00000000-0005-0000-0000-0000B5280000}"/>
    <cellStyle name="Normal 7 3 2 3 2 3" xfId="10846" xr:uid="{00000000-0005-0000-0000-0000B6280000}"/>
    <cellStyle name="Normal 7 3 2 3 3" xfId="5182" xr:uid="{00000000-0005-0000-0000-0000B7280000}"/>
    <cellStyle name="Normal 7 3 2 3 4" xfId="8958" xr:uid="{00000000-0005-0000-0000-0000B8280000}"/>
    <cellStyle name="Normal 7 3 2 4" xfId="2347" xr:uid="{00000000-0005-0000-0000-0000B9280000}"/>
    <cellStyle name="Normal 7 3 2 4 2" xfId="6126" xr:uid="{00000000-0005-0000-0000-0000BA280000}"/>
    <cellStyle name="Normal 7 3 2 4 3" xfId="9902" xr:uid="{00000000-0005-0000-0000-0000BB280000}"/>
    <cellStyle name="Normal 7 3 2 5" xfId="4238" xr:uid="{00000000-0005-0000-0000-0000BC280000}"/>
    <cellStyle name="Normal 7 3 2 6" xfId="8014" xr:uid="{00000000-0005-0000-0000-0000BD280000}"/>
    <cellStyle name="Normal 7 3 3" xfId="691" xr:uid="{00000000-0005-0000-0000-0000BE280000}"/>
    <cellStyle name="Normal 7 3 3 2" xfId="1637" xr:uid="{00000000-0005-0000-0000-0000BF280000}"/>
    <cellStyle name="Normal 7 3 3 2 2" xfId="3527" xr:uid="{00000000-0005-0000-0000-0000C0280000}"/>
    <cellStyle name="Normal 7 3 3 2 2 2" xfId="7306" xr:uid="{00000000-0005-0000-0000-0000C1280000}"/>
    <cellStyle name="Normal 7 3 3 2 2 3" xfId="11082" xr:uid="{00000000-0005-0000-0000-0000C2280000}"/>
    <cellStyle name="Normal 7 3 3 2 3" xfId="5418" xr:uid="{00000000-0005-0000-0000-0000C3280000}"/>
    <cellStyle name="Normal 7 3 3 2 4" xfId="9194" xr:uid="{00000000-0005-0000-0000-0000C4280000}"/>
    <cellStyle name="Normal 7 3 3 3" xfId="2583" xr:uid="{00000000-0005-0000-0000-0000C5280000}"/>
    <cellStyle name="Normal 7 3 3 3 2" xfId="6362" xr:uid="{00000000-0005-0000-0000-0000C6280000}"/>
    <cellStyle name="Normal 7 3 3 3 3" xfId="10138" xr:uid="{00000000-0005-0000-0000-0000C7280000}"/>
    <cellStyle name="Normal 7 3 3 4" xfId="4474" xr:uid="{00000000-0005-0000-0000-0000C8280000}"/>
    <cellStyle name="Normal 7 3 3 5" xfId="8250" xr:uid="{00000000-0005-0000-0000-0000C9280000}"/>
    <cellStyle name="Normal 7 3 4" xfId="1165" xr:uid="{00000000-0005-0000-0000-0000CA280000}"/>
    <cellStyle name="Normal 7 3 4 2" xfId="3055" xr:uid="{00000000-0005-0000-0000-0000CB280000}"/>
    <cellStyle name="Normal 7 3 4 2 2" xfId="6834" xr:uid="{00000000-0005-0000-0000-0000CC280000}"/>
    <cellStyle name="Normal 7 3 4 2 3" xfId="10610" xr:uid="{00000000-0005-0000-0000-0000CD280000}"/>
    <cellStyle name="Normal 7 3 4 3" xfId="4946" xr:uid="{00000000-0005-0000-0000-0000CE280000}"/>
    <cellStyle name="Normal 7 3 4 4" xfId="8722" xr:uid="{00000000-0005-0000-0000-0000CF280000}"/>
    <cellStyle name="Normal 7 3 5" xfId="2111" xr:uid="{00000000-0005-0000-0000-0000D0280000}"/>
    <cellStyle name="Normal 7 3 5 2" xfId="5890" xr:uid="{00000000-0005-0000-0000-0000D1280000}"/>
    <cellStyle name="Normal 7 3 5 3" xfId="9666" xr:uid="{00000000-0005-0000-0000-0000D2280000}"/>
    <cellStyle name="Normal 7 3 6" xfId="4002" xr:uid="{00000000-0005-0000-0000-0000D3280000}"/>
    <cellStyle name="Normal 7 3 7" xfId="7778" xr:uid="{00000000-0005-0000-0000-0000D4280000}"/>
    <cellStyle name="Normal 7 4" xfId="335" xr:uid="{00000000-0005-0000-0000-0000D5280000}"/>
    <cellStyle name="Normal 7 4 2" xfId="809" xr:uid="{00000000-0005-0000-0000-0000D6280000}"/>
    <cellStyle name="Normal 7 4 2 2" xfId="1755" xr:uid="{00000000-0005-0000-0000-0000D7280000}"/>
    <cellStyle name="Normal 7 4 2 2 2" xfId="3645" xr:uid="{00000000-0005-0000-0000-0000D8280000}"/>
    <cellStyle name="Normal 7 4 2 2 2 2" xfId="7424" xr:uid="{00000000-0005-0000-0000-0000D9280000}"/>
    <cellStyle name="Normal 7 4 2 2 2 3" xfId="11200" xr:uid="{00000000-0005-0000-0000-0000DA280000}"/>
    <cellStyle name="Normal 7 4 2 2 3" xfId="5536" xr:uid="{00000000-0005-0000-0000-0000DB280000}"/>
    <cellStyle name="Normal 7 4 2 2 4" xfId="9312" xr:uid="{00000000-0005-0000-0000-0000DC280000}"/>
    <cellStyle name="Normal 7 4 2 3" xfId="2701" xr:uid="{00000000-0005-0000-0000-0000DD280000}"/>
    <cellStyle name="Normal 7 4 2 3 2" xfId="6480" xr:uid="{00000000-0005-0000-0000-0000DE280000}"/>
    <cellStyle name="Normal 7 4 2 3 3" xfId="10256" xr:uid="{00000000-0005-0000-0000-0000DF280000}"/>
    <cellStyle name="Normal 7 4 2 4" xfId="4592" xr:uid="{00000000-0005-0000-0000-0000E0280000}"/>
    <cellStyle name="Normal 7 4 2 5" xfId="8368" xr:uid="{00000000-0005-0000-0000-0000E1280000}"/>
    <cellStyle name="Normal 7 4 3" xfId="1283" xr:uid="{00000000-0005-0000-0000-0000E2280000}"/>
    <cellStyle name="Normal 7 4 3 2" xfId="3173" xr:uid="{00000000-0005-0000-0000-0000E3280000}"/>
    <cellStyle name="Normal 7 4 3 2 2" xfId="6952" xr:uid="{00000000-0005-0000-0000-0000E4280000}"/>
    <cellStyle name="Normal 7 4 3 2 3" xfId="10728" xr:uid="{00000000-0005-0000-0000-0000E5280000}"/>
    <cellStyle name="Normal 7 4 3 3" xfId="5064" xr:uid="{00000000-0005-0000-0000-0000E6280000}"/>
    <cellStyle name="Normal 7 4 3 4" xfId="8840" xr:uid="{00000000-0005-0000-0000-0000E7280000}"/>
    <cellStyle name="Normal 7 4 4" xfId="2229" xr:uid="{00000000-0005-0000-0000-0000E8280000}"/>
    <cellStyle name="Normal 7 4 4 2" xfId="6008" xr:uid="{00000000-0005-0000-0000-0000E9280000}"/>
    <cellStyle name="Normal 7 4 4 3" xfId="9784" xr:uid="{00000000-0005-0000-0000-0000EA280000}"/>
    <cellStyle name="Normal 7 4 5" xfId="4120" xr:uid="{00000000-0005-0000-0000-0000EB280000}"/>
    <cellStyle name="Normal 7 4 6" xfId="7896" xr:uid="{00000000-0005-0000-0000-0000EC280000}"/>
    <cellStyle name="Normal 7 5" xfId="573" xr:uid="{00000000-0005-0000-0000-0000ED280000}"/>
    <cellStyle name="Normal 7 5 2" xfId="1519" xr:uid="{00000000-0005-0000-0000-0000EE280000}"/>
    <cellStyle name="Normal 7 5 2 2" xfId="3409" xr:uid="{00000000-0005-0000-0000-0000EF280000}"/>
    <cellStyle name="Normal 7 5 2 2 2" xfId="7188" xr:uid="{00000000-0005-0000-0000-0000F0280000}"/>
    <cellStyle name="Normal 7 5 2 2 3" xfId="10964" xr:uid="{00000000-0005-0000-0000-0000F1280000}"/>
    <cellStyle name="Normal 7 5 2 3" xfId="5300" xr:uid="{00000000-0005-0000-0000-0000F2280000}"/>
    <cellStyle name="Normal 7 5 2 4" xfId="9076" xr:uid="{00000000-0005-0000-0000-0000F3280000}"/>
    <cellStyle name="Normal 7 5 3" xfId="2465" xr:uid="{00000000-0005-0000-0000-0000F4280000}"/>
    <cellStyle name="Normal 7 5 3 2" xfId="6244" xr:uid="{00000000-0005-0000-0000-0000F5280000}"/>
    <cellStyle name="Normal 7 5 3 3" xfId="10020" xr:uid="{00000000-0005-0000-0000-0000F6280000}"/>
    <cellStyle name="Normal 7 5 4" xfId="4356" xr:uid="{00000000-0005-0000-0000-0000F7280000}"/>
    <cellStyle name="Normal 7 5 5" xfId="8132" xr:uid="{00000000-0005-0000-0000-0000F8280000}"/>
    <cellStyle name="Normal 7 6" xfId="1047" xr:uid="{00000000-0005-0000-0000-0000F9280000}"/>
    <cellStyle name="Normal 7 6 2" xfId="2937" xr:uid="{00000000-0005-0000-0000-0000FA280000}"/>
    <cellStyle name="Normal 7 6 2 2" xfId="6716" xr:uid="{00000000-0005-0000-0000-0000FB280000}"/>
    <cellStyle name="Normal 7 6 2 3" xfId="10492" xr:uid="{00000000-0005-0000-0000-0000FC280000}"/>
    <cellStyle name="Normal 7 6 3" xfId="4828" xr:uid="{00000000-0005-0000-0000-0000FD280000}"/>
    <cellStyle name="Normal 7 6 4" xfId="8604" xr:uid="{00000000-0005-0000-0000-0000FE280000}"/>
    <cellStyle name="Normal 7 7" xfId="1993" xr:uid="{00000000-0005-0000-0000-0000FF280000}"/>
    <cellStyle name="Normal 7 7 2" xfId="5772" xr:uid="{00000000-0005-0000-0000-000000290000}"/>
    <cellStyle name="Normal 7 7 3" xfId="9548" xr:uid="{00000000-0005-0000-0000-000001290000}"/>
    <cellStyle name="Normal 7 8" xfId="3884" xr:uid="{00000000-0005-0000-0000-000002290000}"/>
    <cellStyle name="Normal 7 9" xfId="7660" xr:uid="{00000000-0005-0000-0000-000003290000}"/>
    <cellStyle name="Normal 8" xfId="104" xr:uid="{00000000-0005-0000-0000-000004290000}"/>
    <cellStyle name="Normal 9" xfId="91" xr:uid="{00000000-0005-0000-0000-000005290000}"/>
    <cellStyle name="Normal 9 2" xfId="216" xr:uid="{00000000-0005-0000-0000-000006290000}"/>
    <cellStyle name="Normal 9 2 2" xfId="454" xr:uid="{00000000-0005-0000-0000-000007290000}"/>
    <cellStyle name="Normal 9 2 2 2" xfId="928" xr:uid="{00000000-0005-0000-0000-000008290000}"/>
    <cellStyle name="Normal 9 2 2 2 2" xfId="1874" xr:uid="{00000000-0005-0000-0000-000009290000}"/>
    <cellStyle name="Normal 9 2 2 2 2 2" xfId="3764" xr:uid="{00000000-0005-0000-0000-00000A290000}"/>
    <cellStyle name="Normal 9 2 2 2 2 2 2" xfId="7543" xr:uid="{00000000-0005-0000-0000-00000B290000}"/>
    <cellStyle name="Normal 9 2 2 2 2 2 3" xfId="11319" xr:uid="{00000000-0005-0000-0000-00000C290000}"/>
    <cellStyle name="Normal 9 2 2 2 2 3" xfId="5655" xr:uid="{00000000-0005-0000-0000-00000D290000}"/>
    <cellStyle name="Normal 9 2 2 2 2 4" xfId="9431" xr:uid="{00000000-0005-0000-0000-00000E290000}"/>
    <cellStyle name="Normal 9 2 2 2 3" xfId="2820" xr:uid="{00000000-0005-0000-0000-00000F290000}"/>
    <cellStyle name="Normal 9 2 2 2 3 2" xfId="6599" xr:uid="{00000000-0005-0000-0000-000010290000}"/>
    <cellStyle name="Normal 9 2 2 2 3 3" xfId="10375" xr:uid="{00000000-0005-0000-0000-000011290000}"/>
    <cellStyle name="Normal 9 2 2 2 4" xfId="4711" xr:uid="{00000000-0005-0000-0000-000012290000}"/>
    <cellStyle name="Normal 9 2 2 2 5" xfId="8487" xr:uid="{00000000-0005-0000-0000-000013290000}"/>
    <cellStyle name="Normal 9 2 2 3" xfId="1402" xr:uid="{00000000-0005-0000-0000-000014290000}"/>
    <cellStyle name="Normal 9 2 2 3 2" xfId="3292" xr:uid="{00000000-0005-0000-0000-000015290000}"/>
    <cellStyle name="Normal 9 2 2 3 2 2" xfId="7071" xr:uid="{00000000-0005-0000-0000-000016290000}"/>
    <cellStyle name="Normal 9 2 2 3 2 3" xfId="10847" xr:uid="{00000000-0005-0000-0000-000017290000}"/>
    <cellStyle name="Normal 9 2 2 3 3" xfId="5183" xr:uid="{00000000-0005-0000-0000-000018290000}"/>
    <cellStyle name="Normal 9 2 2 3 4" xfId="8959" xr:uid="{00000000-0005-0000-0000-000019290000}"/>
    <cellStyle name="Normal 9 2 2 4" xfId="2348" xr:uid="{00000000-0005-0000-0000-00001A290000}"/>
    <cellStyle name="Normal 9 2 2 4 2" xfId="6127" xr:uid="{00000000-0005-0000-0000-00001B290000}"/>
    <cellStyle name="Normal 9 2 2 4 3" xfId="9903" xr:uid="{00000000-0005-0000-0000-00001C290000}"/>
    <cellStyle name="Normal 9 2 2 5" xfId="4239" xr:uid="{00000000-0005-0000-0000-00001D290000}"/>
    <cellStyle name="Normal 9 2 2 6" xfId="8015" xr:uid="{00000000-0005-0000-0000-00001E290000}"/>
    <cellStyle name="Normal 9 2 3" xfId="692" xr:uid="{00000000-0005-0000-0000-00001F290000}"/>
    <cellStyle name="Normal 9 2 3 2" xfId="1638" xr:uid="{00000000-0005-0000-0000-000020290000}"/>
    <cellStyle name="Normal 9 2 3 2 2" xfId="3528" xr:uid="{00000000-0005-0000-0000-000021290000}"/>
    <cellStyle name="Normal 9 2 3 2 2 2" xfId="7307" xr:uid="{00000000-0005-0000-0000-000022290000}"/>
    <cellStyle name="Normal 9 2 3 2 2 3" xfId="11083" xr:uid="{00000000-0005-0000-0000-000023290000}"/>
    <cellStyle name="Normal 9 2 3 2 3" xfId="5419" xr:uid="{00000000-0005-0000-0000-000024290000}"/>
    <cellStyle name="Normal 9 2 3 2 4" xfId="9195" xr:uid="{00000000-0005-0000-0000-000025290000}"/>
    <cellStyle name="Normal 9 2 3 3" xfId="2584" xr:uid="{00000000-0005-0000-0000-000026290000}"/>
    <cellStyle name="Normal 9 2 3 3 2" xfId="6363" xr:uid="{00000000-0005-0000-0000-000027290000}"/>
    <cellStyle name="Normal 9 2 3 3 3" xfId="10139" xr:uid="{00000000-0005-0000-0000-000028290000}"/>
    <cellStyle name="Normal 9 2 3 4" xfId="4475" xr:uid="{00000000-0005-0000-0000-000029290000}"/>
    <cellStyle name="Normal 9 2 3 5" xfId="8251" xr:uid="{00000000-0005-0000-0000-00002A290000}"/>
    <cellStyle name="Normal 9 2 4" xfId="1166" xr:uid="{00000000-0005-0000-0000-00002B290000}"/>
    <cellStyle name="Normal 9 2 4 2" xfId="3056" xr:uid="{00000000-0005-0000-0000-00002C290000}"/>
    <cellStyle name="Normal 9 2 4 2 2" xfId="6835" xr:uid="{00000000-0005-0000-0000-00002D290000}"/>
    <cellStyle name="Normal 9 2 4 2 3" xfId="10611" xr:uid="{00000000-0005-0000-0000-00002E290000}"/>
    <cellStyle name="Normal 9 2 4 3" xfId="4947" xr:uid="{00000000-0005-0000-0000-00002F290000}"/>
    <cellStyle name="Normal 9 2 4 4" xfId="8723" xr:uid="{00000000-0005-0000-0000-000030290000}"/>
    <cellStyle name="Normal 9 2 5" xfId="2112" xr:uid="{00000000-0005-0000-0000-000031290000}"/>
    <cellStyle name="Normal 9 2 5 2" xfId="5891" xr:uid="{00000000-0005-0000-0000-000032290000}"/>
    <cellStyle name="Normal 9 2 5 3" xfId="9667" xr:uid="{00000000-0005-0000-0000-000033290000}"/>
    <cellStyle name="Normal 9 2 6" xfId="4003" xr:uid="{00000000-0005-0000-0000-000034290000}"/>
    <cellStyle name="Normal 9 2 7" xfId="7779" xr:uid="{00000000-0005-0000-0000-000035290000}"/>
    <cellStyle name="Normal 9 3" xfId="336" xr:uid="{00000000-0005-0000-0000-000036290000}"/>
    <cellStyle name="Normal 9 3 2" xfId="810" xr:uid="{00000000-0005-0000-0000-000037290000}"/>
    <cellStyle name="Normal 9 3 2 2" xfId="1756" xr:uid="{00000000-0005-0000-0000-000038290000}"/>
    <cellStyle name="Normal 9 3 2 2 2" xfId="3646" xr:uid="{00000000-0005-0000-0000-000039290000}"/>
    <cellStyle name="Normal 9 3 2 2 2 2" xfId="7425" xr:uid="{00000000-0005-0000-0000-00003A290000}"/>
    <cellStyle name="Normal 9 3 2 2 2 3" xfId="11201" xr:uid="{00000000-0005-0000-0000-00003B290000}"/>
    <cellStyle name="Normal 9 3 2 2 3" xfId="5537" xr:uid="{00000000-0005-0000-0000-00003C290000}"/>
    <cellStyle name="Normal 9 3 2 2 4" xfId="9313" xr:uid="{00000000-0005-0000-0000-00003D290000}"/>
    <cellStyle name="Normal 9 3 2 3" xfId="2702" xr:uid="{00000000-0005-0000-0000-00003E290000}"/>
    <cellStyle name="Normal 9 3 2 3 2" xfId="6481" xr:uid="{00000000-0005-0000-0000-00003F290000}"/>
    <cellStyle name="Normal 9 3 2 3 3" xfId="10257" xr:uid="{00000000-0005-0000-0000-000040290000}"/>
    <cellStyle name="Normal 9 3 2 4" xfId="4593" xr:uid="{00000000-0005-0000-0000-000041290000}"/>
    <cellStyle name="Normal 9 3 2 5" xfId="8369" xr:uid="{00000000-0005-0000-0000-000042290000}"/>
    <cellStyle name="Normal 9 3 3" xfId="1284" xr:uid="{00000000-0005-0000-0000-000043290000}"/>
    <cellStyle name="Normal 9 3 3 2" xfId="3174" xr:uid="{00000000-0005-0000-0000-000044290000}"/>
    <cellStyle name="Normal 9 3 3 2 2" xfId="6953" xr:uid="{00000000-0005-0000-0000-000045290000}"/>
    <cellStyle name="Normal 9 3 3 2 3" xfId="10729" xr:uid="{00000000-0005-0000-0000-000046290000}"/>
    <cellStyle name="Normal 9 3 3 3" xfId="5065" xr:uid="{00000000-0005-0000-0000-000047290000}"/>
    <cellStyle name="Normal 9 3 3 4" xfId="8841" xr:uid="{00000000-0005-0000-0000-000048290000}"/>
    <cellStyle name="Normal 9 3 4" xfId="2230" xr:uid="{00000000-0005-0000-0000-000049290000}"/>
    <cellStyle name="Normal 9 3 4 2" xfId="6009" xr:uid="{00000000-0005-0000-0000-00004A290000}"/>
    <cellStyle name="Normal 9 3 4 3" xfId="9785" xr:uid="{00000000-0005-0000-0000-00004B290000}"/>
    <cellStyle name="Normal 9 3 5" xfId="4121" xr:uid="{00000000-0005-0000-0000-00004C290000}"/>
    <cellStyle name="Normal 9 3 6" xfId="7897" xr:uid="{00000000-0005-0000-0000-00004D290000}"/>
    <cellStyle name="Normal 9 4" xfId="574" xr:uid="{00000000-0005-0000-0000-00004E290000}"/>
    <cellStyle name="Normal 9 4 2" xfId="1520" xr:uid="{00000000-0005-0000-0000-00004F290000}"/>
    <cellStyle name="Normal 9 4 2 2" xfId="3410" xr:uid="{00000000-0005-0000-0000-000050290000}"/>
    <cellStyle name="Normal 9 4 2 2 2" xfId="7189" xr:uid="{00000000-0005-0000-0000-000051290000}"/>
    <cellStyle name="Normal 9 4 2 2 3" xfId="10965" xr:uid="{00000000-0005-0000-0000-000052290000}"/>
    <cellStyle name="Normal 9 4 2 3" xfId="5301" xr:uid="{00000000-0005-0000-0000-000053290000}"/>
    <cellStyle name="Normal 9 4 2 4" xfId="9077" xr:uid="{00000000-0005-0000-0000-000054290000}"/>
    <cellStyle name="Normal 9 4 3" xfId="2466" xr:uid="{00000000-0005-0000-0000-000055290000}"/>
    <cellStyle name="Normal 9 4 3 2" xfId="6245" xr:uid="{00000000-0005-0000-0000-000056290000}"/>
    <cellStyle name="Normal 9 4 3 3" xfId="10021" xr:uid="{00000000-0005-0000-0000-000057290000}"/>
    <cellStyle name="Normal 9 4 4" xfId="4357" xr:uid="{00000000-0005-0000-0000-000058290000}"/>
    <cellStyle name="Normal 9 4 5" xfId="8133" xr:uid="{00000000-0005-0000-0000-000059290000}"/>
    <cellStyle name="Normal 9 5" xfId="1048" xr:uid="{00000000-0005-0000-0000-00005A290000}"/>
    <cellStyle name="Normal 9 5 2" xfId="2938" xr:uid="{00000000-0005-0000-0000-00005B290000}"/>
    <cellStyle name="Normal 9 5 2 2" xfId="6717" xr:uid="{00000000-0005-0000-0000-00005C290000}"/>
    <cellStyle name="Normal 9 5 2 3" xfId="10493" xr:uid="{00000000-0005-0000-0000-00005D290000}"/>
    <cellStyle name="Normal 9 5 3" xfId="4829" xr:uid="{00000000-0005-0000-0000-00005E290000}"/>
    <cellStyle name="Normal 9 5 4" xfId="8605" xr:uid="{00000000-0005-0000-0000-00005F290000}"/>
    <cellStyle name="Normal 9 6" xfId="1994" xr:uid="{00000000-0005-0000-0000-000060290000}"/>
    <cellStyle name="Normal 9 6 2" xfId="5773" xr:uid="{00000000-0005-0000-0000-000061290000}"/>
    <cellStyle name="Normal 9 6 3" xfId="9549" xr:uid="{00000000-0005-0000-0000-000062290000}"/>
    <cellStyle name="Normal 9 7" xfId="3885" xr:uid="{00000000-0005-0000-0000-000063290000}"/>
    <cellStyle name="Normal 9 8" xfId="7661" xr:uid="{00000000-0005-0000-0000-000064290000}"/>
    <cellStyle name="Notas 2" xfId="43" xr:uid="{00000000-0005-0000-0000-000065290000}"/>
    <cellStyle name="Notas 2 10" xfId="7616" xr:uid="{00000000-0005-0000-0000-000066290000}"/>
    <cellStyle name="Notas 2 2" xfId="74" xr:uid="{00000000-0005-0000-0000-000067290000}"/>
    <cellStyle name="Notas 2 2 2" xfId="137" xr:uid="{00000000-0005-0000-0000-000068290000}"/>
    <cellStyle name="Notas 2 2 2 2" xfId="259" xr:uid="{00000000-0005-0000-0000-000069290000}"/>
    <cellStyle name="Notas 2 2 2 2 2" xfId="497" xr:uid="{00000000-0005-0000-0000-00006A290000}"/>
    <cellStyle name="Notas 2 2 2 2 2 2" xfId="971" xr:uid="{00000000-0005-0000-0000-00006B290000}"/>
    <cellStyle name="Notas 2 2 2 2 2 2 2" xfId="1917" xr:uid="{00000000-0005-0000-0000-00006C290000}"/>
    <cellStyle name="Notas 2 2 2 2 2 2 2 2" xfId="3807" xr:uid="{00000000-0005-0000-0000-00006D290000}"/>
    <cellStyle name="Notas 2 2 2 2 2 2 2 2 2" xfId="7586" xr:uid="{00000000-0005-0000-0000-00006E290000}"/>
    <cellStyle name="Notas 2 2 2 2 2 2 2 2 3" xfId="11362" xr:uid="{00000000-0005-0000-0000-00006F290000}"/>
    <cellStyle name="Notas 2 2 2 2 2 2 2 3" xfId="5698" xr:uid="{00000000-0005-0000-0000-000070290000}"/>
    <cellStyle name="Notas 2 2 2 2 2 2 2 4" xfId="9474" xr:uid="{00000000-0005-0000-0000-000071290000}"/>
    <cellStyle name="Notas 2 2 2 2 2 2 3" xfId="2863" xr:uid="{00000000-0005-0000-0000-000072290000}"/>
    <cellStyle name="Notas 2 2 2 2 2 2 3 2" xfId="6642" xr:uid="{00000000-0005-0000-0000-000073290000}"/>
    <cellStyle name="Notas 2 2 2 2 2 2 3 3" xfId="10418" xr:uid="{00000000-0005-0000-0000-000074290000}"/>
    <cellStyle name="Notas 2 2 2 2 2 2 4" xfId="4754" xr:uid="{00000000-0005-0000-0000-000075290000}"/>
    <cellStyle name="Notas 2 2 2 2 2 2 5" xfId="8530" xr:uid="{00000000-0005-0000-0000-000076290000}"/>
    <cellStyle name="Notas 2 2 2 2 2 3" xfId="1445" xr:uid="{00000000-0005-0000-0000-000077290000}"/>
    <cellStyle name="Notas 2 2 2 2 2 3 2" xfId="3335" xr:uid="{00000000-0005-0000-0000-000078290000}"/>
    <cellStyle name="Notas 2 2 2 2 2 3 2 2" xfId="7114" xr:uid="{00000000-0005-0000-0000-000079290000}"/>
    <cellStyle name="Notas 2 2 2 2 2 3 2 3" xfId="10890" xr:uid="{00000000-0005-0000-0000-00007A290000}"/>
    <cellStyle name="Notas 2 2 2 2 2 3 3" xfId="5226" xr:uid="{00000000-0005-0000-0000-00007B290000}"/>
    <cellStyle name="Notas 2 2 2 2 2 3 4" xfId="9002" xr:uid="{00000000-0005-0000-0000-00007C290000}"/>
    <cellStyle name="Notas 2 2 2 2 2 4" xfId="2391" xr:uid="{00000000-0005-0000-0000-00007D290000}"/>
    <cellStyle name="Notas 2 2 2 2 2 4 2" xfId="6170" xr:uid="{00000000-0005-0000-0000-00007E290000}"/>
    <cellStyle name="Notas 2 2 2 2 2 4 3" xfId="9946" xr:uid="{00000000-0005-0000-0000-00007F290000}"/>
    <cellStyle name="Notas 2 2 2 2 2 5" xfId="4282" xr:uid="{00000000-0005-0000-0000-000080290000}"/>
    <cellStyle name="Notas 2 2 2 2 2 6" xfId="8058" xr:uid="{00000000-0005-0000-0000-000081290000}"/>
    <cellStyle name="Notas 2 2 2 2 3" xfId="735" xr:uid="{00000000-0005-0000-0000-000082290000}"/>
    <cellStyle name="Notas 2 2 2 2 3 2" xfId="1681" xr:uid="{00000000-0005-0000-0000-000083290000}"/>
    <cellStyle name="Notas 2 2 2 2 3 2 2" xfId="3571" xr:uid="{00000000-0005-0000-0000-000084290000}"/>
    <cellStyle name="Notas 2 2 2 2 3 2 2 2" xfId="7350" xr:uid="{00000000-0005-0000-0000-000085290000}"/>
    <cellStyle name="Notas 2 2 2 2 3 2 2 3" xfId="11126" xr:uid="{00000000-0005-0000-0000-000086290000}"/>
    <cellStyle name="Notas 2 2 2 2 3 2 3" xfId="5462" xr:uid="{00000000-0005-0000-0000-000087290000}"/>
    <cellStyle name="Notas 2 2 2 2 3 2 4" xfId="9238" xr:uid="{00000000-0005-0000-0000-000088290000}"/>
    <cellStyle name="Notas 2 2 2 2 3 3" xfId="2627" xr:uid="{00000000-0005-0000-0000-000089290000}"/>
    <cellStyle name="Notas 2 2 2 2 3 3 2" xfId="6406" xr:uid="{00000000-0005-0000-0000-00008A290000}"/>
    <cellStyle name="Notas 2 2 2 2 3 3 3" xfId="10182" xr:uid="{00000000-0005-0000-0000-00008B290000}"/>
    <cellStyle name="Notas 2 2 2 2 3 4" xfId="4518" xr:uid="{00000000-0005-0000-0000-00008C290000}"/>
    <cellStyle name="Notas 2 2 2 2 3 5" xfId="8294" xr:uid="{00000000-0005-0000-0000-00008D290000}"/>
    <cellStyle name="Notas 2 2 2 2 4" xfId="1209" xr:uid="{00000000-0005-0000-0000-00008E290000}"/>
    <cellStyle name="Notas 2 2 2 2 4 2" xfId="3099" xr:uid="{00000000-0005-0000-0000-00008F290000}"/>
    <cellStyle name="Notas 2 2 2 2 4 2 2" xfId="6878" xr:uid="{00000000-0005-0000-0000-000090290000}"/>
    <cellStyle name="Notas 2 2 2 2 4 2 3" xfId="10654" xr:uid="{00000000-0005-0000-0000-000091290000}"/>
    <cellStyle name="Notas 2 2 2 2 4 3" xfId="4990" xr:uid="{00000000-0005-0000-0000-000092290000}"/>
    <cellStyle name="Notas 2 2 2 2 4 4" xfId="8766" xr:uid="{00000000-0005-0000-0000-000093290000}"/>
    <cellStyle name="Notas 2 2 2 2 5" xfId="2155" xr:uid="{00000000-0005-0000-0000-000094290000}"/>
    <cellStyle name="Notas 2 2 2 2 5 2" xfId="5934" xr:uid="{00000000-0005-0000-0000-000095290000}"/>
    <cellStyle name="Notas 2 2 2 2 5 3" xfId="9710" xr:uid="{00000000-0005-0000-0000-000096290000}"/>
    <cellStyle name="Notas 2 2 2 2 6" xfId="4046" xr:uid="{00000000-0005-0000-0000-000097290000}"/>
    <cellStyle name="Notas 2 2 2 2 7" xfId="7822" xr:uid="{00000000-0005-0000-0000-000098290000}"/>
    <cellStyle name="Notas 2 2 2 3" xfId="379" xr:uid="{00000000-0005-0000-0000-000099290000}"/>
    <cellStyle name="Notas 2 2 2 3 2" xfId="853" xr:uid="{00000000-0005-0000-0000-00009A290000}"/>
    <cellStyle name="Notas 2 2 2 3 2 2" xfId="1799" xr:uid="{00000000-0005-0000-0000-00009B290000}"/>
    <cellStyle name="Notas 2 2 2 3 2 2 2" xfId="3689" xr:uid="{00000000-0005-0000-0000-00009C290000}"/>
    <cellStyle name="Notas 2 2 2 3 2 2 2 2" xfId="7468" xr:uid="{00000000-0005-0000-0000-00009D290000}"/>
    <cellStyle name="Notas 2 2 2 3 2 2 2 3" xfId="11244" xr:uid="{00000000-0005-0000-0000-00009E290000}"/>
    <cellStyle name="Notas 2 2 2 3 2 2 3" xfId="5580" xr:uid="{00000000-0005-0000-0000-00009F290000}"/>
    <cellStyle name="Notas 2 2 2 3 2 2 4" xfId="9356" xr:uid="{00000000-0005-0000-0000-0000A0290000}"/>
    <cellStyle name="Notas 2 2 2 3 2 3" xfId="2745" xr:uid="{00000000-0005-0000-0000-0000A1290000}"/>
    <cellStyle name="Notas 2 2 2 3 2 3 2" xfId="6524" xr:uid="{00000000-0005-0000-0000-0000A2290000}"/>
    <cellStyle name="Notas 2 2 2 3 2 3 3" xfId="10300" xr:uid="{00000000-0005-0000-0000-0000A3290000}"/>
    <cellStyle name="Notas 2 2 2 3 2 4" xfId="4636" xr:uid="{00000000-0005-0000-0000-0000A4290000}"/>
    <cellStyle name="Notas 2 2 2 3 2 5" xfId="8412" xr:uid="{00000000-0005-0000-0000-0000A5290000}"/>
    <cellStyle name="Notas 2 2 2 3 3" xfId="1327" xr:uid="{00000000-0005-0000-0000-0000A6290000}"/>
    <cellStyle name="Notas 2 2 2 3 3 2" xfId="3217" xr:uid="{00000000-0005-0000-0000-0000A7290000}"/>
    <cellStyle name="Notas 2 2 2 3 3 2 2" xfId="6996" xr:uid="{00000000-0005-0000-0000-0000A8290000}"/>
    <cellStyle name="Notas 2 2 2 3 3 2 3" xfId="10772" xr:uid="{00000000-0005-0000-0000-0000A9290000}"/>
    <cellStyle name="Notas 2 2 2 3 3 3" xfId="5108" xr:uid="{00000000-0005-0000-0000-0000AA290000}"/>
    <cellStyle name="Notas 2 2 2 3 3 4" xfId="8884" xr:uid="{00000000-0005-0000-0000-0000AB290000}"/>
    <cellStyle name="Notas 2 2 2 3 4" xfId="2273" xr:uid="{00000000-0005-0000-0000-0000AC290000}"/>
    <cellStyle name="Notas 2 2 2 3 4 2" xfId="6052" xr:uid="{00000000-0005-0000-0000-0000AD290000}"/>
    <cellStyle name="Notas 2 2 2 3 4 3" xfId="9828" xr:uid="{00000000-0005-0000-0000-0000AE290000}"/>
    <cellStyle name="Notas 2 2 2 3 5" xfId="4164" xr:uid="{00000000-0005-0000-0000-0000AF290000}"/>
    <cellStyle name="Notas 2 2 2 3 6" xfId="7940" xr:uid="{00000000-0005-0000-0000-0000B0290000}"/>
    <cellStyle name="Notas 2 2 2 4" xfId="617" xr:uid="{00000000-0005-0000-0000-0000B1290000}"/>
    <cellStyle name="Notas 2 2 2 4 2" xfId="1563" xr:uid="{00000000-0005-0000-0000-0000B2290000}"/>
    <cellStyle name="Notas 2 2 2 4 2 2" xfId="3453" xr:uid="{00000000-0005-0000-0000-0000B3290000}"/>
    <cellStyle name="Notas 2 2 2 4 2 2 2" xfId="7232" xr:uid="{00000000-0005-0000-0000-0000B4290000}"/>
    <cellStyle name="Notas 2 2 2 4 2 2 3" xfId="11008" xr:uid="{00000000-0005-0000-0000-0000B5290000}"/>
    <cellStyle name="Notas 2 2 2 4 2 3" xfId="5344" xr:uid="{00000000-0005-0000-0000-0000B6290000}"/>
    <cellStyle name="Notas 2 2 2 4 2 4" xfId="9120" xr:uid="{00000000-0005-0000-0000-0000B7290000}"/>
    <cellStyle name="Notas 2 2 2 4 3" xfId="2509" xr:uid="{00000000-0005-0000-0000-0000B8290000}"/>
    <cellStyle name="Notas 2 2 2 4 3 2" xfId="6288" xr:uid="{00000000-0005-0000-0000-0000B9290000}"/>
    <cellStyle name="Notas 2 2 2 4 3 3" xfId="10064" xr:uid="{00000000-0005-0000-0000-0000BA290000}"/>
    <cellStyle name="Notas 2 2 2 4 4" xfId="4400" xr:uid="{00000000-0005-0000-0000-0000BB290000}"/>
    <cellStyle name="Notas 2 2 2 4 5" xfId="8176" xr:uid="{00000000-0005-0000-0000-0000BC290000}"/>
    <cellStyle name="Notas 2 2 2 5" xfId="1091" xr:uid="{00000000-0005-0000-0000-0000BD290000}"/>
    <cellStyle name="Notas 2 2 2 5 2" xfId="2981" xr:uid="{00000000-0005-0000-0000-0000BE290000}"/>
    <cellStyle name="Notas 2 2 2 5 2 2" xfId="6760" xr:uid="{00000000-0005-0000-0000-0000BF290000}"/>
    <cellStyle name="Notas 2 2 2 5 2 3" xfId="10536" xr:uid="{00000000-0005-0000-0000-0000C0290000}"/>
    <cellStyle name="Notas 2 2 2 5 3" xfId="4872" xr:uid="{00000000-0005-0000-0000-0000C1290000}"/>
    <cellStyle name="Notas 2 2 2 5 4" xfId="8648" xr:uid="{00000000-0005-0000-0000-0000C2290000}"/>
    <cellStyle name="Notas 2 2 2 6" xfId="2037" xr:uid="{00000000-0005-0000-0000-0000C3290000}"/>
    <cellStyle name="Notas 2 2 2 6 2" xfId="5816" xr:uid="{00000000-0005-0000-0000-0000C4290000}"/>
    <cellStyle name="Notas 2 2 2 6 3" xfId="9592" xr:uid="{00000000-0005-0000-0000-0000C5290000}"/>
    <cellStyle name="Notas 2 2 2 7" xfId="3928" xr:uid="{00000000-0005-0000-0000-0000C6290000}"/>
    <cellStyle name="Notas 2 2 2 8" xfId="7704" xr:uid="{00000000-0005-0000-0000-0000C7290000}"/>
    <cellStyle name="Notas 2 2 3" xfId="200" xr:uid="{00000000-0005-0000-0000-0000C8290000}"/>
    <cellStyle name="Notas 2 2 3 2" xfId="438" xr:uid="{00000000-0005-0000-0000-0000C9290000}"/>
    <cellStyle name="Notas 2 2 3 2 2" xfId="912" xr:uid="{00000000-0005-0000-0000-0000CA290000}"/>
    <cellStyle name="Notas 2 2 3 2 2 2" xfId="1858" xr:uid="{00000000-0005-0000-0000-0000CB290000}"/>
    <cellStyle name="Notas 2 2 3 2 2 2 2" xfId="3748" xr:uid="{00000000-0005-0000-0000-0000CC290000}"/>
    <cellStyle name="Notas 2 2 3 2 2 2 2 2" xfId="7527" xr:uid="{00000000-0005-0000-0000-0000CD290000}"/>
    <cellStyle name="Notas 2 2 3 2 2 2 2 3" xfId="11303" xr:uid="{00000000-0005-0000-0000-0000CE290000}"/>
    <cellStyle name="Notas 2 2 3 2 2 2 3" xfId="5639" xr:uid="{00000000-0005-0000-0000-0000CF290000}"/>
    <cellStyle name="Notas 2 2 3 2 2 2 4" xfId="9415" xr:uid="{00000000-0005-0000-0000-0000D0290000}"/>
    <cellStyle name="Notas 2 2 3 2 2 3" xfId="2804" xr:uid="{00000000-0005-0000-0000-0000D1290000}"/>
    <cellStyle name="Notas 2 2 3 2 2 3 2" xfId="6583" xr:uid="{00000000-0005-0000-0000-0000D2290000}"/>
    <cellStyle name="Notas 2 2 3 2 2 3 3" xfId="10359" xr:uid="{00000000-0005-0000-0000-0000D3290000}"/>
    <cellStyle name="Notas 2 2 3 2 2 4" xfId="4695" xr:uid="{00000000-0005-0000-0000-0000D4290000}"/>
    <cellStyle name="Notas 2 2 3 2 2 5" xfId="8471" xr:uid="{00000000-0005-0000-0000-0000D5290000}"/>
    <cellStyle name="Notas 2 2 3 2 3" xfId="1386" xr:uid="{00000000-0005-0000-0000-0000D6290000}"/>
    <cellStyle name="Notas 2 2 3 2 3 2" xfId="3276" xr:uid="{00000000-0005-0000-0000-0000D7290000}"/>
    <cellStyle name="Notas 2 2 3 2 3 2 2" xfId="7055" xr:uid="{00000000-0005-0000-0000-0000D8290000}"/>
    <cellStyle name="Notas 2 2 3 2 3 2 3" xfId="10831" xr:uid="{00000000-0005-0000-0000-0000D9290000}"/>
    <cellStyle name="Notas 2 2 3 2 3 3" xfId="5167" xr:uid="{00000000-0005-0000-0000-0000DA290000}"/>
    <cellStyle name="Notas 2 2 3 2 3 4" xfId="8943" xr:uid="{00000000-0005-0000-0000-0000DB290000}"/>
    <cellStyle name="Notas 2 2 3 2 4" xfId="2332" xr:uid="{00000000-0005-0000-0000-0000DC290000}"/>
    <cellStyle name="Notas 2 2 3 2 4 2" xfId="6111" xr:uid="{00000000-0005-0000-0000-0000DD290000}"/>
    <cellStyle name="Notas 2 2 3 2 4 3" xfId="9887" xr:uid="{00000000-0005-0000-0000-0000DE290000}"/>
    <cellStyle name="Notas 2 2 3 2 5" xfId="4223" xr:uid="{00000000-0005-0000-0000-0000DF290000}"/>
    <cellStyle name="Notas 2 2 3 2 6" xfId="7999" xr:uid="{00000000-0005-0000-0000-0000E0290000}"/>
    <cellStyle name="Notas 2 2 3 3" xfId="676" xr:uid="{00000000-0005-0000-0000-0000E1290000}"/>
    <cellStyle name="Notas 2 2 3 3 2" xfId="1622" xr:uid="{00000000-0005-0000-0000-0000E2290000}"/>
    <cellStyle name="Notas 2 2 3 3 2 2" xfId="3512" xr:uid="{00000000-0005-0000-0000-0000E3290000}"/>
    <cellStyle name="Notas 2 2 3 3 2 2 2" xfId="7291" xr:uid="{00000000-0005-0000-0000-0000E4290000}"/>
    <cellStyle name="Notas 2 2 3 3 2 2 3" xfId="11067" xr:uid="{00000000-0005-0000-0000-0000E5290000}"/>
    <cellStyle name="Notas 2 2 3 3 2 3" xfId="5403" xr:uid="{00000000-0005-0000-0000-0000E6290000}"/>
    <cellStyle name="Notas 2 2 3 3 2 4" xfId="9179" xr:uid="{00000000-0005-0000-0000-0000E7290000}"/>
    <cellStyle name="Notas 2 2 3 3 3" xfId="2568" xr:uid="{00000000-0005-0000-0000-0000E8290000}"/>
    <cellStyle name="Notas 2 2 3 3 3 2" xfId="6347" xr:uid="{00000000-0005-0000-0000-0000E9290000}"/>
    <cellStyle name="Notas 2 2 3 3 3 3" xfId="10123" xr:uid="{00000000-0005-0000-0000-0000EA290000}"/>
    <cellStyle name="Notas 2 2 3 3 4" xfId="4459" xr:uid="{00000000-0005-0000-0000-0000EB290000}"/>
    <cellStyle name="Notas 2 2 3 3 5" xfId="8235" xr:uid="{00000000-0005-0000-0000-0000EC290000}"/>
    <cellStyle name="Notas 2 2 3 4" xfId="1150" xr:uid="{00000000-0005-0000-0000-0000ED290000}"/>
    <cellStyle name="Notas 2 2 3 4 2" xfId="3040" xr:uid="{00000000-0005-0000-0000-0000EE290000}"/>
    <cellStyle name="Notas 2 2 3 4 2 2" xfId="6819" xr:uid="{00000000-0005-0000-0000-0000EF290000}"/>
    <cellStyle name="Notas 2 2 3 4 2 3" xfId="10595" xr:uid="{00000000-0005-0000-0000-0000F0290000}"/>
    <cellStyle name="Notas 2 2 3 4 3" xfId="4931" xr:uid="{00000000-0005-0000-0000-0000F1290000}"/>
    <cellStyle name="Notas 2 2 3 4 4" xfId="8707" xr:uid="{00000000-0005-0000-0000-0000F2290000}"/>
    <cellStyle name="Notas 2 2 3 5" xfId="2096" xr:uid="{00000000-0005-0000-0000-0000F3290000}"/>
    <cellStyle name="Notas 2 2 3 5 2" xfId="5875" xr:uid="{00000000-0005-0000-0000-0000F4290000}"/>
    <cellStyle name="Notas 2 2 3 5 3" xfId="9651" xr:uid="{00000000-0005-0000-0000-0000F5290000}"/>
    <cellStyle name="Notas 2 2 3 6" xfId="3987" xr:uid="{00000000-0005-0000-0000-0000F6290000}"/>
    <cellStyle name="Notas 2 2 3 7" xfId="7763" xr:uid="{00000000-0005-0000-0000-0000F7290000}"/>
    <cellStyle name="Notas 2 2 4" xfId="320" xr:uid="{00000000-0005-0000-0000-0000F8290000}"/>
    <cellStyle name="Notas 2 2 4 2" xfId="794" xr:uid="{00000000-0005-0000-0000-0000F9290000}"/>
    <cellStyle name="Notas 2 2 4 2 2" xfId="1740" xr:uid="{00000000-0005-0000-0000-0000FA290000}"/>
    <cellStyle name="Notas 2 2 4 2 2 2" xfId="3630" xr:uid="{00000000-0005-0000-0000-0000FB290000}"/>
    <cellStyle name="Notas 2 2 4 2 2 2 2" xfId="7409" xr:uid="{00000000-0005-0000-0000-0000FC290000}"/>
    <cellStyle name="Notas 2 2 4 2 2 2 3" xfId="11185" xr:uid="{00000000-0005-0000-0000-0000FD290000}"/>
    <cellStyle name="Notas 2 2 4 2 2 3" xfId="5521" xr:uid="{00000000-0005-0000-0000-0000FE290000}"/>
    <cellStyle name="Notas 2 2 4 2 2 4" xfId="9297" xr:uid="{00000000-0005-0000-0000-0000FF290000}"/>
    <cellStyle name="Notas 2 2 4 2 3" xfId="2686" xr:uid="{00000000-0005-0000-0000-0000002A0000}"/>
    <cellStyle name="Notas 2 2 4 2 3 2" xfId="6465" xr:uid="{00000000-0005-0000-0000-0000012A0000}"/>
    <cellStyle name="Notas 2 2 4 2 3 3" xfId="10241" xr:uid="{00000000-0005-0000-0000-0000022A0000}"/>
    <cellStyle name="Notas 2 2 4 2 4" xfId="4577" xr:uid="{00000000-0005-0000-0000-0000032A0000}"/>
    <cellStyle name="Notas 2 2 4 2 5" xfId="8353" xr:uid="{00000000-0005-0000-0000-0000042A0000}"/>
    <cellStyle name="Notas 2 2 4 3" xfId="1268" xr:uid="{00000000-0005-0000-0000-0000052A0000}"/>
    <cellStyle name="Notas 2 2 4 3 2" xfId="3158" xr:uid="{00000000-0005-0000-0000-0000062A0000}"/>
    <cellStyle name="Notas 2 2 4 3 2 2" xfId="6937" xr:uid="{00000000-0005-0000-0000-0000072A0000}"/>
    <cellStyle name="Notas 2 2 4 3 2 3" xfId="10713" xr:uid="{00000000-0005-0000-0000-0000082A0000}"/>
    <cellStyle name="Notas 2 2 4 3 3" xfId="5049" xr:uid="{00000000-0005-0000-0000-0000092A0000}"/>
    <cellStyle name="Notas 2 2 4 3 4" xfId="8825" xr:uid="{00000000-0005-0000-0000-00000A2A0000}"/>
    <cellStyle name="Notas 2 2 4 4" xfId="2214" xr:uid="{00000000-0005-0000-0000-00000B2A0000}"/>
    <cellStyle name="Notas 2 2 4 4 2" xfId="5993" xr:uid="{00000000-0005-0000-0000-00000C2A0000}"/>
    <cellStyle name="Notas 2 2 4 4 3" xfId="9769" xr:uid="{00000000-0005-0000-0000-00000D2A0000}"/>
    <cellStyle name="Notas 2 2 4 5" xfId="4105" xr:uid="{00000000-0005-0000-0000-00000E2A0000}"/>
    <cellStyle name="Notas 2 2 4 6" xfId="7881" xr:uid="{00000000-0005-0000-0000-00000F2A0000}"/>
    <cellStyle name="Notas 2 2 5" xfId="558" xr:uid="{00000000-0005-0000-0000-0000102A0000}"/>
    <cellStyle name="Notas 2 2 5 2" xfId="1504" xr:uid="{00000000-0005-0000-0000-0000112A0000}"/>
    <cellStyle name="Notas 2 2 5 2 2" xfId="3394" xr:uid="{00000000-0005-0000-0000-0000122A0000}"/>
    <cellStyle name="Notas 2 2 5 2 2 2" xfId="7173" xr:uid="{00000000-0005-0000-0000-0000132A0000}"/>
    <cellStyle name="Notas 2 2 5 2 2 3" xfId="10949" xr:uid="{00000000-0005-0000-0000-0000142A0000}"/>
    <cellStyle name="Notas 2 2 5 2 3" xfId="5285" xr:uid="{00000000-0005-0000-0000-0000152A0000}"/>
    <cellStyle name="Notas 2 2 5 2 4" xfId="9061" xr:uid="{00000000-0005-0000-0000-0000162A0000}"/>
    <cellStyle name="Notas 2 2 5 3" xfId="2450" xr:uid="{00000000-0005-0000-0000-0000172A0000}"/>
    <cellStyle name="Notas 2 2 5 3 2" xfId="6229" xr:uid="{00000000-0005-0000-0000-0000182A0000}"/>
    <cellStyle name="Notas 2 2 5 3 3" xfId="10005" xr:uid="{00000000-0005-0000-0000-0000192A0000}"/>
    <cellStyle name="Notas 2 2 5 4" xfId="4341" xr:uid="{00000000-0005-0000-0000-00001A2A0000}"/>
    <cellStyle name="Notas 2 2 5 5" xfId="8117" xr:uid="{00000000-0005-0000-0000-00001B2A0000}"/>
    <cellStyle name="Notas 2 2 6" xfId="1032" xr:uid="{00000000-0005-0000-0000-00001C2A0000}"/>
    <cellStyle name="Notas 2 2 6 2" xfId="2922" xr:uid="{00000000-0005-0000-0000-00001D2A0000}"/>
    <cellStyle name="Notas 2 2 6 2 2" xfId="6701" xr:uid="{00000000-0005-0000-0000-00001E2A0000}"/>
    <cellStyle name="Notas 2 2 6 2 3" xfId="10477" xr:uid="{00000000-0005-0000-0000-00001F2A0000}"/>
    <cellStyle name="Notas 2 2 6 3" xfId="4813" xr:uid="{00000000-0005-0000-0000-0000202A0000}"/>
    <cellStyle name="Notas 2 2 6 4" xfId="8589" xr:uid="{00000000-0005-0000-0000-0000212A0000}"/>
    <cellStyle name="Notas 2 2 7" xfId="1978" xr:uid="{00000000-0005-0000-0000-0000222A0000}"/>
    <cellStyle name="Notas 2 2 7 2" xfId="5757" xr:uid="{00000000-0005-0000-0000-0000232A0000}"/>
    <cellStyle name="Notas 2 2 7 3" xfId="9533" xr:uid="{00000000-0005-0000-0000-0000242A0000}"/>
    <cellStyle name="Notas 2 2 8" xfId="3869" xr:uid="{00000000-0005-0000-0000-0000252A0000}"/>
    <cellStyle name="Notas 2 2 9" xfId="7645" xr:uid="{00000000-0005-0000-0000-0000262A0000}"/>
    <cellStyle name="Notas 2 3" xfId="107" xr:uid="{00000000-0005-0000-0000-0000272A0000}"/>
    <cellStyle name="Notas 2 3 2" xfId="230" xr:uid="{00000000-0005-0000-0000-0000282A0000}"/>
    <cellStyle name="Notas 2 3 2 2" xfId="468" xr:uid="{00000000-0005-0000-0000-0000292A0000}"/>
    <cellStyle name="Notas 2 3 2 2 2" xfId="942" xr:uid="{00000000-0005-0000-0000-00002A2A0000}"/>
    <cellStyle name="Notas 2 3 2 2 2 2" xfId="1888" xr:uid="{00000000-0005-0000-0000-00002B2A0000}"/>
    <cellStyle name="Notas 2 3 2 2 2 2 2" xfId="3778" xr:uid="{00000000-0005-0000-0000-00002C2A0000}"/>
    <cellStyle name="Notas 2 3 2 2 2 2 2 2" xfId="7557" xr:uid="{00000000-0005-0000-0000-00002D2A0000}"/>
    <cellStyle name="Notas 2 3 2 2 2 2 2 3" xfId="11333" xr:uid="{00000000-0005-0000-0000-00002E2A0000}"/>
    <cellStyle name="Notas 2 3 2 2 2 2 3" xfId="5669" xr:uid="{00000000-0005-0000-0000-00002F2A0000}"/>
    <cellStyle name="Notas 2 3 2 2 2 2 4" xfId="9445" xr:uid="{00000000-0005-0000-0000-0000302A0000}"/>
    <cellStyle name="Notas 2 3 2 2 2 3" xfId="2834" xr:uid="{00000000-0005-0000-0000-0000312A0000}"/>
    <cellStyle name="Notas 2 3 2 2 2 3 2" xfId="6613" xr:uid="{00000000-0005-0000-0000-0000322A0000}"/>
    <cellStyle name="Notas 2 3 2 2 2 3 3" xfId="10389" xr:uid="{00000000-0005-0000-0000-0000332A0000}"/>
    <cellStyle name="Notas 2 3 2 2 2 4" xfId="4725" xr:uid="{00000000-0005-0000-0000-0000342A0000}"/>
    <cellStyle name="Notas 2 3 2 2 2 5" xfId="8501" xr:uid="{00000000-0005-0000-0000-0000352A0000}"/>
    <cellStyle name="Notas 2 3 2 2 3" xfId="1416" xr:uid="{00000000-0005-0000-0000-0000362A0000}"/>
    <cellStyle name="Notas 2 3 2 2 3 2" xfId="3306" xr:uid="{00000000-0005-0000-0000-0000372A0000}"/>
    <cellStyle name="Notas 2 3 2 2 3 2 2" xfId="7085" xr:uid="{00000000-0005-0000-0000-0000382A0000}"/>
    <cellStyle name="Notas 2 3 2 2 3 2 3" xfId="10861" xr:uid="{00000000-0005-0000-0000-0000392A0000}"/>
    <cellStyle name="Notas 2 3 2 2 3 3" xfId="5197" xr:uid="{00000000-0005-0000-0000-00003A2A0000}"/>
    <cellStyle name="Notas 2 3 2 2 3 4" xfId="8973" xr:uid="{00000000-0005-0000-0000-00003B2A0000}"/>
    <cellStyle name="Notas 2 3 2 2 4" xfId="2362" xr:uid="{00000000-0005-0000-0000-00003C2A0000}"/>
    <cellStyle name="Notas 2 3 2 2 4 2" xfId="6141" xr:uid="{00000000-0005-0000-0000-00003D2A0000}"/>
    <cellStyle name="Notas 2 3 2 2 4 3" xfId="9917" xr:uid="{00000000-0005-0000-0000-00003E2A0000}"/>
    <cellStyle name="Notas 2 3 2 2 5" xfId="4253" xr:uid="{00000000-0005-0000-0000-00003F2A0000}"/>
    <cellStyle name="Notas 2 3 2 2 6" xfId="8029" xr:uid="{00000000-0005-0000-0000-0000402A0000}"/>
    <cellStyle name="Notas 2 3 2 3" xfId="706" xr:uid="{00000000-0005-0000-0000-0000412A0000}"/>
    <cellStyle name="Notas 2 3 2 3 2" xfId="1652" xr:uid="{00000000-0005-0000-0000-0000422A0000}"/>
    <cellStyle name="Notas 2 3 2 3 2 2" xfId="3542" xr:uid="{00000000-0005-0000-0000-0000432A0000}"/>
    <cellStyle name="Notas 2 3 2 3 2 2 2" xfId="7321" xr:uid="{00000000-0005-0000-0000-0000442A0000}"/>
    <cellStyle name="Notas 2 3 2 3 2 2 3" xfId="11097" xr:uid="{00000000-0005-0000-0000-0000452A0000}"/>
    <cellStyle name="Notas 2 3 2 3 2 3" xfId="5433" xr:uid="{00000000-0005-0000-0000-0000462A0000}"/>
    <cellStyle name="Notas 2 3 2 3 2 4" xfId="9209" xr:uid="{00000000-0005-0000-0000-0000472A0000}"/>
    <cellStyle name="Notas 2 3 2 3 3" xfId="2598" xr:uid="{00000000-0005-0000-0000-0000482A0000}"/>
    <cellStyle name="Notas 2 3 2 3 3 2" xfId="6377" xr:uid="{00000000-0005-0000-0000-0000492A0000}"/>
    <cellStyle name="Notas 2 3 2 3 3 3" xfId="10153" xr:uid="{00000000-0005-0000-0000-00004A2A0000}"/>
    <cellStyle name="Notas 2 3 2 3 4" xfId="4489" xr:uid="{00000000-0005-0000-0000-00004B2A0000}"/>
    <cellStyle name="Notas 2 3 2 3 5" xfId="8265" xr:uid="{00000000-0005-0000-0000-00004C2A0000}"/>
    <cellStyle name="Notas 2 3 2 4" xfId="1180" xr:uid="{00000000-0005-0000-0000-00004D2A0000}"/>
    <cellStyle name="Notas 2 3 2 4 2" xfId="3070" xr:uid="{00000000-0005-0000-0000-00004E2A0000}"/>
    <cellStyle name="Notas 2 3 2 4 2 2" xfId="6849" xr:uid="{00000000-0005-0000-0000-00004F2A0000}"/>
    <cellStyle name="Notas 2 3 2 4 2 3" xfId="10625" xr:uid="{00000000-0005-0000-0000-0000502A0000}"/>
    <cellStyle name="Notas 2 3 2 4 3" xfId="4961" xr:uid="{00000000-0005-0000-0000-0000512A0000}"/>
    <cellStyle name="Notas 2 3 2 4 4" xfId="8737" xr:uid="{00000000-0005-0000-0000-0000522A0000}"/>
    <cellStyle name="Notas 2 3 2 5" xfId="2126" xr:uid="{00000000-0005-0000-0000-0000532A0000}"/>
    <cellStyle name="Notas 2 3 2 5 2" xfId="5905" xr:uid="{00000000-0005-0000-0000-0000542A0000}"/>
    <cellStyle name="Notas 2 3 2 5 3" xfId="9681" xr:uid="{00000000-0005-0000-0000-0000552A0000}"/>
    <cellStyle name="Notas 2 3 2 6" xfId="4017" xr:uid="{00000000-0005-0000-0000-0000562A0000}"/>
    <cellStyle name="Notas 2 3 2 7" xfId="7793" xr:uid="{00000000-0005-0000-0000-0000572A0000}"/>
    <cellStyle name="Notas 2 3 3" xfId="350" xr:uid="{00000000-0005-0000-0000-0000582A0000}"/>
    <cellStyle name="Notas 2 3 3 2" xfId="824" xr:uid="{00000000-0005-0000-0000-0000592A0000}"/>
    <cellStyle name="Notas 2 3 3 2 2" xfId="1770" xr:uid="{00000000-0005-0000-0000-00005A2A0000}"/>
    <cellStyle name="Notas 2 3 3 2 2 2" xfId="3660" xr:uid="{00000000-0005-0000-0000-00005B2A0000}"/>
    <cellStyle name="Notas 2 3 3 2 2 2 2" xfId="7439" xr:uid="{00000000-0005-0000-0000-00005C2A0000}"/>
    <cellStyle name="Notas 2 3 3 2 2 2 3" xfId="11215" xr:uid="{00000000-0005-0000-0000-00005D2A0000}"/>
    <cellStyle name="Notas 2 3 3 2 2 3" xfId="5551" xr:uid="{00000000-0005-0000-0000-00005E2A0000}"/>
    <cellStyle name="Notas 2 3 3 2 2 4" xfId="9327" xr:uid="{00000000-0005-0000-0000-00005F2A0000}"/>
    <cellStyle name="Notas 2 3 3 2 3" xfId="2716" xr:uid="{00000000-0005-0000-0000-0000602A0000}"/>
    <cellStyle name="Notas 2 3 3 2 3 2" xfId="6495" xr:uid="{00000000-0005-0000-0000-0000612A0000}"/>
    <cellStyle name="Notas 2 3 3 2 3 3" xfId="10271" xr:uid="{00000000-0005-0000-0000-0000622A0000}"/>
    <cellStyle name="Notas 2 3 3 2 4" xfId="4607" xr:uid="{00000000-0005-0000-0000-0000632A0000}"/>
    <cellStyle name="Notas 2 3 3 2 5" xfId="8383" xr:uid="{00000000-0005-0000-0000-0000642A0000}"/>
    <cellStyle name="Notas 2 3 3 3" xfId="1298" xr:uid="{00000000-0005-0000-0000-0000652A0000}"/>
    <cellStyle name="Notas 2 3 3 3 2" xfId="3188" xr:uid="{00000000-0005-0000-0000-0000662A0000}"/>
    <cellStyle name="Notas 2 3 3 3 2 2" xfId="6967" xr:uid="{00000000-0005-0000-0000-0000672A0000}"/>
    <cellStyle name="Notas 2 3 3 3 2 3" xfId="10743" xr:uid="{00000000-0005-0000-0000-0000682A0000}"/>
    <cellStyle name="Notas 2 3 3 3 3" xfId="5079" xr:uid="{00000000-0005-0000-0000-0000692A0000}"/>
    <cellStyle name="Notas 2 3 3 3 4" xfId="8855" xr:uid="{00000000-0005-0000-0000-00006A2A0000}"/>
    <cellStyle name="Notas 2 3 3 4" xfId="2244" xr:uid="{00000000-0005-0000-0000-00006B2A0000}"/>
    <cellStyle name="Notas 2 3 3 4 2" xfId="6023" xr:uid="{00000000-0005-0000-0000-00006C2A0000}"/>
    <cellStyle name="Notas 2 3 3 4 3" xfId="9799" xr:uid="{00000000-0005-0000-0000-00006D2A0000}"/>
    <cellStyle name="Notas 2 3 3 5" xfId="4135" xr:uid="{00000000-0005-0000-0000-00006E2A0000}"/>
    <cellStyle name="Notas 2 3 3 6" xfId="7911" xr:uid="{00000000-0005-0000-0000-00006F2A0000}"/>
    <cellStyle name="Notas 2 3 4" xfId="588" xr:uid="{00000000-0005-0000-0000-0000702A0000}"/>
    <cellStyle name="Notas 2 3 4 2" xfId="1534" xr:uid="{00000000-0005-0000-0000-0000712A0000}"/>
    <cellStyle name="Notas 2 3 4 2 2" xfId="3424" xr:uid="{00000000-0005-0000-0000-0000722A0000}"/>
    <cellStyle name="Notas 2 3 4 2 2 2" xfId="7203" xr:uid="{00000000-0005-0000-0000-0000732A0000}"/>
    <cellStyle name="Notas 2 3 4 2 2 3" xfId="10979" xr:uid="{00000000-0005-0000-0000-0000742A0000}"/>
    <cellStyle name="Notas 2 3 4 2 3" xfId="5315" xr:uid="{00000000-0005-0000-0000-0000752A0000}"/>
    <cellStyle name="Notas 2 3 4 2 4" xfId="9091" xr:uid="{00000000-0005-0000-0000-0000762A0000}"/>
    <cellStyle name="Notas 2 3 4 3" xfId="2480" xr:uid="{00000000-0005-0000-0000-0000772A0000}"/>
    <cellStyle name="Notas 2 3 4 3 2" xfId="6259" xr:uid="{00000000-0005-0000-0000-0000782A0000}"/>
    <cellStyle name="Notas 2 3 4 3 3" xfId="10035" xr:uid="{00000000-0005-0000-0000-0000792A0000}"/>
    <cellStyle name="Notas 2 3 4 4" xfId="4371" xr:uid="{00000000-0005-0000-0000-00007A2A0000}"/>
    <cellStyle name="Notas 2 3 4 5" xfId="8147" xr:uid="{00000000-0005-0000-0000-00007B2A0000}"/>
    <cellStyle name="Notas 2 3 5" xfId="1062" xr:uid="{00000000-0005-0000-0000-00007C2A0000}"/>
    <cellStyle name="Notas 2 3 5 2" xfId="2952" xr:uid="{00000000-0005-0000-0000-00007D2A0000}"/>
    <cellStyle name="Notas 2 3 5 2 2" xfId="6731" xr:uid="{00000000-0005-0000-0000-00007E2A0000}"/>
    <cellStyle name="Notas 2 3 5 2 3" xfId="10507" xr:uid="{00000000-0005-0000-0000-00007F2A0000}"/>
    <cellStyle name="Notas 2 3 5 3" xfId="4843" xr:uid="{00000000-0005-0000-0000-0000802A0000}"/>
    <cellStyle name="Notas 2 3 5 4" xfId="8619" xr:uid="{00000000-0005-0000-0000-0000812A0000}"/>
    <cellStyle name="Notas 2 3 6" xfId="2008" xr:uid="{00000000-0005-0000-0000-0000822A0000}"/>
    <cellStyle name="Notas 2 3 6 2" xfId="5787" xr:uid="{00000000-0005-0000-0000-0000832A0000}"/>
    <cellStyle name="Notas 2 3 6 3" xfId="9563" xr:uid="{00000000-0005-0000-0000-0000842A0000}"/>
    <cellStyle name="Notas 2 3 7" xfId="3899" xr:uid="{00000000-0005-0000-0000-0000852A0000}"/>
    <cellStyle name="Notas 2 3 8" xfId="7675" xr:uid="{00000000-0005-0000-0000-0000862A0000}"/>
    <cellStyle name="Notas 2 4" xfId="171" xr:uid="{00000000-0005-0000-0000-0000872A0000}"/>
    <cellStyle name="Notas 2 4 2" xfId="409" xr:uid="{00000000-0005-0000-0000-0000882A0000}"/>
    <cellStyle name="Notas 2 4 2 2" xfId="883" xr:uid="{00000000-0005-0000-0000-0000892A0000}"/>
    <cellStyle name="Notas 2 4 2 2 2" xfId="1829" xr:uid="{00000000-0005-0000-0000-00008A2A0000}"/>
    <cellStyle name="Notas 2 4 2 2 2 2" xfId="3719" xr:uid="{00000000-0005-0000-0000-00008B2A0000}"/>
    <cellStyle name="Notas 2 4 2 2 2 2 2" xfId="7498" xr:uid="{00000000-0005-0000-0000-00008C2A0000}"/>
    <cellStyle name="Notas 2 4 2 2 2 2 3" xfId="11274" xr:uid="{00000000-0005-0000-0000-00008D2A0000}"/>
    <cellStyle name="Notas 2 4 2 2 2 3" xfId="5610" xr:uid="{00000000-0005-0000-0000-00008E2A0000}"/>
    <cellStyle name="Notas 2 4 2 2 2 4" xfId="9386" xr:uid="{00000000-0005-0000-0000-00008F2A0000}"/>
    <cellStyle name="Notas 2 4 2 2 3" xfId="2775" xr:uid="{00000000-0005-0000-0000-0000902A0000}"/>
    <cellStyle name="Notas 2 4 2 2 3 2" xfId="6554" xr:uid="{00000000-0005-0000-0000-0000912A0000}"/>
    <cellStyle name="Notas 2 4 2 2 3 3" xfId="10330" xr:uid="{00000000-0005-0000-0000-0000922A0000}"/>
    <cellStyle name="Notas 2 4 2 2 4" xfId="4666" xr:uid="{00000000-0005-0000-0000-0000932A0000}"/>
    <cellStyle name="Notas 2 4 2 2 5" xfId="8442" xr:uid="{00000000-0005-0000-0000-0000942A0000}"/>
    <cellStyle name="Notas 2 4 2 3" xfId="1357" xr:uid="{00000000-0005-0000-0000-0000952A0000}"/>
    <cellStyle name="Notas 2 4 2 3 2" xfId="3247" xr:uid="{00000000-0005-0000-0000-0000962A0000}"/>
    <cellStyle name="Notas 2 4 2 3 2 2" xfId="7026" xr:uid="{00000000-0005-0000-0000-0000972A0000}"/>
    <cellStyle name="Notas 2 4 2 3 2 3" xfId="10802" xr:uid="{00000000-0005-0000-0000-0000982A0000}"/>
    <cellStyle name="Notas 2 4 2 3 3" xfId="5138" xr:uid="{00000000-0005-0000-0000-0000992A0000}"/>
    <cellStyle name="Notas 2 4 2 3 4" xfId="8914" xr:uid="{00000000-0005-0000-0000-00009A2A0000}"/>
    <cellStyle name="Notas 2 4 2 4" xfId="2303" xr:uid="{00000000-0005-0000-0000-00009B2A0000}"/>
    <cellStyle name="Notas 2 4 2 4 2" xfId="6082" xr:uid="{00000000-0005-0000-0000-00009C2A0000}"/>
    <cellStyle name="Notas 2 4 2 4 3" xfId="9858" xr:uid="{00000000-0005-0000-0000-00009D2A0000}"/>
    <cellStyle name="Notas 2 4 2 5" xfId="4194" xr:uid="{00000000-0005-0000-0000-00009E2A0000}"/>
    <cellStyle name="Notas 2 4 2 6" xfId="7970" xr:uid="{00000000-0005-0000-0000-00009F2A0000}"/>
    <cellStyle name="Notas 2 4 3" xfId="647" xr:uid="{00000000-0005-0000-0000-0000A02A0000}"/>
    <cellStyle name="Notas 2 4 3 2" xfId="1593" xr:uid="{00000000-0005-0000-0000-0000A12A0000}"/>
    <cellStyle name="Notas 2 4 3 2 2" xfId="3483" xr:uid="{00000000-0005-0000-0000-0000A22A0000}"/>
    <cellStyle name="Notas 2 4 3 2 2 2" xfId="7262" xr:uid="{00000000-0005-0000-0000-0000A32A0000}"/>
    <cellStyle name="Notas 2 4 3 2 2 3" xfId="11038" xr:uid="{00000000-0005-0000-0000-0000A42A0000}"/>
    <cellStyle name="Notas 2 4 3 2 3" xfId="5374" xr:uid="{00000000-0005-0000-0000-0000A52A0000}"/>
    <cellStyle name="Notas 2 4 3 2 4" xfId="9150" xr:uid="{00000000-0005-0000-0000-0000A62A0000}"/>
    <cellStyle name="Notas 2 4 3 3" xfId="2539" xr:uid="{00000000-0005-0000-0000-0000A72A0000}"/>
    <cellStyle name="Notas 2 4 3 3 2" xfId="6318" xr:uid="{00000000-0005-0000-0000-0000A82A0000}"/>
    <cellStyle name="Notas 2 4 3 3 3" xfId="10094" xr:uid="{00000000-0005-0000-0000-0000A92A0000}"/>
    <cellStyle name="Notas 2 4 3 4" xfId="4430" xr:uid="{00000000-0005-0000-0000-0000AA2A0000}"/>
    <cellStyle name="Notas 2 4 3 5" xfId="8206" xr:uid="{00000000-0005-0000-0000-0000AB2A0000}"/>
    <cellStyle name="Notas 2 4 4" xfId="1121" xr:uid="{00000000-0005-0000-0000-0000AC2A0000}"/>
    <cellStyle name="Notas 2 4 4 2" xfId="3011" xr:uid="{00000000-0005-0000-0000-0000AD2A0000}"/>
    <cellStyle name="Notas 2 4 4 2 2" xfId="6790" xr:uid="{00000000-0005-0000-0000-0000AE2A0000}"/>
    <cellStyle name="Notas 2 4 4 2 3" xfId="10566" xr:uid="{00000000-0005-0000-0000-0000AF2A0000}"/>
    <cellStyle name="Notas 2 4 4 3" xfId="4902" xr:uid="{00000000-0005-0000-0000-0000B02A0000}"/>
    <cellStyle name="Notas 2 4 4 4" xfId="8678" xr:uid="{00000000-0005-0000-0000-0000B12A0000}"/>
    <cellStyle name="Notas 2 4 5" xfId="2067" xr:uid="{00000000-0005-0000-0000-0000B22A0000}"/>
    <cellStyle name="Notas 2 4 5 2" xfId="5846" xr:uid="{00000000-0005-0000-0000-0000B32A0000}"/>
    <cellStyle name="Notas 2 4 5 3" xfId="9622" xr:uid="{00000000-0005-0000-0000-0000B42A0000}"/>
    <cellStyle name="Notas 2 4 6" xfId="3958" xr:uid="{00000000-0005-0000-0000-0000B52A0000}"/>
    <cellStyle name="Notas 2 4 7" xfId="7734" xr:uid="{00000000-0005-0000-0000-0000B62A0000}"/>
    <cellStyle name="Notas 2 5" xfId="291" xr:uid="{00000000-0005-0000-0000-0000B72A0000}"/>
    <cellStyle name="Notas 2 5 2" xfId="765" xr:uid="{00000000-0005-0000-0000-0000B82A0000}"/>
    <cellStyle name="Notas 2 5 2 2" xfId="1711" xr:uid="{00000000-0005-0000-0000-0000B92A0000}"/>
    <cellStyle name="Notas 2 5 2 2 2" xfId="3601" xr:uid="{00000000-0005-0000-0000-0000BA2A0000}"/>
    <cellStyle name="Notas 2 5 2 2 2 2" xfId="7380" xr:uid="{00000000-0005-0000-0000-0000BB2A0000}"/>
    <cellStyle name="Notas 2 5 2 2 2 3" xfId="11156" xr:uid="{00000000-0005-0000-0000-0000BC2A0000}"/>
    <cellStyle name="Notas 2 5 2 2 3" xfId="5492" xr:uid="{00000000-0005-0000-0000-0000BD2A0000}"/>
    <cellStyle name="Notas 2 5 2 2 4" xfId="9268" xr:uid="{00000000-0005-0000-0000-0000BE2A0000}"/>
    <cellStyle name="Notas 2 5 2 3" xfId="2657" xr:uid="{00000000-0005-0000-0000-0000BF2A0000}"/>
    <cellStyle name="Notas 2 5 2 3 2" xfId="6436" xr:uid="{00000000-0005-0000-0000-0000C02A0000}"/>
    <cellStyle name="Notas 2 5 2 3 3" xfId="10212" xr:uid="{00000000-0005-0000-0000-0000C12A0000}"/>
    <cellStyle name="Notas 2 5 2 4" xfId="4548" xr:uid="{00000000-0005-0000-0000-0000C22A0000}"/>
    <cellStyle name="Notas 2 5 2 5" xfId="8324" xr:uid="{00000000-0005-0000-0000-0000C32A0000}"/>
    <cellStyle name="Notas 2 5 3" xfId="1239" xr:uid="{00000000-0005-0000-0000-0000C42A0000}"/>
    <cellStyle name="Notas 2 5 3 2" xfId="3129" xr:uid="{00000000-0005-0000-0000-0000C52A0000}"/>
    <cellStyle name="Notas 2 5 3 2 2" xfId="6908" xr:uid="{00000000-0005-0000-0000-0000C62A0000}"/>
    <cellStyle name="Notas 2 5 3 2 3" xfId="10684" xr:uid="{00000000-0005-0000-0000-0000C72A0000}"/>
    <cellStyle name="Notas 2 5 3 3" xfId="5020" xr:uid="{00000000-0005-0000-0000-0000C82A0000}"/>
    <cellStyle name="Notas 2 5 3 4" xfId="8796" xr:uid="{00000000-0005-0000-0000-0000C92A0000}"/>
    <cellStyle name="Notas 2 5 4" xfId="2185" xr:uid="{00000000-0005-0000-0000-0000CA2A0000}"/>
    <cellStyle name="Notas 2 5 4 2" xfId="5964" xr:uid="{00000000-0005-0000-0000-0000CB2A0000}"/>
    <cellStyle name="Notas 2 5 4 3" xfId="9740" xr:uid="{00000000-0005-0000-0000-0000CC2A0000}"/>
    <cellStyle name="Notas 2 5 5" xfId="4076" xr:uid="{00000000-0005-0000-0000-0000CD2A0000}"/>
    <cellStyle name="Notas 2 5 6" xfId="7852" xr:uid="{00000000-0005-0000-0000-0000CE2A0000}"/>
    <cellStyle name="Notas 2 6" xfId="529" xr:uid="{00000000-0005-0000-0000-0000CF2A0000}"/>
    <cellStyle name="Notas 2 6 2" xfId="1475" xr:uid="{00000000-0005-0000-0000-0000D02A0000}"/>
    <cellStyle name="Notas 2 6 2 2" xfId="3365" xr:uid="{00000000-0005-0000-0000-0000D12A0000}"/>
    <cellStyle name="Notas 2 6 2 2 2" xfId="7144" xr:uid="{00000000-0005-0000-0000-0000D22A0000}"/>
    <cellStyle name="Notas 2 6 2 2 3" xfId="10920" xr:uid="{00000000-0005-0000-0000-0000D32A0000}"/>
    <cellStyle name="Notas 2 6 2 3" xfId="5256" xr:uid="{00000000-0005-0000-0000-0000D42A0000}"/>
    <cellStyle name="Notas 2 6 2 4" xfId="9032" xr:uid="{00000000-0005-0000-0000-0000D52A0000}"/>
    <cellStyle name="Notas 2 6 3" xfId="2421" xr:uid="{00000000-0005-0000-0000-0000D62A0000}"/>
    <cellStyle name="Notas 2 6 3 2" xfId="6200" xr:uid="{00000000-0005-0000-0000-0000D72A0000}"/>
    <cellStyle name="Notas 2 6 3 3" xfId="9976" xr:uid="{00000000-0005-0000-0000-0000D82A0000}"/>
    <cellStyle name="Notas 2 6 4" xfId="4312" xr:uid="{00000000-0005-0000-0000-0000D92A0000}"/>
    <cellStyle name="Notas 2 6 5" xfId="8088" xr:uid="{00000000-0005-0000-0000-0000DA2A0000}"/>
    <cellStyle name="Notas 2 7" xfId="1003" xr:uid="{00000000-0005-0000-0000-0000DB2A0000}"/>
    <cellStyle name="Notas 2 7 2" xfId="2893" xr:uid="{00000000-0005-0000-0000-0000DC2A0000}"/>
    <cellStyle name="Notas 2 7 2 2" xfId="6672" xr:uid="{00000000-0005-0000-0000-0000DD2A0000}"/>
    <cellStyle name="Notas 2 7 2 3" xfId="10448" xr:uid="{00000000-0005-0000-0000-0000DE2A0000}"/>
    <cellStyle name="Notas 2 7 3" xfId="4784" xr:uid="{00000000-0005-0000-0000-0000DF2A0000}"/>
    <cellStyle name="Notas 2 7 4" xfId="8560" xr:uid="{00000000-0005-0000-0000-0000E02A0000}"/>
    <cellStyle name="Notas 2 8" xfId="1949" xr:uid="{00000000-0005-0000-0000-0000E12A0000}"/>
    <cellStyle name="Notas 2 8 2" xfId="5728" xr:uid="{00000000-0005-0000-0000-0000E22A0000}"/>
    <cellStyle name="Notas 2 8 3" xfId="9504" xr:uid="{00000000-0005-0000-0000-0000E32A0000}"/>
    <cellStyle name="Notas 2 9" xfId="3840" xr:uid="{00000000-0005-0000-0000-0000E42A0000}"/>
    <cellStyle name="Notas 3" xfId="45" xr:uid="{00000000-0005-0000-0000-0000E52A0000}"/>
    <cellStyle name="Notas 3 10" xfId="7618" xr:uid="{00000000-0005-0000-0000-0000E62A0000}"/>
    <cellStyle name="Notas 3 2" xfId="76" xr:uid="{00000000-0005-0000-0000-0000E72A0000}"/>
    <cellStyle name="Notas 3 2 2" xfId="139" xr:uid="{00000000-0005-0000-0000-0000E82A0000}"/>
    <cellStyle name="Notas 3 2 2 2" xfId="261" xr:uid="{00000000-0005-0000-0000-0000E92A0000}"/>
    <cellStyle name="Notas 3 2 2 2 2" xfId="499" xr:uid="{00000000-0005-0000-0000-0000EA2A0000}"/>
    <cellStyle name="Notas 3 2 2 2 2 2" xfId="973" xr:uid="{00000000-0005-0000-0000-0000EB2A0000}"/>
    <cellStyle name="Notas 3 2 2 2 2 2 2" xfId="1919" xr:uid="{00000000-0005-0000-0000-0000EC2A0000}"/>
    <cellStyle name="Notas 3 2 2 2 2 2 2 2" xfId="3809" xr:uid="{00000000-0005-0000-0000-0000ED2A0000}"/>
    <cellStyle name="Notas 3 2 2 2 2 2 2 2 2" xfId="7588" xr:uid="{00000000-0005-0000-0000-0000EE2A0000}"/>
    <cellStyle name="Notas 3 2 2 2 2 2 2 2 3" xfId="11364" xr:uid="{00000000-0005-0000-0000-0000EF2A0000}"/>
    <cellStyle name="Notas 3 2 2 2 2 2 2 3" xfId="5700" xr:uid="{00000000-0005-0000-0000-0000F02A0000}"/>
    <cellStyle name="Notas 3 2 2 2 2 2 2 4" xfId="9476" xr:uid="{00000000-0005-0000-0000-0000F12A0000}"/>
    <cellStyle name="Notas 3 2 2 2 2 2 3" xfId="2865" xr:uid="{00000000-0005-0000-0000-0000F22A0000}"/>
    <cellStyle name="Notas 3 2 2 2 2 2 3 2" xfId="6644" xr:uid="{00000000-0005-0000-0000-0000F32A0000}"/>
    <cellStyle name="Notas 3 2 2 2 2 2 3 3" xfId="10420" xr:uid="{00000000-0005-0000-0000-0000F42A0000}"/>
    <cellStyle name="Notas 3 2 2 2 2 2 4" xfId="4756" xr:uid="{00000000-0005-0000-0000-0000F52A0000}"/>
    <cellStyle name="Notas 3 2 2 2 2 2 5" xfId="8532" xr:uid="{00000000-0005-0000-0000-0000F62A0000}"/>
    <cellStyle name="Notas 3 2 2 2 2 3" xfId="1447" xr:uid="{00000000-0005-0000-0000-0000F72A0000}"/>
    <cellStyle name="Notas 3 2 2 2 2 3 2" xfId="3337" xr:uid="{00000000-0005-0000-0000-0000F82A0000}"/>
    <cellStyle name="Notas 3 2 2 2 2 3 2 2" xfId="7116" xr:uid="{00000000-0005-0000-0000-0000F92A0000}"/>
    <cellStyle name="Notas 3 2 2 2 2 3 2 3" xfId="10892" xr:uid="{00000000-0005-0000-0000-0000FA2A0000}"/>
    <cellStyle name="Notas 3 2 2 2 2 3 3" xfId="5228" xr:uid="{00000000-0005-0000-0000-0000FB2A0000}"/>
    <cellStyle name="Notas 3 2 2 2 2 3 4" xfId="9004" xr:uid="{00000000-0005-0000-0000-0000FC2A0000}"/>
    <cellStyle name="Notas 3 2 2 2 2 4" xfId="2393" xr:uid="{00000000-0005-0000-0000-0000FD2A0000}"/>
    <cellStyle name="Notas 3 2 2 2 2 4 2" xfId="6172" xr:uid="{00000000-0005-0000-0000-0000FE2A0000}"/>
    <cellStyle name="Notas 3 2 2 2 2 4 3" xfId="9948" xr:uid="{00000000-0005-0000-0000-0000FF2A0000}"/>
    <cellStyle name="Notas 3 2 2 2 2 5" xfId="4284" xr:uid="{00000000-0005-0000-0000-0000002B0000}"/>
    <cellStyle name="Notas 3 2 2 2 2 6" xfId="8060" xr:uid="{00000000-0005-0000-0000-0000012B0000}"/>
    <cellStyle name="Notas 3 2 2 2 3" xfId="737" xr:uid="{00000000-0005-0000-0000-0000022B0000}"/>
    <cellStyle name="Notas 3 2 2 2 3 2" xfId="1683" xr:uid="{00000000-0005-0000-0000-0000032B0000}"/>
    <cellStyle name="Notas 3 2 2 2 3 2 2" xfId="3573" xr:uid="{00000000-0005-0000-0000-0000042B0000}"/>
    <cellStyle name="Notas 3 2 2 2 3 2 2 2" xfId="7352" xr:uid="{00000000-0005-0000-0000-0000052B0000}"/>
    <cellStyle name="Notas 3 2 2 2 3 2 2 3" xfId="11128" xr:uid="{00000000-0005-0000-0000-0000062B0000}"/>
    <cellStyle name="Notas 3 2 2 2 3 2 3" xfId="5464" xr:uid="{00000000-0005-0000-0000-0000072B0000}"/>
    <cellStyle name="Notas 3 2 2 2 3 2 4" xfId="9240" xr:uid="{00000000-0005-0000-0000-0000082B0000}"/>
    <cellStyle name="Notas 3 2 2 2 3 3" xfId="2629" xr:uid="{00000000-0005-0000-0000-0000092B0000}"/>
    <cellStyle name="Notas 3 2 2 2 3 3 2" xfId="6408" xr:uid="{00000000-0005-0000-0000-00000A2B0000}"/>
    <cellStyle name="Notas 3 2 2 2 3 3 3" xfId="10184" xr:uid="{00000000-0005-0000-0000-00000B2B0000}"/>
    <cellStyle name="Notas 3 2 2 2 3 4" xfId="4520" xr:uid="{00000000-0005-0000-0000-00000C2B0000}"/>
    <cellStyle name="Notas 3 2 2 2 3 5" xfId="8296" xr:uid="{00000000-0005-0000-0000-00000D2B0000}"/>
    <cellStyle name="Notas 3 2 2 2 4" xfId="1211" xr:uid="{00000000-0005-0000-0000-00000E2B0000}"/>
    <cellStyle name="Notas 3 2 2 2 4 2" xfId="3101" xr:uid="{00000000-0005-0000-0000-00000F2B0000}"/>
    <cellStyle name="Notas 3 2 2 2 4 2 2" xfId="6880" xr:uid="{00000000-0005-0000-0000-0000102B0000}"/>
    <cellStyle name="Notas 3 2 2 2 4 2 3" xfId="10656" xr:uid="{00000000-0005-0000-0000-0000112B0000}"/>
    <cellStyle name="Notas 3 2 2 2 4 3" xfId="4992" xr:uid="{00000000-0005-0000-0000-0000122B0000}"/>
    <cellStyle name="Notas 3 2 2 2 4 4" xfId="8768" xr:uid="{00000000-0005-0000-0000-0000132B0000}"/>
    <cellStyle name="Notas 3 2 2 2 5" xfId="2157" xr:uid="{00000000-0005-0000-0000-0000142B0000}"/>
    <cellStyle name="Notas 3 2 2 2 5 2" xfId="5936" xr:uid="{00000000-0005-0000-0000-0000152B0000}"/>
    <cellStyle name="Notas 3 2 2 2 5 3" xfId="9712" xr:uid="{00000000-0005-0000-0000-0000162B0000}"/>
    <cellStyle name="Notas 3 2 2 2 6" xfId="4048" xr:uid="{00000000-0005-0000-0000-0000172B0000}"/>
    <cellStyle name="Notas 3 2 2 2 7" xfId="7824" xr:uid="{00000000-0005-0000-0000-0000182B0000}"/>
    <cellStyle name="Notas 3 2 2 3" xfId="381" xr:uid="{00000000-0005-0000-0000-0000192B0000}"/>
    <cellStyle name="Notas 3 2 2 3 2" xfId="855" xr:uid="{00000000-0005-0000-0000-00001A2B0000}"/>
    <cellStyle name="Notas 3 2 2 3 2 2" xfId="1801" xr:uid="{00000000-0005-0000-0000-00001B2B0000}"/>
    <cellStyle name="Notas 3 2 2 3 2 2 2" xfId="3691" xr:uid="{00000000-0005-0000-0000-00001C2B0000}"/>
    <cellStyle name="Notas 3 2 2 3 2 2 2 2" xfId="7470" xr:uid="{00000000-0005-0000-0000-00001D2B0000}"/>
    <cellStyle name="Notas 3 2 2 3 2 2 2 3" xfId="11246" xr:uid="{00000000-0005-0000-0000-00001E2B0000}"/>
    <cellStyle name="Notas 3 2 2 3 2 2 3" xfId="5582" xr:uid="{00000000-0005-0000-0000-00001F2B0000}"/>
    <cellStyle name="Notas 3 2 2 3 2 2 4" xfId="9358" xr:uid="{00000000-0005-0000-0000-0000202B0000}"/>
    <cellStyle name="Notas 3 2 2 3 2 3" xfId="2747" xr:uid="{00000000-0005-0000-0000-0000212B0000}"/>
    <cellStyle name="Notas 3 2 2 3 2 3 2" xfId="6526" xr:uid="{00000000-0005-0000-0000-0000222B0000}"/>
    <cellStyle name="Notas 3 2 2 3 2 3 3" xfId="10302" xr:uid="{00000000-0005-0000-0000-0000232B0000}"/>
    <cellStyle name="Notas 3 2 2 3 2 4" xfId="4638" xr:uid="{00000000-0005-0000-0000-0000242B0000}"/>
    <cellStyle name="Notas 3 2 2 3 2 5" xfId="8414" xr:uid="{00000000-0005-0000-0000-0000252B0000}"/>
    <cellStyle name="Notas 3 2 2 3 3" xfId="1329" xr:uid="{00000000-0005-0000-0000-0000262B0000}"/>
    <cellStyle name="Notas 3 2 2 3 3 2" xfId="3219" xr:uid="{00000000-0005-0000-0000-0000272B0000}"/>
    <cellStyle name="Notas 3 2 2 3 3 2 2" xfId="6998" xr:uid="{00000000-0005-0000-0000-0000282B0000}"/>
    <cellStyle name="Notas 3 2 2 3 3 2 3" xfId="10774" xr:uid="{00000000-0005-0000-0000-0000292B0000}"/>
    <cellStyle name="Notas 3 2 2 3 3 3" xfId="5110" xr:uid="{00000000-0005-0000-0000-00002A2B0000}"/>
    <cellStyle name="Notas 3 2 2 3 3 4" xfId="8886" xr:uid="{00000000-0005-0000-0000-00002B2B0000}"/>
    <cellStyle name="Notas 3 2 2 3 4" xfId="2275" xr:uid="{00000000-0005-0000-0000-00002C2B0000}"/>
    <cellStyle name="Notas 3 2 2 3 4 2" xfId="6054" xr:uid="{00000000-0005-0000-0000-00002D2B0000}"/>
    <cellStyle name="Notas 3 2 2 3 4 3" xfId="9830" xr:uid="{00000000-0005-0000-0000-00002E2B0000}"/>
    <cellStyle name="Notas 3 2 2 3 5" xfId="4166" xr:uid="{00000000-0005-0000-0000-00002F2B0000}"/>
    <cellStyle name="Notas 3 2 2 3 6" xfId="7942" xr:uid="{00000000-0005-0000-0000-0000302B0000}"/>
    <cellStyle name="Notas 3 2 2 4" xfId="619" xr:uid="{00000000-0005-0000-0000-0000312B0000}"/>
    <cellStyle name="Notas 3 2 2 4 2" xfId="1565" xr:uid="{00000000-0005-0000-0000-0000322B0000}"/>
    <cellStyle name="Notas 3 2 2 4 2 2" xfId="3455" xr:uid="{00000000-0005-0000-0000-0000332B0000}"/>
    <cellStyle name="Notas 3 2 2 4 2 2 2" xfId="7234" xr:uid="{00000000-0005-0000-0000-0000342B0000}"/>
    <cellStyle name="Notas 3 2 2 4 2 2 3" xfId="11010" xr:uid="{00000000-0005-0000-0000-0000352B0000}"/>
    <cellStyle name="Notas 3 2 2 4 2 3" xfId="5346" xr:uid="{00000000-0005-0000-0000-0000362B0000}"/>
    <cellStyle name="Notas 3 2 2 4 2 4" xfId="9122" xr:uid="{00000000-0005-0000-0000-0000372B0000}"/>
    <cellStyle name="Notas 3 2 2 4 3" xfId="2511" xr:uid="{00000000-0005-0000-0000-0000382B0000}"/>
    <cellStyle name="Notas 3 2 2 4 3 2" xfId="6290" xr:uid="{00000000-0005-0000-0000-0000392B0000}"/>
    <cellStyle name="Notas 3 2 2 4 3 3" xfId="10066" xr:uid="{00000000-0005-0000-0000-00003A2B0000}"/>
    <cellStyle name="Notas 3 2 2 4 4" xfId="4402" xr:uid="{00000000-0005-0000-0000-00003B2B0000}"/>
    <cellStyle name="Notas 3 2 2 4 5" xfId="8178" xr:uid="{00000000-0005-0000-0000-00003C2B0000}"/>
    <cellStyle name="Notas 3 2 2 5" xfId="1093" xr:uid="{00000000-0005-0000-0000-00003D2B0000}"/>
    <cellStyle name="Notas 3 2 2 5 2" xfId="2983" xr:uid="{00000000-0005-0000-0000-00003E2B0000}"/>
    <cellStyle name="Notas 3 2 2 5 2 2" xfId="6762" xr:uid="{00000000-0005-0000-0000-00003F2B0000}"/>
    <cellStyle name="Notas 3 2 2 5 2 3" xfId="10538" xr:uid="{00000000-0005-0000-0000-0000402B0000}"/>
    <cellStyle name="Notas 3 2 2 5 3" xfId="4874" xr:uid="{00000000-0005-0000-0000-0000412B0000}"/>
    <cellStyle name="Notas 3 2 2 5 4" xfId="8650" xr:uid="{00000000-0005-0000-0000-0000422B0000}"/>
    <cellStyle name="Notas 3 2 2 6" xfId="2039" xr:uid="{00000000-0005-0000-0000-0000432B0000}"/>
    <cellStyle name="Notas 3 2 2 6 2" xfId="5818" xr:uid="{00000000-0005-0000-0000-0000442B0000}"/>
    <cellStyle name="Notas 3 2 2 6 3" xfId="9594" xr:uid="{00000000-0005-0000-0000-0000452B0000}"/>
    <cellStyle name="Notas 3 2 2 7" xfId="3930" xr:uid="{00000000-0005-0000-0000-0000462B0000}"/>
    <cellStyle name="Notas 3 2 2 8" xfId="7706" xr:uid="{00000000-0005-0000-0000-0000472B0000}"/>
    <cellStyle name="Notas 3 2 3" xfId="202" xr:uid="{00000000-0005-0000-0000-0000482B0000}"/>
    <cellStyle name="Notas 3 2 3 2" xfId="440" xr:uid="{00000000-0005-0000-0000-0000492B0000}"/>
    <cellStyle name="Notas 3 2 3 2 2" xfId="914" xr:uid="{00000000-0005-0000-0000-00004A2B0000}"/>
    <cellStyle name="Notas 3 2 3 2 2 2" xfId="1860" xr:uid="{00000000-0005-0000-0000-00004B2B0000}"/>
    <cellStyle name="Notas 3 2 3 2 2 2 2" xfId="3750" xr:uid="{00000000-0005-0000-0000-00004C2B0000}"/>
    <cellStyle name="Notas 3 2 3 2 2 2 2 2" xfId="7529" xr:uid="{00000000-0005-0000-0000-00004D2B0000}"/>
    <cellStyle name="Notas 3 2 3 2 2 2 2 3" xfId="11305" xr:uid="{00000000-0005-0000-0000-00004E2B0000}"/>
    <cellStyle name="Notas 3 2 3 2 2 2 3" xfId="5641" xr:uid="{00000000-0005-0000-0000-00004F2B0000}"/>
    <cellStyle name="Notas 3 2 3 2 2 2 4" xfId="9417" xr:uid="{00000000-0005-0000-0000-0000502B0000}"/>
    <cellStyle name="Notas 3 2 3 2 2 3" xfId="2806" xr:uid="{00000000-0005-0000-0000-0000512B0000}"/>
    <cellStyle name="Notas 3 2 3 2 2 3 2" xfId="6585" xr:uid="{00000000-0005-0000-0000-0000522B0000}"/>
    <cellStyle name="Notas 3 2 3 2 2 3 3" xfId="10361" xr:uid="{00000000-0005-0000-0000-0000532B0000}"/>
    <cellStyle name="Notas 3 2 3 2 2 4" xfId="4697" xr:uid="{00000000-0005-0000-0000-0000542B0000}"/>
    <cellStyle name="Notas 3 2 3 2 2 5" xfId="8473" xr:uid="{00000000-0005-0000-0000-0000552B0000}"/>
    <cellStyle name="Notas 3 2 3 2 3" xfId="1388" xr:uid="{00000000-0005-0000-0000-0000562B0000}"/>
    <cellStyle name="Notas 3 2 3 2 3 2" xfId="3278" xr:uid="{00000000-0005-0000-0000-0000572B0000}"/>
    <cellStyle name="Notas 3 2 3 2 3 2 2" xfId="7057" xr:uid="{00000000-0005-0000-0000-0000582B0000}"/>
    <cellStyle name="Notas 3 2 3 2 3 2 3" xfId="10833" xr:uid="{00000000-0005-0000-0000-0000592B0000}"/>
    <cellStyle name="Notas 3 2 3 2 3 3" xfId="5169" xr:uid="{00000000-0005-0000-0000-00005A2B0000}"/>
    <cellStyle name="Notas 3 2 3 2 3 4" xfId="8945" xr:uid="{00000000-0005-0000-0000-00005B2B0000}"/>
    <cellStyle name="Notas 3 2 3 2 4" xfId="2334" xr:uid="{00000000-0005-0000-0000-00005C2B0000}"/>
    <cellStyle name="Notas 3 2 3 2 4 2" xfId="6113" xr:uid="{00000000-0005-0000-0000-00005D2B0000}"/>
    <cellStyle name="Notas 3 2 3 2 4 3" xfId="9889" xr:uid="{00000000-0005-0000-0000-00005E2B0000}"/>
    <cellStyle name="Notas 3 2 3 2 5" xfId="4225" xr:uid="{00000000-0005-0000-0000-00005F2B0000}"/>
    <cellStyle name="Notas 3 2 3 2 6" xfId="8001" xr:uid="{00000000-0005-0000-0000-0000602B0000}"/>
    <cellStyle name="Notas 3 2 3 3" xfId="678" xr:uid="{00000000-0005-0000-0000-0000612B0000}"/>
    <cellStyle name="Notas 3 2 3 3 2" xfId="1624" xr:uid="{00000000-0005-0000-0000-0000622B0000}"/>
    <cellStyle name="Notas 3 2 3 3 2 2" xfId="3514" xr:uid="{00000000-0005-0000-0000-0000632B0000}"/>
    <cellStyle name="Notas 3 2 3 3 2 2 2" xfId="7293" xr:uid="{00000000-0005-0000-0000-0000642B0000}"/>
    <cellStyle name="Notas 3 2 3 3 2 2 3" xfId="11069" xr:uid="{00000000-0005-0000-0000-0000652B0000}"/>
    <cellStyle name="Notas 3 2 3 3 2 3" xfId="5405" xr:uid="{00000000-0005-0000-0000-0000662B0000}"/>
    <cellStyle name="Notas 3 2 3 3 2 4" xfId="9181" xr:uid="{00000000-0005-0000-0000-0000672B0000}"/>
    <cellStyle name="Notas 3 2 3 3 3" xfId="2570" xr:uid="{00000000-0005-0000-0000-0000682B0000}"/>
    <cellStyle name="Notas 3 2 3 3 3 2" xfId="6349" xr:uid="{00000000-0005-0000-0000-0000692B0000}"/>
    <cellStyle name="Notas 3 2 3 3 3 3" xfId="10125" xr:uid="{00000000-0005-0000-0000-00006A2B0000}"/>
    <cellStyle name="Notas 3 2 3 3 4" xfId="4461" xr:uid="{00000000-0005-0000-0000-00006B2B0000}"/>
    <cellStyle name="Notas 3 2 3 3 5" xfId="8237" xr:uid="{00000000-0005-0000-0000-00006C2B0000}"/>
    <cellStyle name="Notas 3 2 3 4" xfId="1152" xr:uid="{00000000-0005-0000-0000-00006D2B0000}"/>
    <cellStyle name="Notas 3 2 3 4 2" xfId="3042" xr:uid="{00000000-0005-0000-0000-00006E2B0000}"/>
    <cellStyle name="Notas 3 2 3 4 2 2" xfId="6821" xr:uid="{00000000-0005-0000-0000-00006F2B0000}"/>
    <cellStyle name="Notas 3 2 3 4 2 3" xfId="10597" xr:uid="{00000000-0005-0000-0000-0000702B0000}"/>
    <cellStyle name="Notas 3 2 3 4 3" xfId="4933" xr:uid="{00000000-0005-0000-0000-0000712B0000}"/>
    <cellStyle name="Notas 3 2 3 4 4" xfId="8709" xr:uid="{00000000-0005-0000-0000-0000722B0000}"/>
    <cellStyle name="Notas 3 2 3 5" xfId="2098" xr:uid="{00000000-0005-0000-0000-0000732B0000}"/>
    <cellStyle name="Notas 3 2 3 5 2" xfId="5877" xr:uid="{00000000-0005-0000-0000-0000742B0000}"/>
    <cellStyle name="Notas 3 2 3 5 3" xfId="9653" xr:uid="{00000000-0005-0000-0000-0000752B0000}"/>
    <cellStyle name="Notas 3 2 3 6" xfId="3989" xr:uid="{00000000-0005-0000-0000-0000762B0000}"/>
    <cellStyle name="Notas 3 2 3 7" xfId="7765" xr:uid="{00000000-0005-0000-0000-0000772B0000}"/>
    <cellStyle name="Notas 3 2 4" xfId="322" xr:uid="{00000000-0005-0000-0000-0000782B0000}"/>
    <cellStyle name="Notas 3 2 4 2" xfId="796" xr:uid="{00000000-0005-0000-0000-0000792B0000}"/>
    <cellStyle name="Notas 3 2 4 2 2" xfId="1742" xr:uid="{00000000-0005-0000-0000-00007A2B0000}"/>
    <cellStyle name="Notas 3 2 4 2 2 2" xfId="3632" xr:uid="{00000000-0005-0000-0000-00007B2B0000}"/>
    <cellStyle name="Notas 3 2 4 2 2 2 2" xfId="7411" xr:uid="{00000000-0005-0000-0000-00007C2B0000}"/>
    <cellStyle name="Notas 3 2 4 2 2 2 3" xfId="11187" xr:uid="{00000000-0005-0000-0000-00007D2B0000}"/>
    <cellStyle name="Notas 3 2 4 2 2 3" xfId="5523" xr:uid="{00000000-0005-0000-0000-00007E2B0000}"/>
    <cellStyle name="Notas 3 2 4 2 2 4" xfId="9299" xr:uid="{00000000-0005-0000-0000-00007F2B0000}"/>
    <cellStyle name="Notas 3 2 4 2 3" xfId="2688" xr:uid="{00000000-0005-0000-0000-0000802B0000}"/>
    <cellStyle name="Notas 3 2 4 2 3 2" xfId="6467" xr:uid="{00000000-0005-0000-0000-0000812B0000}"/>
    <cellStyle name="Notas 3 2 4 2 3 3" xfId="10243" xr:uid="{00000000-0005-0000-0000-0000822B0000}"/>
    <cellStyle name="Notas 3 2 4 2 4" xfId="4579" xr:uid="{00000000-0005-0000-0000-0000832B0000}"/>
    <cellStyle name="Notas 3 2 4 2 5" xfId="8355" xr:uid="{00000000-0005-0000-0000-0000842B0000}"/>
    <cellStyle name="Notas 3 2 4 3" xfId="1270" xr:uid="{00000000-0005-0000-0000-0000852B0000}"/>
    <cellStyle name="Notas 3 2 4 3 2" xfId="3160" xr:uid="{00000000-0005-0000-0000-0000862B0000}"/>
    <cellStyle name="Notas 3 2 4 3 2 2" xfId="6939" xr:uid="{00000000-0005-0000-0000-0000872B0000}"/>
    <cellStyle name="Notas 3 2 4 3 2 3" xfId="10715" xr:uid="{00000000-0005-0000-0000-0000882B0000}"/>
    <cellStyle name="Notas 3 2 4 3 3" xfId="5051" xr:uid="{00000000-0005-0000-0000-0000892B0000}"/>
    <cellStyle name="Notas 3 2 4 3 4" xfId="8827" xr:uid="{00000000-0005-0000-0000-00008A2B0000}"/>
    <cellStyle name="Notas 3 2 4 4" xfId="2216" xr:uid="{00000000-0005-0000-0000-00008B2B0000}"/>
    <cellStyle name="Notas 3 2 4 4 2" xfId="5995" xr:uid="{00000000-0005-0000-0000-00008C2B0000}"/>
    <cellStyle name="Notas 3 2 4 4 3" xfId="9771" xr:uid="{00000000-0005-0000-0000-00008D2B0000}"/>
    <cellStyle name="Notas 3 2 4 5" xfId="4107" xr:uid="{00000000-0005-0000-0000-00008E2B0000}"/>
    <cellStyle name="Notas 3 2 4 6" xfId="7883" xr:uid="{00000000-0005-0000-0000-00008F2B0000}"/>
    <cellStyle name="Notas 3 2 5" xfId="560" xr:uid="{00000000-0005-0000-0000-0000902B0000}"/>
    <cellStyle name="Notas 3 2 5 2" xfId="1506" xr:uid="{00000000-0005-0000-0000-0000912B0000}"/>
    <cellStyle name="Notas 3 2 5 2 2" xfId="3396" xr:uid="{00000000-0005-0000-0000-0000922B0000}"/>
    <cellStyle name="Notas 3 2 5 2 2 2" xfId="7175" xr:uid="{00000000-0005-0000-0000-0000932B0000}"/>
    <cellStyle name="Notas 3 2 5 2 2 3" xfId="10951" xr:uid="{00000000-0005-0000-0000-0000942B0000}"/>
    <cellStyle name="Notas 3 2 5 2 3" xfId="5287" xr:uid="{00000000-0005-0000-0000-0000952B0000}"/>
    <cellStyle name="Notas 3 2 5 2 4" xfId="9063" xr:uid="{00000000-0005-0000-0000-0000962B0000}"/>
    <cellStyle name="Notas 3 2 5 3" xfId="2452" xr:uid="{00000000-0005-0000-0000-0000972B0000}"/>
    <cellStyle name="Notas 3 2 5 3 2" xfId="6231" xr:uid="{00000000-0005-0000-0000-0000982B0000}"/>
    <cellStyle name="Notas 3 2 5 3 3" xfId="10007" xr:uid="{00000000-0005-0000-0000-0000992B0000}"/>
    <cellStyle name="Notas 3 2 5 4" xfId="4343" xr:uid="{00000000-0005-0000-0000-00009A2B0000}"/>
    <cellStyle name="Notas 3 2 5 5" xfId="8119" xr:uid="{00000000-0005-0000-0000-00009B2B0000}"/>
    <cellStyle name="Notas 3 2 6" xfId="1034" xr:uid="{00000000-0005-0000-0000-00009C2B0000}"/>
    <cellStyle name="Notas 3 2 6 2" xfId="2924" xr:uid="{00000000-0005-0000-0000-00009D2B0000}"/>
    <cellStyle name="Notas 3 2 6 2 2" xfId="6703" xr:uid="{00000000-0005-0000-0000-00009E2B0000}"/>
    <cellStyle name="Notas 3 2 6 2 3" xfId="10479" xr:uid="{00000000-0005-0000-0000-00009F2B0000}"/>
    <cellStyle name="Notas 3 2 6 3" xfId="4815" xr:uid="{00000000-0005-0000-0000-0000A02B0000}"/>
    <cellStyle name="Notas 3 2 6 4" xfId="8591" xr:uid="{00000000-0005-0000-0000-0000A12B0000}"/>
    <cellStyle name="Notas 3 2 7" xfId="1980" xr:uid="{00000000-0005-0000-0000-0000A22B0000}"/>
    <cellStyle name="Notas 3 2 7 2" xfId="5759" xr:uid="{00000000-0005-0000-0000-0000A32B0000}"/>
    <cellStyle name="Notas 3 2 7 3" xfId="9535" xr:uid="{00000000-0005-0000-0000-0000A42B0000}"/>
    <cellStyle name="Notas 3 2 8" xfId="3871" xr:uid="{00000000-0005-0000-0000-0000A52B0000}"/>
    <cellStyle name="Notas 3 2 9" xfId="7647" xr:uid="{00000000-0005-0000-0000-0000A62B0000}"/>
    <cellStyle name="Notas 3 3" xfId="109" xr:uid="{00000000-0005-0000-0000-0000A72B0000}"/>
    <cellStyle name="Notas 3 3 2" xfId="232" xr:uid="{00000000-0005-0000-0000-0000A82B0000}"/>
    <cellStyle name="Notas 3 3 2 2" xfId="470" xr:uid="{00000000-0005-0000-0000-0000A92B0000}"/>
    <cellStyle name="Notas 3 3 2 2 2" xfId="944" xr:uid="{00000000-0005-0000-0000-0000AA2B0000}"/>
    <cellStyle name="Notas 3 3 2 2 2 2" xfId="1890" xr:uid="{00000000-0005-0000-0000-0000AB2B0000}"/>
    <cellStyle name="Notas 3 3 2 2 2 2 2" xfId="3780" xr:uid="{00000000-0005-0000-0000-0000AC2B0000}"/>
    <cellStyle name="Notas 3 3 2 2 2 2 2 2" xfId="7559" xr:uid="{00000000-0005-0000-0000-0000AD2B0000}"/>
    <cellStyle name="Notas 3 3 2 2 2 2 2 3" xfId="11335" xr:uid="{00000000-0005-0000-0000-0000AE2B0000}"/>
    <cellStyle name="Notas 3 3 2 2 2 2 3" xfId="5671" xr:uid="{00000000-0005-0000-0000-0000AF2B0000}"/>
    <cellStyle name="Notas 3 3 2 2 2 2 4" xfId="9447" xr:uid="{00000000-0005-0000-0000-0000B02B0000}"/>
    <cellStyle name="Notas 3 3 2 2 2 3" xfId="2836" xr:uid="{00000000-0005-0000-0000-0000B12B0000}"/>
    <cellStyle name="Notas 3 3 2 2 2 3 2" xfId="6615" xr:uid="{00000000-0005-0000-0000-0000B22B0000}"/>
    <cellStyle name="Notas 3 3 2 2 2 3 3" xfId="10391" xr:uid="{00000000-0005-0000-0000-0000B32B0000}"/>
    <cellStyle name="Notas 3 3 2 2 2 4" xfId="4727" xr:uid="{00000000-0005-0000-0000-0000B42B0000}"/>
    <cellStyle name="Notas 3 3 2 2 2 5" xfId="8503" xr:uid="{00000000-0005-0000-0000-0000B52B0000}"/>
    <cellStyle name="Notas 3 3 2 2 3" xfId="1418" xr:uid="{00000000-0005-0000-0000-0000B62B0000}"/>
    <cellStyle name="Notas 3 3 2 2 3 2" xfId="3308" xr:uid="{00000000-0005-0000-0000-0000B72B0000}"/>
    <cellStyle name="Notas 3 3 2 2 3 2 2" xfId="7087" xr:uid="{00000000-0005-0000-0000-0000B82B0000}"/>
    <cellStyle name="Notas 3 3 2 2 3 2 3" xfId="10863" xr:uid="{00000000-0005-0000-0000-0000B92B0000}"/>
    <cellStyle name="Notas 3 3 2 2 3 3" xfId="5199" xr:uid="{00000000-0005-0000-0000-0000BA2B0000}"/>
    <cellStyle name="Notas 3 3 2 2 3 4" xfId="8975" xr:uid="{00000000-0005-0000-0000-0000BB2B0000}"/>
    <cellStyle name="Notas 3 3 2 2 4" xfId="2364" xr:uid="{00000000-0005-0000-0000-0000BC2B0000}"/>
    <cellStyle name="Notas 3 3 2 2 4 2" xfId="6143" xr:uid="{00000000-0005-0000-0000-0000BD2B0000}"/>
    <cellStyle name="Notas 3 3 2 2 4 3" xfId="9919" xr:uid="{00000000-0005-0000-0000-0000BE2B0000}"/>
    <cellStyle name="Notas 3 3 2 2 5" xfId="4255" xr:uid="{00000000-0005-0000-0000-0000BF2B0000}"/>
    <cellStyle name="Notas 3 3 2 2 6" xfId="8031" xr:uid="{00000000-0005-0000-0000-0000C02B0000}"/>
    <cellStyle name="Notas 3 3 2 3" xfId="708" xr:uid="{00000000-0005-0000-0000-0000C12B0000}"/>
    <cellStyle name="Notas 3 3 2 3 2" xfId="1654" xr:uid="{00000000-0005-0000-0000-0000C22B0000}"/>
    <cellStyle name="Notas 3 3 2 3 2 2" xfId="3544" xr:uid="{00000000-0005-0000-0000-0000C32B0000}"/>
    <cellStyle name="Notas 3 3 2 3 2 2 2" xfId="7323" xr:uid="{00000000-0005-0000-0000-0000C42B0000}"/>
    <cellStyle name="Notas 3 3 2 3 2 2 3" xfId="11099" xr:uid="{00000000-0005-0000-0000-0000C52B0000}"/>
    <cellStyle name="Notas 3 3 2 3 2 3" xfId="5435" xr:uid="{00000000-0005-0000-0000-0000C62B0000}"/>
    <cellStyle name="Notas 3 3 2 3 2 4" xfId="9211" xr:uid="{00000000-0005-0000-0000-0000C72B0000}"/>
    <cellStyle name="Notas 3 3 2 3 3" xfId="2600" xr:uid="{00000000-0005-0000-0000-0000C82B0000}"/>
    <cellStyle name="Notas 3 3 2 3 3 2" xfId="6379" xr:uid="{00000000-0005-0000-0000-0000C92B0000}"/>
    <cellStyle name="Notas 3 3 2 3 3 3" xfId="10155" xr:uid="{00000000-0005-0000-0000-0000CA2B0000}"/>
    <cellStyle name="Notas 3 3 2 3 4" xfId="4491" xr:uid="{00000000-0005-0000-0000-0000CB2B0000}"/>
    <cellStyle name="Notas 3 3 2 3 5" xfId="8267" xr:uid="{00000000-0005-0000-0000-0000CC2B0000}"/>
    <cellStyle name="Notas 3 3 2 4" xfId="1182" xr:uid="{00000000-0005-0000-0000-0000CD2B0000}"/>
    <cellStyle name="Notas 3 3 2 4 2" xfId="3072" xr:uid="{00000000-0005-0000-0000-0000CE2B0000}"/>
    <cellStyle name="Notas 3 3 2 4 2 2" xfId="6851" xr:uid="{00000000-0005-0000-0000-0000CF2B0000}"/>
    <cellStyle name="Notas 3 3 2 4 2 3" xfId="10627" xr:uid="{00000000-0005-0000-0000-0000D02B0000}"/>
    <cellStyle name="Notas 3 3 2 4 3" xfId="4963" xr:uid="{00000000-0005-0000-0000-0000D12B0000}"/>
    <cellStyle name="Notas 3 3 2 4 4" xfId="8739" xr:uid="{00000000-0005-0000-0000-0000D22B0000}"/>
    <cellStyle name="Notas 3 3 2 5" xfId="2128" xr:uid="{00000000-0005-0000-0000-0000D32B0000}"/>
    <cellStyle name="Notas 3 3 2 5 2" xfId="5907" xr:uid="{00000000-0005-0000-0000-0000D42B0000}"/>
    <cellStyle name="Notas 3 3 2 5 3" xfId="9683" xr:uid="{00000000-0005-0000-0000-0000D52B0000}"/>
    <cellStyle name="Notas 3 3 2 6" xfId="4019" xr:uid="{00000000-0005-0000-0000-0000D62B0000}"/>
    <cellStyle name="Notas 3 3 2 7" xfId="7795" xr:uid="{00000000-0005-0000-0000-0000D72B0000}"/>
    <cellStyle name="Notas 3 3 3" xfId="352" xr:uid="{00000000-0005-0000-0000-0000D82B0000}"/>
    <cellStyle name="Notas 3 3 3 2" xfId="826" xr:uid="{00000000-0005-0000-0000-0000D92B0000}"/>
    <cellStyle name="Notas 3 3 3 2 2" xfId="1772" xr:uid="{00000000-0005-0000-0000-0000DA2B0000}"/>
    <cellStyle name="Notas 3 3 3 2 2 2" xfId="3662" xr:uid="{00000000-0005-0000-0000-0000DB2B0000}"/>
    <cellStyle name="Notas 3 3 3 2 2 2 2" xfId="7441" xr:uid="{00000000-0005-0000-0000-0000DC2B0000}"/>
    <cellStyle name="Notas 3 3 3 2 2 2 3" xfId="11217" xr:uid="{00000000-0005-0000-0000-0000DD2B0000}"/>
    <cellStyle name="Notas 3 3 3 2 2 3" xfId="5553" xr:uid="{00000000-0005-0000-0000-0000DE2B0000}"/>
    <cellStyle name="Notas 3 3 3 2 2 4" xfId="9329" xr:uid="{00000000-0005-0000-0000-0000DF2B0000}"/>
    <cellStyle name="Notas 3 3 3 2 3" xfId="2718" xr:uid="{00000000-0005-0000-0000-0000E02B0000}"/>
    <cellStyle name="Notas 3 3 3 2 3 2" xfId="6497" xr:uid="{00000000-0005-0000-0000-0000E12B0000}"/>
    <cellStyle name="Notas 3 3 3 2 3 3" xfId="10273" xr:uid="{00000000-0005-0000-0000-0000E22B0000}"/>
    <cellStyle name="Notas 3 3 3 2 4" xfId="4609" xr:uid="{00000000-0005-0000-0000-0000E32B0000}"/>
    <cellStyle name="Notas 3 3 3 2 5" xfId="8385" xr:uid="{00000000-0005-0000-0000-0000E42B0000}"/>
    <cellStyle name="Notas 3 3 3 3" xfId="1300" xr:uid="{00000000-0005-0000-0000-0000E52B0000}"/>
    <cellStyle name="Notas 3 3 3 3 2" xfId="3190" xr:uid="{00000000-0005-0000-0000-0000E62B0000}"/>
    <cellStyle name="Notas 3 3 3 3 2 2" xfId="6969" xr:uid="{00000000-0005-0000-0000-0000E72B0000}"/>
    <cellStyle name="Notas 3 3 3 3 2 3" xfId="10745" xr:uid="{00000000-0005-0000-0000-0000E82B0000}"/>
    <cellStyle name="Notas 3 3 3 3 3" xfId="5081" xr:uid="{00000000-0005-0000-0000-0000E92B0000}"/>
    <cellStyle name="Notas 3 3 3 3 4" xfId="8857" xr:uid="{00000000-0005-0000-0000-0000EA2B0000}"/>
    <cellStyle name="Notas 3 3 3 4" xfId="2246" xr:uid="{00000000-0005-0000-0000-0000EB2B0000}"/>
    <cellStyle name="Notas 3 3 3 4 2" xfId="6025" xr:uid="{00000000-0005-0000-0000-0000EC2B0000}"/>
    <cellStyle name="Notas 3 3 3 4 3" xfId="9801" xr:uid="{00000000-0005-0000-0000-0000ED2B0000}"/>
    <cellStyle name="Notas 3 3 3 5" xfId="4137" xr:uid="{00000000-0005-0000-0000-0000EE2B0000}"/>
    <cellStyle name="Notas 3 3 3 6" xfId="7913" xr:uid="{00000000-0005-0000-0000-0000EF2B0000}"/>
    <cellStyle name="Notas 3 3 4" xfId="590" xr:uid="{00000000-0005-0000-0000-0000F02B0000}"/>
    <cellStyle name="Notas 3 3 4 2" xfId="1536" xr:uid="{00000000-0005-0000-0000-0000F12B0000}"/>
    <cellStyle name="Notas 3 3 4 2 2" xfId="3426" xr:uid="{00000000-0005-0000-0000-0000F22B0000}"/>
    <cellStyle name="Notas 3 3 4 2 2 2" xfId="7205" xr:uid="{00000000-0005-0000-0000-0000F32B0000}"/>
    <cellStyle name="Notas 3 3 4 2 2 3" xfId="10981" xr:uid="{00000000-0005-0000-0000-0000F42B0000}"/>
    <cellStyle name="Notas 3 3 4 2 3" xfId="5317" xr:uid="{00000000-0005-0000-0000-0000F52B0000}"/>
    <cellStyle name="Notas 3 3 4 2 4" xfId="9093" xr:uid="{00000000-0005-0000-0000-0000F62B0000}"/>
    <cellStyle name="Notas 3 3 4 3" xfId="2482" xr:uid="{00000000-0005-0000-0000-0000F72B0000}"/>
    <cellStyle name="Notas 3 3 4 3 2" xfId="6261" xr:uid="{00000000-0005-0000-0000-0000F82B0000}"/>
    <cellStyle name="Notas 3 3 4 3 3" xfId="10037" xr:uid="{00000000-0005-0000-0000-0000F92B0000}"/>
    <cellStyle name="Notas 3 3 4 4" xfId="4373" xr:uid="{00000000-0005-0000-0000-0000FA2B0000}"/>
    <cellStyle name="Notas 3 3 4 5" xfId="8149" xr:uid="{00000000-0005-0000-0000-0000FB2B0000}"/>
    <cellStyle name="Notas 3 3 5" xfId="1064" xr:uid="{00000000-0005-0000-0000-0000FC2B0000}"/>
    <cellStyle name="Notas 3 3 5 2" xfId="2954" xr:uid="{00000000-0005-0000-0000-0000FD2B0000}"/>
    <cellStyle name="Notas 3 3 5 2 2" xfId="6733" xr:uid="{00000000-0005-0000-0000-0000FE2B0000}"/>
    <cellStyle name="Notas 3 3 5 2 3" xfId="10509" xr:uid="{00000000-0005-0000-0000-0000FF2B0000}"/>
    <cellStyle name="Notas 3 3 5 3" xfId="4845" xr:uid="{00000000-0005-0000-0000-0000002C0000}"/>
    <cellStyle name="Notas 3 3 5 4" xfId="8621" xr:uid="{00000000-0005-0000-0000-0000012C0000}"/>
    <cellStyle name="Notas 3 3 6" xfId="2010" xr:uid="{00000000-0005-0000-0000-0000022C0000}"/>
    <cellStyle name="Notas 3 3 6 2" xfId="5789" xr:uid="{00000000-0005-0000-0000-0000032C0000}"/>
    <cellStyle name="Notas 3 3 6 3" xfId="9565" xr:uid="{00000000-0005-0000-0000-0000042C0000}"/>
    <cellStyle name="Notas 3 3 7" xfId="3901" xr:uid="{00000000-0005-0000-0000-0000052C0000}"/>
    <cellStyle name="Notas 3 3 8" xfId="7677" xr:uid="{00000000-0005-0000-0000-0000062C0000}"/>
    <cellStyle name="Notas 3 4" xfId="173" xr:uid="{00000000-0005-0000-0000-0000072C0000}"/>
    <cellStyle name="Notas 3 4 2" xfId="411" xr:uid="{00000000-0005-0000-0000-0000082C0000}"/>
    <cellStyle name="Notas 3 4 2 2" xfId="885" xr:uid="{00000000-0005-0000-0000-0000092C0000}"/>
    <cellStyle name="Notas 3 4 2 2 2" xfId="1831" xr:uid="{00000000-0005-0000-0000-00000A2C0000}"/>
    <cellStyle name="Notas 3 4 2 2 2 2" xfId="3721" xr:uid="{00000000-0005-0000-0000-00000B2C0000}"/>
    <cellStyle name="Notas 3 4 2 2 2 2 2" xfId="7500" xr:uid="{00000000-0005-0000-0000-00000C2C0000}"/>
    <cellStyle name="Notas 3 4 2 2 2 2 3" xfId="11276" xr:uid="{00000000-0005-0000-0000-00000D2C0000}"/>
    <cellStyle name="Notas 3 4 2 2 2 3" xfId="5612" xr:uid="{00000000-0005-0000-0000-00000E2C0000}"/>
    <cellStyle name="Notas 3 4 2 2 2 4" xfId="9388" xr:uid="{00000000-0005-0000-0000-00000F2C0000}"/>
    <cellStyle name="Notas 3 4 2 2 3" xfId="2777" xr:uid="{00000000-0005-0000-0000-0000102C0000}"/>
    <cellStyle name="Notas 3 4 2 2 3 2" xfId="6556" xr:uid="{00000000-0005-0000-0000-0000112C0000}"/>
    <cellStyle name="Notas 3 4 2 2 3 3" xfId="10332" xr:uid="{00000000-0005-0000-0000-0000122C0000}"/>
    <cellStyle name="Notas 3 4 2 2 4" xfId="4668" xr:uid="{00000000-0005-0000-0000-0000132C0000}"/>
    <cellStyle name="Notas 3 4 2 2 5" xfId="8444" xr:uid="{00000000-0005-0000-0000-0000142C0000}"/>
    <cellStyle name="Notas 3 4 2 3" xfId="1359" xr:uid="{00000000-0005-0000-0000-0000152C0000}"/>
    <cellStyle name="Notas 3 4 2 3 2" xfId="3249" xr:uid="{00000000-0005-0000-0000-0000162C0000}"/>
    <cellStyle name="Notas 3 4 2 3 2 2" xfId="7028" xr:uid="{00000000-0005-0000-0000-0000172C0000}"/>
    <cellStyle name="Notas 3 4 2 3 2 3" xfId="10804" xr:uid="{00000000-0005-0000-0000-0000182C0000}"/>
    <cellStyle name="Notas 3 4 2 3 3" xfId="5140" xr:uid="{00000000-0005-0000-0000-0000192C0000}"/>
    <cellStyle name="Notas 3 4 2 3 4" xfId="8916" xr:uid="{00000000-0005-0000-0000-00001A2C0000}"/>
    <cellStyle name="Notas 3 4 2 4" xfId="2305" xr:uid="{00000000-0005-0000-0000-00001B2C0000}"/>
    <cellStyle name="Notas 3 4 2 4 2" xfId="6084" xr:uid="{00000000-0005-0000-0000-00001C2C0000}"/>
    <cellStyle name="Notas 3 4 2 4 3" xfId="9860" xr:uid="{00000000-0005-0000-0000-00001D2C0000}"/>
    <cellStyle name="Notas 3 4 2 5" xfId="4196" xr:uid="{00000000-0005-0000-0000-00001E2C0000}"/>
    <cellStyle name="Notas 3 4 2 6" xfId="7972" xr:uid="{00000000-0005-0000-0000-00001F2C0000}"/>
    <cellStyle name="Notas 3 4 3" xfId="649" xr:uid="{00000000-0005-0000-0000-0000202C0000}"/>
    <cellStyle name="Notas 3 4 3 2" xfId="1595" xr:uid="{00000000-0005-0000-0000-0000212C0000}"/>
    <cellStyle name="Notas 3 4 3 2 2" xfId="3485" xr:uid="{00000000-0005-0000-0000-0000222C0000}"/>
    <cellStyle name="Notas 3 4 3 2 2 2" xfId="7264" xr:uid="{00000000-0005-0000-0000-0000232C0000}"/>
    <cellStyle name="Notas 3 4 3 2 2 3" xfId="11040" xr:uid="{00000000-0005-0000-0000-0000242C0000}"/>
    <cellStyle name="Notas 3 4 3 2 3" xfId="5376" xr:uid="{00000000-0005-0000-0000-0000252C0000}"/>
    <cellStyle name="Notas 3 4 3 2 4" xfId="9152" xr:uid="{00000000-0005-0000-0000-0000262C0000}"/>
    <cellStyle name="Notas 3 4 3 3" xfId="2541" xr:uid="{00000000-0005-0000-0000-0000272C0000}"/>
    <cellStyle name="Notas 3 4 3 3 2" xfId="6320" xr:uid="{00000000-0005-0000-0000-0000282C0000}"/>
    <cellStyle name="Notas 3 4 3 3 3" xfId="10096" xr:uid="{00000000-0005-0000-0000-0000292C0000}"/>
    <cellStyle name="Notas 3 4 3 4" xfId="4432" xr:uid="{00000000-0005-0000-0000-00002A2C0000}"/>
    <cellStyle name="Notas 3 4 3 5" xfId="8208" xr:uid="{00000000-0005-0000-0000-00002B2C0000}"/>
    <cellStyle name="Notas 3 4 4" xfId="1123" xr:uid="{00000000-0005-0000-0000-00002C2C0000}"/>
    <cellStyle name="Notas 3 4 4 2" xfId="3013" xr:uid="{00000000-0005-0000-0000-00002D2C0000}"/>
    <cellStyle name="Notas 3 4 4 2 2" xfId="6792" xr:uid="{00000000-0005-0000-0000-00002E2C0000}"/>
    <cellStyle name="Notas 3 4 4 2 3" xfId="10568" xr:uid="{00000000-0005-0000-0000-00002F2C0000}"/>
    <cellStyle name="Notas 3 4 4 3" xfId="4904" xr:uid="{00000000-0005-0000-0000-0000302C0000}"/>
    <cellStyle name="Notas 3 4 4 4" xfId="8680" xr:uid="{00000000-0005-0000-0000-0000312C0000}"/>
    <cellStyle name="Notas 3 4 5" xfId="2069" xr:uid="{00000000-0005-0000-0000-0000322C0000}"/>
    <cellStyle name="Notas 3 4 5 2" xfId="5848" xr:uid="{00000000-0005-0000-0000-0000332C0000}"/>
    <cellStyle name="Notas 3 4 5 3" xfId="9624" xr:uid="{00000000-0005-0000-0000-0000342C0000}"/>
    <cellStyle name="Notas 3 4 6" xfId="3960" xr:uid="{00000000-0005-0000-0000-0000352C0000}"/>
    <cellStyle name="Notas 3 4 7" xfId="7736" xr:uid="{00000000-0005-0000-0000-0000362C0000}"/>
    <cellStyle name="Notas 3 5" xfId="293" xr:uid="{00000000-0005-0000-0000-0000372C0000}"/>
    <cellStyle name="Notas 3 5 2" xfId="767" xr:uid="{00000000-0005-0000-0000-0000382C0000}"/>
    <cellStyle name="Notas 3 5 2 2" xfId="1713" xr:uid="{00000000-0005-0000-0000-0000392C0000}"/>
    <cellStyle name="Notas 3 5 2 2 2" xfId="3603" xr:uid="{00000000-0005-0000-0000-00003A2C0000}"/>
    <cellStyle name="Notas 3 5 2 2 2 2" xfId="7382" xr:uid="{00000000-0005-0000-0000-00003B2C0000}"/>
    <cellStyle name="Notas 3 5 2 2 2 3" xfId="11158" xr:uid="{00000000-0005-0000-0000-00003C2C0000}"/>
    <cellStyle name="Notas 3 5 2 2 3" xfId="5494" xr:uid="{00000000-0005-0000-0000-00003D2C0000}"/>
    <cellStyle name="Notas 3 5 2 2 4" xfId="9270" xr:uid="{00000000-0005-0000-0000-00003E2C0000}"/>
    <cellStyle name="Notas 3 5 2 3" xfId="2659" xr:uid="{00000000-0005-0000-0000-00003F2C0000}"/>
    <cellStyle name="Notas 3 5 2 3 2" xfId="6438" xr:uid="{00000000-0005-0000-0000-0000402C0000}"/>
    <cellStyle name="Notas 3 5 2 3 3" xfId="10214" xr:uid="{00000000-0005-0000-0000-0000412C0000}"/>
    <cellStyle name="Notas 3 5 2 4" xfId="4550" xr:uid="{00000000-0005-0000-0000-0000422C0000}"/>
    <cellStyle name="Notas 3 5 2 5" xfId="8326" xr:uid="{00000000-0005-0000-0000-0000432C0000}"/>
    <cellStyle name="Notas 3 5 3" xfId="1241" xr:uid="{00000000-0005-0000-0000-0000442C0000}"/>
    <cellStyle name="Notas 3 5 3 2" xfId="3131" xr:uid="{00000000-0005-0000-0000-0000452C0000}"/>
    <cellStyle name="Notas 3 5 3 2 2" xfId="6910" xr:uid="{00000000-0005-0000-0000-0000462C0000}"/>
    <cellStyle name="Notas 3 5 3 2 3" xfId="10686" xr:uid="{00000000-0005-0000-0000-0000472C0000}"/>
    <cellStyle name="Notas 3 5 3 3" xfId="5022" xr:uid="{00000000-0005-0000-0000-0000482C0000}"/>
    <cellStyle name="Notas 3 5 3 4" xfId="8798" xr:uid="{00000000-0005-0000-0000-0000492C0000}"/>
    <cellStyle name="Notas 3 5 4" xfId="2187" xr:uid="{00000000-0005-0000-0000-00004A2C0000}"/>
    <cellStyle name="Notas 3 5 4 2" xfId="5966" xr:uid="{00000000-0005-0000-0000-00004B2C0000}"/>
    <cellStyle name="Notas 3 5 4 3" xfId="9742" xr:uid="{00000000-0005-0000-0000-00004C2C0000}"/>
    <cellStyle name="Notas 3 5 5" xfId="4078" xr:uid="{00000000-0005-0000-0000-00004D2C0000}"/>
    <cellStyle name="Notas 3 5 6" xfId="7854" xr:uid="{00000000-0005-0000-0000-00004E2C0000}"/>
    <cellStyle name="Notas 3 6" xfId="531" xr:uid="{00000000-0005-0000-0000-00004F2C0000}"/>
    <cellStyle name="Notas 3 6 2" xfId="1477" xr:uid="{00000000-0005-0000-0000-0000502C0000}"/>
    <cellStyle name="Notas 3 6 2 2" xfId="3367" xr:uid="{00000000-0005-0000-0000-0000512C0000}"/>
    <cellStyle name="Notas 3 6 2 2 2" xfId="7146" xr:uid="{00000000-0005-0000-0000-0000522C0000}"/>
    <cellStyle name="Notas 3 6 2 2 3" xfId="10922" xr:uid="{00000000-0005-0000-0000-0000532C0000}"/>
    <cellStyle name="Notas 3 6 2 3" xfId="5258" xr:uid="{00000000-0005-0000-0000-0000542C0000}"/>
    <cellStyle name="Notas 3 6 2 4" xfId="9034" xr:uid="{00000000-0005-0000-0000-0000552C0000}"/>
    <cellStyle name="Notas 3 6 3" xfId="2423" xr:uid="{00000000-0005-0000-0000-0000562C0000}"/>
    <cellStyle name="Notas 3 6 3 2" xfId="6202" xr:uid="{00000000-0005-0000-0000-0000572C0000}"/>
    <cellStyle name="Notas 3 6 3 3" xfId="9978" xr:uid="{00000000-0005-0000-0000-0000582C0000}"/>
    <cellStyle name="Notas 3 6 4" xfId="4314" xr:uid="{00000000-0005-0000-0000-0000592C0000}"/>
    <cellStyle name="Notas 3 6 5" xfId="8090" xr:uid="{00000000-0005-0000-0000-00005A2C0000}"/>
    <cellStyle name="Notas 3 7" xfId="1005" xr:uid="{00000000-0005-0000-0000-00005B2C0000}"/>
    <cellStyle name="Notas 3 7 2" xfId="2895" xr:uid="{00000000-0005-0000-0000-00005C2C0000}"/>
    <cellStyle name="Notas 3 7 2 2" xfId="6674" xr:uid="{00000000-0005-0000-0000-00005D2C0000}"/>
    <cellStyle name="Notas 3 7 2 3" xfId="10450" xr:uid="{00000000-0005-0000-0000-00005E2C0000}"/>
    <cellStyle name="Notas 3 7 3" xfId="4786" xr:uid="{00000000-0005-0000-0000-00005F2C0000}"/>
    <cellStyle name="Notas 3 7 4" xfId="8562" xr:uid="{00000000-0005-0000-0000-0000602C0000}"/>
    <cellStyle name="Notas 3 8" xfId="1951" xr:uid="{00000000-0005-0000-0000-0000612C0000}"/>
    <cellStyle name="Notas 3 8 2" xfId="5730" xr:uid="{00000000-0005-0000-0000-0000622C0000}"/>
    <cellStyle name="Notas 3 8 3" xfId="9506" xr:uid="{00000000-0005-0000-0000-0000632C0000}"/>
    <cellStyle name="Notas 3 9" xfId="3842" xr:uid="{00000000-0005-0000-0000-0000642C0000}"/>
    <cellStyle name="Porcentaje" xfId="1" builtinId="5"/>
    <cellStyle name="Porcentaje 10" xfId="11379" xr:uid="{00000000-0005-0000-0000-0000662C0000}"/>
    <cellStyle name="Porcentaje 10 2" xfId="11381" xr:uid="{00000000-0005-0000-0000-0000672C0000}"/>
    <cellStyle name="Porcentaje 2" xfId="72" xr:uid="{00000000-0005-0000-0000-0000682C0000}"/>
    <cellStyle name="Porcentaje 3" xfId="105" xr:uid="{00000000-0005-0000-0000-0000692C0000}"/>
    <cellStyle name="Porcentaje 4" xfId="169" xr:uid="{00000000-0005-0000-0000-00006A2C0000}"/>
    <cellStyle name="Porcentaje 5" xfId="289" xr:uid="{00000000-0005-0000-0000-00006B2C0000}"/>
    <cellStyle name="Porcentaje 6" xfId="527" xr:uid="{00000000-0005-0000-0000-00006C2C0000}"/>
    <cellStyle name="Porcentaje 7" xfId="1001" xr:uid="{00000000-0005-0000-0000-00006D2C0000}"/>
    <cellStyle name="Porcentaje 8" xfId="1947" xr:uid="{00000000-0005-0000-0000-00006E2C0000}"/>
    <cellStyle name="Porcentaje 9" xfId="3838" xr:uid="{00000000-0005-0000-0000-00006F2C0000}"/>
    <cellStyle name="Porcentual 2" xfId="11382" xr:uid="{00000000-0005-0000-0000-0000702C0000}"/>
    <cellStyle name="Salida" xfId="11" builtinId="21" customBuiltin="1"/>
    <cellStyle name="Texto de advertencia" xfId="15" builtinId="11" customBuiltin="1"/>
    <cellStyle name="Texto explicativo" xfId="16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7" builtinId="25" customBuiltin="1"/>
  </cellStyles>
  <dxfs count="435"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0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ill>
        <patternFill patternType="solid">
          <bgColor theme="0"/>
        </patternFill>
      </fill>
    </dxf>
    <dxf>
      <font>
        <color theme="0"/>
      </font>
    </dxf>
    <dxf>
      <numFmt numFmtId="169" formatCode="yyyymmd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169" formatCode="yyyymmd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9" formatCode="yyyymmd"/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color theme="1"/>
      </font>
    </dxf>
    <dxf>
      <numFmt numFmtId="164" formatCode="_-&quot;S/&quot;* #,##0.00_-;\-&quot;S/&quot;* #,##0.00_-;_-&quot;S/&quot;* &quot;-&quot;??_-;_-@_-"/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EBABC"/>
      <color rgb="FFFE989A"/>
      <color rgb="FFFE8689"/>
      <color rgb="FFFE8F86"/>
      <color rgb="FF0000FF"/>
      <color rgb="FF99CCFF"/>
      <color rgb="FFFFCC99"/>
      <color rgb="FFE3F3D1"/>
      <color rgb="FFC9FFE1"/>
      <color rgb="FFE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microsoft.com/office/2007/relationships/slicerCache" Target="slicerCaches/slicerCache7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0" Type="http://schemas.microsoft.com/office/2007/relationships/slicerCache" Target="slicerCaches/slicerCache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microsoft.com/office/2007/relationships/slicerCache" Target="slicerCaches/slicerCache6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23" Type="http://schemas.microsoft.com/office/2007/relationships/slicerCache" Target="slicerCaches/slicerCache5.xml"/><Relationship Id="rId28" Type="http://schemas.openxmlformats.org/officeDocument/2006/relationships/styles" Target="styles.xml"/><Relationship Id="rId36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19" Type="http://schemas.microsoft.com/office/2007/relationships/slicerCache" Target="slicerCaches/slicerCache1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Relationship Id="rId35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 u="sng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6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D9-44E3-94CE-801B57461FE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D9-44E3-94CE-801B57461FE1}"/>
              </c:ext>
            </c:extLst>
          </c:dPt>
          <c:dLbls>
            <c:dLbl>
              <c:idx val="0"/>
              <c:layout>
                <c:manualLayout>
                  <c:x val="-9.0305444887118225E-2"/>
                  <c:y val="-1.80586864651804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D9-44E3-94CE-801B57461FE1}"/>
                </c:ext>
              </c:extLst>
            </c:dLbl>
            <c:dLbl>
              <c:idx val="1"/>
              <c:layout>
                <c:manualLayout>
                  <c:x val="0.10624169986719778"/>
                  <c:y val="1.2039124310120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D9-44E3-94CE-801B57461F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UBICACION!$X$3:$X$4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UBICACION!$Y$3:$Y$4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D9-44E3-94CE-801B57461F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u="sng">
                <a:solidFill>
                  <a:schemeClr val="accent3">
                    <a:lumMod val="50000"/>
                  </a:schemeClr>
                </a:solidFill>
              </a:rPr>
              <a:t>SKU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10B-4DBB-9688-37A50CFFE90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10B-4DBB-9688-37A50CFFE904}"/>
              </c:ext>
            </c:extLst>
          </c:dPt>
          <c:dLbls>
            <c:dLbl>
              <c:idx val="0"/>
              <c:layout>
                <c:manualLayout>
                  <c:x val="-7.973421926910298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0B-4DBB-9688-37A50CFFE904}"/>
                </c:ext>
              </c:extLst>
            </c:dLbl>
            <c:dLbl>
              <c:idx val="1"/>
              <c:layout>
                <c:manualLayout>
                  <c:x val="7.5304540420819494E-2"/>
                  <c:y val="1.13960113960114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0B-4DBB-9688-37A50CFFE9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UBICACION!$AG$3:$AG$4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UBICACION!$AH$3:$AH$4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0B-4DBB-9688-37A50CFFE9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u="sng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6B1-49FA-967E-77701D5862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6B1-49FA-967E-77701D586205}"/>
              </c:ext>
            </c:extLst>
          </c:dPt>
          <c:dLbls>
            <c:dLbl>
              <c:idx val="0"/>
              <c:layout>
                <c:manualLayout>
                  <c:x val="-0.11974666798187336"/>
                  <c:y val="-1.77777777777778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1-49FA-967E-77701D586205}"/>
                </c:ext>
              </c:extLst>
            </c:dLbl>
            <c:dLbl>
              <c:idx val="1"/>
              <c:layout>
                <c:manualLayout>
                  <c:x val="6.447897506716249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B1-49FA-967E-77701D5862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UBICACION!$AB$3:$AB$4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UBICACION!$AC$3:$AC$4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B1-49FA-967E-77701D5862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emf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64147</xdr:colOff>
      <xdr:row>0</xdr:row>
      <xdr:rowOff>89086</xdr:rowOff>
    </xdr:from>
    <xdr:to>
      <xdr:col>4</xdr:col>
      <xdr:colOff>238125</xdr:colOff>
      <xdr:row>5</xdr:row>
      <xdr:rowOff>70035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147" y="89086"/>
          <a:ext cx="1355078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0</xdr:row>
          <xdr:rowOff>114300</xdr:rowOff>
        </xdr:from>
        <xdr:to>
          <xdr:col>20</xdr:col>
          <xdr:colOff>104775</xdr:colOff>
          <xdr:row>2</xdr:row>
          <xdr:rowOff>9525</xdr:rowOff>
        </xdr:to>
        <xdr:sp macro="" textlink="">
          <xdr:nvSpPr>
            <xdr:cNvPr id="4161" name="BOTMENU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30</xdr:col>
      <xdr:colOff>252132</xdr:colOff>
      <xdr:row>4</xdr:row>
      <xdr:rowOff>31579</xdr:rowOff>
    </xdr:from>
    <xdr:to>
      <xdr:col>33</xdr:col>
      <xdr:colOff>42582</xdr:colOff>
      <xdr:row>7</xdr:row>
      <xdr:rowOff>286157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Z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  <a:ext uri="{147F2762-F138-4A5C-976F-8EAC2B608ADB}">
                  <a16:predDERef xmlns:a16="http://schemas.microsoft.com/office/drawing/2014/main" pred="{00000000-0008-0000-0000-0000411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22720" y="759961"/>
              <a:ext cx="2076450" cy="725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31</xdr:col>
      <xdr:colOff>77632</xdr:colOff>
      <xdr:row>0</xdr:row>
      <xdr:rowOff>3863</xdr:rowOff>
    </xdr:from>
    <xdr:to>
      <xdr:col>34</xdr:col>
      <xdr:colOff>738569</xdr:colOff>
      <xdr:row>4</xdr:row>
      <xdr:rowOff>1018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  <a:ext uri="{147F2762-F138-4A5C-976F-8EAC2B608ADB}">
                  <a16:predDERef xmlns:a16="http://schemas.microsoft.com/office/drawing/2014/main" pre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10220" y="3863"/>
              <a:ext cx="2946937" cy="7255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116475</xdr:colOff>
      <xdr:row>0</xdr:row>
      <xdr:rowOff>22411</xdr:rowOff>
    </xdr:from>
    <xdr:to>
      <xdr:col>31</xdr:col>
      <xdr:colOff>44824</xdr:colOff>
      <xdr:row>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  <a:ext uri="{147F2762-F138-4A5C-976F-8EAC2B608ADB}">
                  <a16:predDERef xmlns:a16="http://schemas.microsoft.com/office/drawing/2014/main" pre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5063" y="22411"/>
              <a:ext cx="1452349" cy="705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112059</xdr:colOff>
      <xdr:row>4</xdr:row>
      <xdr:rowOff>31376</xdr:rowOff>
    </xdr:from>
    <xdr:to>
      <xdr:col>30</xdr:col>
      <xdr:colOff>215713</xdr:colOff>
      <xdr:row>7</xdr:row>
      <xdr:rowOff>259976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Lado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  <a:ext uri="{147F2762-F138-4A5C-976F-8EAC2B608ADB}">
                  <a16:predDERef xmlns:a16="http://schemas.microsoft.com/office/drawing/2014/main" pre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520647" y="759758"/>
              <a:ext cx="865654" cy="6992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866775</xdr:colOff>
          <xdr:row>3</xdr:row>
          <xdr:rowOff>19050</xdr:rowOff>
        </xdr:from>
        <xdr:to>
          <xdr:col>20</xdr:col>
          <xdr:colOff>47625</xdr:colOff>
          <xdr:row>5</xdr:row>
          <xdr:rowOff>19050</xdr:rowOff>
        </xdr:to>
        <xdr:sp macro="" textlink="">
          <xdr:nvSpPr>
            <xdr:cNvPr id="4163" name="BTNLIMPIAR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350518</xdr:colOff>
      <xdr:row>0</xdr:row>
      <xdr:rowOff>167639</xdr:rowOff>
    </xdr:from>
    <xdr:to>
      <xdr:col>1</xdr:col>
      <xdr:colOff>219074</xdr:colOff>
      <xdr:row>2</xdr:row>
      <xdr:rowOff>66674</xdr:rowOff>
    </xdr:to>
    <xdr:pic macro="[0]!Actualizar">
      <xdr:nvPicPr>
        <xdr:cNvPr id="2195" name="Picture 1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0518" y="167639"/>
          <a:ext cx="1344931" cy="9277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190500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171450</xdr:rowOff>
        </xdr:from>
        <xdr:to>
          <xdr:col>4</xdr:col>
          <xdr:colOff>66675</xdr:colOff>
          <xdr:row>0</xdr:row>
          <xdr:rowOff>400050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419100</xdr:colOff>
      <xdr:row>0</xdr:row>
      <xdr:rowOff>52387</xdr:rowOff>
    </xdr:from>
    <xdr:to>
      <xdr:col>26</xdr:col>
      <xdr:colOff>238125</xdr:colOff>
      <xdr:row>8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28575</xdr:colOff>
      <xdr:row>0</xdr:row>
      <xdr:rowOff>47625</xdr:rowOff>
    </xdr:from>
    <xdr:to>
      <xdr:col>35</xdr:col>
      <xdr:colOff>38625</xdr:colOff>
      <xdr:row>8</xdr:row>
      <xdr:rowOff>137925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481012</xdr:colOff>
      <xdr:row>0</xdr:row>
      <xdr:rowOff>47625</xdr:rowOff>
    </xdr:from>
    <xdr:to>
      <xdr:col>30</xdr:col>
      <xdr:colOff>310087</xdr:colOff>
      <xdr:row>8</xdr:row>
      <xdr:rowOff>137925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533400</xdr:colOff>
      <xdr:row>0</xdr:row>
      <xdr:rowOff>762001</xdr:rowOff>
    </xdr:from>
    <xdr:to>
      <xdr:col>24</xdr:col>
      <xdr:colOff>581025</xdr:colOff>
      <xdr:row>4</xdr:row>
      <xdr:rowOff>85725</xdr:rowOff>
    </xdr:to>
    <xdr:sp macro="" textlink="$Z$3">
      <xdr:nvSpPr>
        <xdr:cNvPr id="3" name="Elips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7564100" y="762001"/>
          <a:ext cx="742950" cy="733424"/>
        </a:xfrm>
        <a:prstGeom prst="ellipse">
          <a:avLst/>
        </a:prstGeom>
        <a:gradFill flip="none" rotWithShape="1">
          <a:gsLst>
            <a:gs pos="0">
              <a:schemeClr val="accent2">
                <a:lumMod val="15000"/>
                <a:lumOff val="85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  <a:tileRect/>
        </a:gra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53B011DF-9B21-412F-BEF2-FE64809C232D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0.00%</a:t>
          </a:fld>
          <a:endParaRPr lang="es-PE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600075</xdr:colOff>
      <xdr:row>0</xdr:row>
      <xdr:rowOff>752475</xdr:rowOff>
    </xdr:from>
    <xdr:to>
      <xdr:col>29</xdr:col>
      <xdr:colOff>122475</xdr:colOff>
      <xdr:row>4</xdr:row>
      <xdr:rowOff>77175</xdr:rowOff>
    </xdr:to>
    <xdr:sp macro="" textlink="$AD$3">
      <xdr:nvSpPr>
        <xdr:cNvPr id="4" name="Elips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316825" y="752475"/>
          <a:ext cx="741600" cy="734400"/>
        </a:xfrm>
        <a:prstGeom prst="ellipse">
          <a:avLst/>
        </a:prstGeom>
        <a:gradFill flip="none" rotWithShape="1">
          <a:gsLst>
            <a:gs pos="0">
              <a:schemeClr val="accent2">
                <a:lumMod val="15000"/>
                <a:lumOff val="85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  <a:tileRect/>
        </a:gra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F397EEC1-F5C5-430B-8C15-F163C6709A5B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0.00%</a:t>
          </a:fld>
          <a:endParaRPr lang="es-PE" sz="1100">
            <a:solidFill>
              <a:srgbClr val="FF0000"/>
            </a:solidFill>
          </a:endParaRPr>
        </a:p>
      </xdr:txBody>
    </xdr:sp>
    <xdr:clientData/>
  </xdr:twoCellAnchor>
  <xdr:twoCellAnchor>
    <xdr:from>
      <xdr:col>32</xdr:col>
      <xdr:colOff>323850</xdr:colOff>
      <xdr:row>0</xdr:row>
      <xdr:rowOff>762001</xdr:rowOff>
    </xdr:from>
    <xdr:to>
      <xdr:col>33</xdr:col>
      <xdr:colOff>370125</xdr:colOff>
      <xdr:row>4</xdr:row>
      <xdr:rowOff>86701</xdr:rowOff>
    </xdr:to>
    <xdr:sp macro="" textlink="$AI$3">
      <xdr:nvSpPr>
        <xdr:cNvPr id="5" name="Elips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22898100" y="762001"/>
          <a:ext cx="741600" cy="734400"/>
        </a:xfrm>
        <a:prstGeom prst="ellipse">
          <a:avLst/>
        </a:prstGeom>
        <a:gradFill flip="none" rotWithShape="1">
          <a:gsLst>
            <a:gs pos="0">
              <a:schemeClr val="accent2">
                <a:lumMod val="15000"/>
                <a:lumOff val="85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5400000" scaled="1"/>
          <a:tileRect/>
        </a:gra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6D9E16B1-55DD-484F-9B20-F589AD633B43}" type="TxLink">
            <a:rPr lang="en-US" sz="11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0.00%</a:t>
          </a:fld>
          <a:endParaRPr lang="es-PE" sz="1100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438149</xdr:colOff>
      <xdr:row>0</xdr:row>
      <xdr:rowOff>57150</xdr:rowOff>
    </xdr:from>
    <xdr:to>
      <xdr:col>10</xdr:col>
      <xdr:colOff>428625</xdr:colOff>
      <xdr:row>10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lmacen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29474" y="57150"/>
              <a:ext cx="1952625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1219200</xdr:colOff>
          <xdr:row>0</xdr:row>
          <xdr:rowOff>57150</xdr:rowOff>
        </xdr:from>
        <xdr:to>
          <xdr:col>7</xdr:col>
          <xdr:colOff>342900</xdr:colOff>
          <xdr:row>1</xdr:row>
          <xdr:rowOff>142875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618563</xdr:colOff>
      <xdr:row>6</xdr:row>
      <xdr:rowOff>66675</xdr:rowOff>
    </xdr:from>
    <xdr:to>
      <xdr:col>8</xdr:col>
      <xdr:colOff>675713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lmacen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7945" y="1007969"/>
              <a:ext cx="1917327" cy="1331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626409</xdr:colOff>
      <xdr:row>16</xdr:row>
      <xdr:rowOff>154641</xdr:rowOff>
    </xdr:from>
    <xdr:to>
      <xdr:col>8</xdr:col>
      <xdr:colOff>595032</xdr:colOff>
      <xdr:row>32</xdr:row>
      <xdr:rowOff>25774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Linea">
              <a:extLst>
                <a:ext uri="{FF2B5EF4-FFF2-40B4-BE49-F238E27FC236}">
                  <a16:creationId xmlns:a16="http://schemas.microsoft.com/office/drawing/2014/main" id="{DE8F9C87-4CD9-F1B3-C6CE-194BF84E5F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n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45791" y="2664759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210307407404" backgroundQuery="1" createdVersion="6" refreshedVersion="8" minRefreshableVersion="3" recordCount="0" supportSubquery="1" supportAdvancedDrill="1" xr:uid="{00000000-000A-0000-FFFF-FFFFA3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&amp;&amp;7]" caption="Recuento distinto de &amp;&amp;7" numFmtId="0" hierarchy="31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210308564812" backgroundQuery="1" createdVersion="6" refreshedVersion="8" minRefreshableVersion="3" recordCount="0" supportSubquery="1" supportAdvancedDrill="1" xr:uid="{00000000-000A-0000-FFFF-FFFFA0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0].[Status 0]" caption="Status 0" numFmtId="0" hierarchy="19" level="1">
      <sharedItems count="1">
        <s v="CUADRADO"/>
      </sharedItems>
    </cacheField>
    <cacheField name="[Measures].[Recuento distinto de &amp;&amp;7]" caption="Recuento distinto de &amp;&amp;7" numFmtId="0" hierarchy="31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210309606482" backgroundQuery="1" createdVersion="6" refreshedVersion="8" minRefreshableVersion="3" recordCount="0" supportSubquery="1" supportAdvancedDrill="1" xr:uid="{00000000-000A-0000-FFFF-FFFF9D000000}">
  <cacheSource type="external" connectionId="1"/>
  <cacheFields count="2">
    <cacheField name="[TABLAINV].[Z].[Z]" caption="Z" numFmtId="0" hierarchy="3" level="1">
      <sharedItems count="1">
        <s v="MR"/>
      </sharedItems>
    </cacheField>
    <cacheField name="[TABLAINV].[R].[R]" caption="R" numFmtId="0" hierarchy="4" level="1">
      <sharedItems count="1">
        <s v="C01"/>
      </sharedItems>
    </cacheField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0" memberValueDatatype="130" unbalanced="0"/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R]" caption="R" attribute="1" defaultMemberUniqueName="[TABLAINV].[R].[All]" allUniqueName="[TABLAINV].[R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210310532406" backgroundQuery="1" createdVersion="6" refreshedVersion="8" minRefreshableVersion="3" recordCount="0" supportSubquery="1" supportAdvancedDrill="1" xr:uid="{00000000-000A-0000-FFFF-FFFF9A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Diferencia]" caption="Suma de Diferencia" numFmtId="0" hierarchy="32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210311574076" backgroundQuery="1" createdVersion="6" refreshedVersion="8" minRefreshableVersion="3" recordCount="0" supportSubquery="1" supportAdvancedDrill="1" xr:uid="{00000000-000A-0000-FFFF-FFFF97000000}">
  <cacheSource type="external" connectionId="1"/>
  <cacheFields count="1">
    <cacheField name="[TABLAINV].[Z&amp;R].[Z&amp;R]" caption="Z&amp;R" numFmtId="0" level="1">
      <sharedItems count="1">
        <s v="MRC01"/>
      </sharedItems>
    </cacheField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210312499999" backgroundQuery="1" createdVersion="6" refreshedVersion="8" minRefreshableVersion="3" recordCount="0" supportSubquery="1" supportAdvancedDrill="1" xr:uid="{00000000-000A-0000-FFFF-FFFF94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Codigo]" caption="Recuento distinto de Codigo" numFmtId="0" hierarchy="34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210313541669" backgroundQuery="1" createdVersion="6" refreshedVersion="8" minRefreshableVersion="3" recordCount="0" supportSubquery="1" supportAdvancedDrill="1" xr:uid="{00000000-000A-0000-FFFF-FFFF91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Recuento distinto de Codigo]" caption="Recuento distinto de Codigo" numFmtId="0" hierarchy="34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210314583332" backgroundQuery="1" createdVersion="6" refreshedVersion="8" minRefreshableVersion="3" recordCount="0" supportSubquery="1" supportAdvancedDrill="1" xr:uid="{00000000-000A-0000-FFFF-FFFF8E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Valorizado Diferencia]" caption="Suma de Valorizado Diferencia" numFmtId="0" hierarchy="35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27.21031574074" backgroundQuery="1" createdVersion="6" refreshedVersion="8" minRefreshableVersion="3" recordCount="0" supportSubquery="1" supportAdvancedDrill="1" xr:uid="{00000000-000A-0000-FFFF-FFFF8B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Suma de VALORIZADO STOCK]" caption="Suma de VALORIZADO STOCK" numFmtId="0" hierarchy="36" level="32767"/>
  </cacheFields>
  <cacheHierarchies count="38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. UND]" caption="Cant. UND" attribute="1" defaultMemberUniqueName="[TABLAINV].[Cant. UND].[All]" allUniqueName="[TABLAINV].[Cant. UND].[All]" dimensionUniqueName="[TABLAINV]" displayFolder="" count="0" memberValueDatatype="20" unbalanced="0"/>
    <cacheHierarchy uniqueName="[TABLAINV].[Cant. CJ]" caption="Cant. CJ" attribute="1" defaultMemberUniqueName="[TABLAINV].[Cant. CJ].[All]" allUniqueName="[TABLAINV].[Cant. CJ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Denis Limache Canales" refreshedDate="45827.210316550925" createdVersion="5" refreshedVersion="8" minRefreshableVersion="3" recordCount="422" xr:uid="{00000000-000A-0000-FFFF-FFFFAF000000}">
  <cacheSource type="worksheet">
    <worksheetSource name="TABLAINV"/>
  </cacheSource>
  <cacheFields count="29">
    <cacheField name="Z&amp;R" numFmtId="0">
      <sharedItems/>
    </cacheField>
    <cacheField name="&amp;&amp;7" numFmtId="0">
      <sharedItems/>
    </cacheField>
    <cacheField name="Codificacion" numFmtId="0">
      <sharedItems containsNonDate="0" containsString="0" containsBlank="1"/>
    </cacheField>
    <cacheField name="Z" numFmtId="0">
      <sharedItems containsMixedTypes="1" containsNumber="1" containsInteger="1" minValue="1" maxValue="1" count="2">
        <s v="MR"/>
        <n v="1" u="1"/>
      </sharedItems>
    </cacheField>
    <cacheField name="R" numFmtId="0">
      <sharedItems containsMixedTypes="1" containsNumber="1" containsInteger="1" minValue="1" maxValue="33" count="33">
        <s v="C0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33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32" u="1"/>
      </sharedItems>
    </cacheField>
    <cacheField name="C" numFmtId="0">
      <sharedItems containsSemiMixedTypes="0" containsString="0" containsNumber="1" containsInteger="1" minValue="1" maxValue="231"/>
    </cacheField>
    <cacheField name="N" numFmtId="0">
      <sharedItems containsSemiMixedTypes="0" containsString="0" containsNumber="1" containsInteger="1" minValue="1" maxValue="9" count="9">
        <n v="1"/>
        <n v="3"/>
        <n v="2"/>
        <n v="5" u="1"/>
        <n v="6" u="1"/>
        <n v="7" u="1"/>
        <n v="8" u="1"/>
        <n v="9" u="1"/>
        <n v="4" u="1"/>
      </sharedItems>
    </cacheField>
    <cacheField name="Codigo" numFmtId="0">
      <sharedItems containsSemiMixedTypes="0" containsString="0" containsNumber="1" containsInteger="1" minValue="3202" maxValue="1019074003" count="3044">
        <n v="396035001"/>
        <n v="973054"/>
        <n v="3283"/>
        <n v="974465"/>
        <n v="317947"/>
        <n v="998918"/>
        <n v="70841001"/>
        <n v="974002"/>
        <n v="733867"/>
        <n v="973999"/>
        <n v="4247"/>
        <n v="112569"/>
        <n v="342607"/>
        <n v="56462002"/>
        <n v="353462001"/>
        <n v="913114"/>
        <n v="913115"/>
        <n v="317948"/>
        <n v="396035003"/>
        <n v="118644003"/>
        <n v="4229"/>
        <n v="1021542"/>
        <n v="484897"/>
        <n v="91045"/>
        <n v="1019074002"/>
        <n v="716844"/>
        <n v="1022402"/>
        <n v="392304"/>
        <n v="452024"/>
        <n v="1016137"/>
        <n v="947966"/>
        <n v="334950"/>
        <n v="1014461"/>
        <n v="1021541"/>
        <n v="396035007"/>
        <n v="1016134"/>
        <n v="1014462"/>
        <n v="1021546"/>
        <n v="560877"/>
        <n v="531943"/>
        <n v="482548"/>
        <n v="1021543"/>
        <n v="353468"/>
        <n v="558895"/>
        <n v="477426003"/>
        <n v="70841003"/>
        <n v="892485"/>
        <n v="1016133"/>
        <n v="568242"/>
        <n v="4227"/>
        <n v="518476003"/>
        <n v="449851003"/>
        <n v="373212"/>
        <n v="723876"/>
        <n v="1031960"/>
        <n v="21125"/>
        <n v="975713"/>
        <n v="932074"/>
        <n v="768747"/>
        <n v="485926"/>
        <n v="998267"/>
        <n v="51929001"/>
        <n v="774007"/>
        <n v="40596"/>
        <n v="451975"/>
        <n v="1031961"/>
        <n v="464457"/>
        <n v="892487"/>
        <n v="543529"/>
        <n v="560871"/>
        <n v="59505001"/>
        <n v="1031962"/>
        <n v="353462002"/>
        <n v="4236"/>
        <n v="49463005"/>
        <n v="1031959"/>
        <n v="1031957"/>
        <n v="727300"/>
        <n v="913116"/>
        <n v="558891"/>
        <n v="1031956"/>
        <n v="70125"/>
        <n v="750562001"/>
        <n v="735373001"/>
        <n v="789725"/>
        <n v="49463004"/>
        <n v="735373003"/>
        <n v="562742"/>
        <n v="4759"/>
        <n v="531747"/>
        <n v="533047006"/>
        <n v="203744"/>
        <n v="4231"/>
        <n v="373210"/>
        <n v="4724"/>
        <n v="143829"/>
        <n v="567791"/>
        <n v="735373002"/>
        <n v="374077"/>
        <n v="4763"/>
        <n v="768637001"/>
        <n v="789726"/>
        <n v="1024536"/>
        <n v="464456"/>
        <n v="49463006"/>
        <n v="954239003"/>
        <n v="115544"/>
        <n v="4257"/>
        <n v="787636"/>
        <n v="4259"/>
        <n v="1024535"/>
        <n v="374076"/>
        <n v="62650"/>
        <n v="754392"/>
        <n v="716769"/>
        <n v="768638003"/>
        <n v="1015686"/>
        <n v="4228"/>
        <n v="452020"/>
        <n v="70124"/>
        <n v="567790"/>
        <n v="3378"/>
        <n v="373449"/>
        <n v="4986"/>
        <n v="142477"/>
        <n v="143871001"/>
        <n v="719573"/>
        <n v="1024529"/>
        <n v="48223001"/>
        <n v="508126"/>
        <n v="143871002"/>
        <n v="470338"/>
        <n v="518476004"/>
        <n v="59505002"/>
        <n v="4993"/>
        <n v="506514"/>
        <n v="768104"/>
        <n v="768638002"/>
        <n v="225493"/>
        <n v="49463001"/>
        <n v="74982"/>
        <n v="754391"/>
        <n v="889644"/>
        <n v="1024534"/>
        <n v="48223002"/>
        <n v="754389"/>
        <n v="45685"/>
        <n v="947275"/>
        <n v="1024532"/>
        <n v="38955"/>
        <n v="768638001"/>
        <n v="531596002"/>
        <n v="736118"/>
        <n v="757474"/>
        <n v="402730"/>
        <n v="755916"/>
        <n v="533047005"/>
        <n v="477090001"/>
        <n v="355397"/>
        <n v="451983"/>
        <n v="49463003"/>
        <n v="768637002"/>
        <n v="771246"/>
        <n v="1024530"/>
        <n v="1031958"/>
        <n v="23494"/>
        <n v="357712"/>
        <n v="531745"/>
        <n v="475903"/>
        <n v="902578"/>
        <n v="45959"/>
        <n v="961174"/>
        <n v="533047001"/>
        <n v="947247"/>
        <n v="954239001"/>
        <n v="1030706"/>
        <n v="314889"/>
        <n v="774198"/>
        <n v="252911"/>
        <n v="373674"/>
        <n v="533047003"/>
        <n v="891733"/>
        <n v="954239002"/>
        <n v="1022890"/>
        <n v="484645"/>
        <n v="62651"/>
        <n v="987088"/>
        <n v="25919"/>
        <n v="929130002"/>
        <n v="974370"/>
        <n v="1032074"/>
        <n v="519035"/>
        <n v="201800"/>
        <n v="43094"/>
        <n v="563849002"/>
        <n v="700052"/>
        <n v="974360"/>
        <n v="1037083"/>
        <n v="17534"/>
        <n v="549450"/>
        <n v="720432"/>
        <n v="768476"/>
        <n v="779259"/>
        <n v="902564"/>
        <n v="181138"/>
        <n v="215669002"/>
        <n v="768064"/>
        <n v="974359"/>
        <n v="186264"/>
        <n v="515988"/>
        <n v="545902"/>
        <n v="733536"/>
        <n v="964925001"/>
        <n v="1031097"/>
        <n v="1032075"/>
        <n v="3746"/>
        <n v="563849003"/>
        <n v="975710"/>
        <n v="127638"/>
        <n v="160564"/>
        <n v="785237"/>
        <n v="975714"/>
        <n v="1032073"/>
        <n v="118644001"/>
        <n v="17495"/>
        <n v="87336"/>
        <n v="370846"/>
        <n v="767775"/>
        <n v="774005"/>
        <n v="974365"/>
        <n v="997982"/>
        <n v="1023464"/>
        <n v="201724"/>
        <n v="768743002"/>
        <n v="952079003"/>
        <n v="252912"/>
        <n v="407900"/>
        <n v="531493"/>
        <n v="916693"/>
        <n v="733537002"/>
        <n v="768744001"/>
        <n v="532156"/>
        <n v="76762"/>
        <n v="768651"/>
        <n v="19621"/>
        <n v="929130003"/>
        <n v="549446"/>
        <n v="1022887"/>
        <n v="960980"/>
        <n v="1011365"/>
        <n v="252913"/>
        <n v="952982"/>
        <n v="965501"/>
        <n v="956390003"/>
        <n v="76803"/>
        <n v="768390002"/>
        <n v="3386"/>
        <n v="973317"/>
        <n v="733535002"/>
        <n v="457963"/>
        <n v="973323"/>
        <n v="209785"/>
        <n v="916698"/>
        <n v="1027530"/>
        <n v="457137"/>
        <n v="1032135"/>
        <n v="10649"/>
        <n v="107670"/>
        <n v="220649"/>
        <n v="38332"/>
        <n v="404957"/>
        <n v="438370"/>
        <n v="531596004"/>
        <n v="565765"/>
        <n v="565848"/>
        <n v="713010"/>
        <n v="714167"/>
        <n v="734691"/>
        <n v="753538005"/>
        <n v="753538007"/>
        <n v="78738"/>
        <n v="929129002"/>
        <n v="962182"/>
        <n v="963276"/>
        <n v="963277"/>
        <n v="975721"/>
        <n v="1019409"/>
        <n v="1025869"/>
        <n v="1025902"/>
        <n v="1025985"/>
        <n v="1033634"/>
        <n v="113219005"/>
        <n v="137400001"/>
        <n v="227919"/>
        <n v="228076"/>
        <n v="262192"/>
        <n v="3202"/>
        <n v="3287"/>
        <n v="376554"/>
        <n v="394373002"/>
        <n v="395221"/>
        <n v="418210"/>
        <n v="428369"/>
        <n v="4352"/>
        <n v="4772"/>
        <n v="506558002"/>
        <n v="522972"/>
        <n v="531773"/>
        <n v="557846"/>
        <n v="560744002"/>
        <n v="574668"/>
        <n v="59393001"/>
        <n v="702667"/>
        <n v="759710"/>
        <n v="759829002"/>
        <n v="794886"/>
        <n v="82823"/>
        <n v="928913"/>
        <n v="938062"/>
        <n v="951041"/>
        <n v="959870"/>
        <n v="962268"/>
        <n v="973126"/>
        <n v="984490"/>
        <n v="98704"/>
        <n v="996622001"/>
        <n v="1028348"/>
        <n v="989048"/>
        <n v="946362001" u="1"/>
        <n v="757640" u="1"/>
        <n v="947238" u="1"/>
        <n v="989595" u="1"/>
        <n v="939172" u="1"/>
        <n v="1031954" u="1"/>
        <n v="177999" u="1"/>
        <n v="484648" u="1"/>
        <n v="1031955" u="1"/>
        <n v="972454" u="1"/>
        <n v="970438" u="1"/>
        <n v="972455" u="1"/>
        <n v="563005" u="1"/>
        <n v="970439" u="1"/>
        <n v="972456" u="1"/>
        <n v="976491" u="1"/>
        <n v="477766003" u="1"/>
        <n v="373211" u="1"/>
        <n v="970441" u="1"/>
        <n v="976492" u="1"/>
        <n v="947246" u="1"/>
        <n v="971450" u="1"/>
        <n v="939179" u="1"/>
        <n v="934137" u="1"/>
        <n v="947248" u="1"/>
        <n v="939181" u="1"/>
        <n v="972462" u="1"/>
        <n v="531748" u="1"/>
        <n v="939182" u="1"/>
        <n v="977505" u="1"/>
        <n v="768746" u="1"/>
        <n v="972463" u="1"/>
        <n v="1022888" u="1"/>
        <n v="1026922" u="1"/>
        <n v="531749" u="1"/>
        <n v="939183" u="1"/>
        <n v="977506" u="1"/>
        <n v="1017846" u="1"/>
        <n v="972464" u="1"/>
        <n v="1022889" u="1"/>
        <n v="768748" u="1"/>
        <n v="972465" u="1"/>
        <n v="1026924" u="1"/>
        <n v="1034992" u="1"/>
        <n v="753621" u="1"/>
        <n v="1001712" u="1"/>
        <n v="768749" u="1"/>
        <n v="972466" u="1"/>
        <n v="1022891" u="1"/>
        <n v="770767" u="1"/>
        <n v="972467" u="1"/>
        <n v="949272" u="1"/>
        <n v="965408" u="1"/>
        <n v="973476" u="1"/>
        <n v="1007878001" u="1"/>
        <n v="768751" u="1"/>
        <n v="934145" u="1"/>
        <n v="973477" u="1"/>
        <n v="770769" u="1"/>
        <n v="934146" u="1"/>
        <n v="970452" u="1"/>
        <n v="468520" u="1"/>
        <n v="970453" u="1"/>
        <n v="942216" u="1"/>
        <n v="468521" u="1"/>
        <n v="787916" u="1"/>
        <n v="48396001" u="1"/>
        <n v="118484" u="1"/>
        <n v="970455" u="1"/>
        <n v="718331" u="1"/>
        <n v="984575" u="1"/>
        <n v="757663" u="1"/>
        <n v="449865" u="1"/>
        <n v="984576" u="1"/>
        <n v="942220" u="1"/>
        <n v="984577" u="1"/>
        <n v="955331" u="1"/>
        <n v="999705" u="1"/>
        <n v="449866" u="1"/>
        <n v="984578" u="1"/>
        <n v="951298" u="1"/>
        <n v="999706" u="1"/>
        <n v="752624" u="1"/>
        <n v="984579" u="1"/>
        <n v="999707" u="1"/>
        <n v="449867" u="1"/>
        <n v="955334" u="1"/>
        <n v="999708" u="1"/>
        <n v="985590" u="1"/>
        <n v="991641" u="1"/>
        <n v="999709" u="1"/>
        <n v="985591" u="1"/>
        <n v="999710" u="1"/>
        <n v="70841004" u="1"/>
        <n v="984584" u="1"/>
        <n v="756664" u="1"/>
        <n v="768766" u="1"/>
        <n v="396035002" u="1"/>
        <n v="768767" u="1"/>
        <n v="769776" u="1"/>
        <n v="768768" u="1"/>
        <n v="748599" u="1"/>
        <n v="768769" u="1"/>
        <n v="769778" u="1"/>
        <n v="947274" u="1"/>
        <n v="757678" u="1"/>
        <n v="955345" u="1"/>
        <n v="976524" u="1"/>
        <n v="900887" u="1"/>
        <n v="740536" u="1"/>
        <n v="972491" u="1"/>
        <n v="955347" u="1"/>
        <n v="909965" u="1"/>
        <n v="972492" u="1"/>
        <n v="899881" u="1"/>
        <n v="772708002" u="1"/>
        <n v="721379" u="1"/>
        <n v="956360" u="1"/>
        <n v="721380" u="1"/>
        <n v="721381" u="1"/>
        <n v="890809" u="1"/>
        <n v="955353" u="1"/>
        <n v="795002" u="1"/>
        <n v="955354" u="1"/>
        <n v="3385" u="1"/>
        <n v="786936" u="1"/>
        <n v="900897" u="1"/>
        <n v="955357" u="1"/>
        <n v="970485" u="1"/>
        <n v="231714" u="1"/>
        <n v="955358" u="1"/>
        <n v="45684" u="1"/>
        <n v="955359" u="1"/>
        <n v="955360" u="1"/>
        <n v="976539" u="1"/>
        <n v="955361" u="1"/>
        <n v="955362" u="1"/>
        <n v="59468003" u="1"/>
        <n v="976541" u="1"/>
        <n v="964923002" u="1"/>
        <n v="955363" u="1"/>
        <n v="457950" u="1"/>
        <n v="972508" u="1"/>
        <n v="955364" u="1"/>
        <n v="981585" u="1"/>
        <n v="19718" u="1"/>
        <n v="976543" u="1"/>
        <n v="939229" u="1"/>
        <n v="981586" u="1"/>
        <n v="968476" u="1"/>
        <n v="1039071" u="1"/>
        <n v="939230" u="1"/>
        <n v="955366" u="1"/>
        <n v="981587" u="1"/>
        <n v="26620" u="1"/>
        <n v="783922" u="1"/>
        <n v="981588" u="1"/>
        <n v="939232" u="1"/>
        <n v="955368" u="1"/>
        <n v="981589" u="1"/>
        <n v="713329" u="1"/>
        <n v="955369" u="1"/>
        <n v="981590" u="1"/>
        <n v="955370" u="1"/>
        <n v="981591" u="1"/>
        <n v="976549" u="1"/>
        <n v="3389" u="1"/>
        <n v="981592" u="1"/>
        <n v="978567" u="1"/>
        <n v="1039077" u="1"/>
        <n v="358617" u="1"/>
        <n v="955372" u="1"/>
        <n v="981593" u="1"/>
        <n v="978568" u="1"/>
        <n v="1039078" u="1"/>
        <n v="955373" u="1"/>
        <n v="981594" u="1"/>
        <n v="978569" u="1"/>
        <n v="992688" u="1"/>
        <n v="1039079" u="1"/>
        <n v="981595" u="1"/>
        <n v="6913" u="1"/>
        <n v="786955" u="1"/>
        <n v="1039080" u="1"/>
        <n v="955375" u="1"/>
        <n v="981596" u="1"/>
        <n v="1032021" u="1"/>
        <n v="485446001" u="1"/>
        <n v="955376" u="1"/>
        <n v="940249" u="1"/>
        <n v="787966" u="1"/>
        <n v="955377" u="1"/>
        <n v="940250" u="1"/>
        <n v="411062" u="1"/>
        <n v="955378" u="1"/>
        <n v="1038076" u="1"/>
        <n v="914031" u="1"/>
        <n v="366689" u="1"/>
        <n v="4250" u="1"/>
        <n v="947316" u="1"/>
        <n v="394425" u="1"/>
        <n v="956393" u="1"/>
        <n v="984631" u="1"/>
        <n v="749651" u="1"/>
        <n v="947317" u="1"/>
        <n v="956394" u="1"/>
        <n v="984632" u="1"/>
        <n v="984634" u="1"/>
        <n v="749654" u="1"/>
        <n v="749655" u="1"/>
        <n v="921100" u="1"/>
        <n v="970517" u="1"/>
        <n v="984636" u="1"/>
        <n v="749656" u="1"/>
        <n v="921101" u="1"/>
        <n v="396445" u="1"/>
        <n v="984637" u="1"/>
        <n v="784955" u="1"/>
        <n v="912026" u="1"/>
        <n v="984638" u="1"/>
        <n v="465024" u="1"/>
        <n v="940265" u="1"/>
        <n v="984639" u="1"/>
        <n v="536866" u="1"/>
        <n v="291563" u="1"/>
        <n v="396447" u="1"/>
        <n v="536867" u="1"/>
        <n v="984641" u="1"/>
        <n v="921106" u="1"/>
        <n v="984642" u="1"/>
        <n v="921107" u="1"/>
        <n v="938252" u="1"/>
        <n v="970524" u="1"/>
        <n v="984643" u="1"/>
        <n v="921108" u="1"/>
        <n v="938253" u="1"/>
        <n v="1032044" u="1"/>
        <n v="772708001" u="1"/>
        <n v="938254" u="1"/>
        <n v="921110" u="1"/>
        <n v="922119" u="1"/>
        <n v="921111" u="1"/>
        <n v="993726" u="1"/>
        <n v="567131" u="1"/>
        <n v="567132" u="1"/>
        <n v="912039" u="1"/>
        <n v="938260" u="1"/>
        <n v="98702" u="1"/>
        <n v="927169" u="1"/>
        <n v="986671" u="1"/>
        <n v="986672" u="1"/>
        <n v="986673" u="1"/>
        <n v="964923001" u="1"/>
        <n v="946334" u="1"/>
        <n v="986674" u="1"/>
        <n v="939275" u="1"/>
        <n v="768755001" u="1"/>
        <n v="946335" u="1"/>
        <n v="927174" u="1"/>
        <n v="559072" u="1"/>
        <n v="946336" u="1"/>
        <n v="727492" u="1"/>
        <n v="939277" u="1"/>
        <n v="80676" u="1"/>
        <n v="992728" u="1"/>
        <n v="759765" u="1"/>
        <n v="946338" u="1"/>
        <n v="992729" u="1"/>
        <n v="992730" u="1"/>
        <n v="992731" u="1"/>
        <n v="996765" u="1"/>
        <n v="474830038" u="1"/>
        <n v="992732" u="1"/>
        <n v="996766" u="1"/>
        <n v="118644002" u="1"/>
        <n v="992734" u="1"/>
        <n v="701278" u="1"/>
        <n v="970548" u="1"/>
        <n v="989710" u="1"/>
        <n v="48373007" u="1"/>
        <n v="970549" u="1"/>
        <n v="1022991" u="1"/>
        <n v="358642" u="1"/>
        <n v="913065" u="1"/>
        <n v="989711" u="1"/>
        <n v="970550" u="1"/>
        <n v="701281" u="1"/>
        <n v="989712" u="1"/>
        <n v="559083" u="1"/>
        <n v="768851" u="1"/>
        <n v="970551" u="1"/>
        <n v="913067" u="1"/>
        <n v="955424" u="1"/>
        <n v="970552" u="1"/>
        <n v="972569" u="1"/>
        <n v="701283" u="1"/>
        <n v="762802" u="1"/>
        <n v="970553" u="1"/>
        <n v="972570" u="1"/>
        <n v="400497" u="1"/>
        <n v="970554" u="1"/>
        <n v="972571" u="1"/>
        <n v="986690" u="1"/>
        <n v="955427" u="1"/>
        <n v="1038124" u="1"/>
        <n v="897943" u="1"/>
        <n v="970555" u="1"/>
        <n v="955428" u="1"/>
        <n v="970556" u="1"/>
        <n v="757763" u="1"/>
        <n v="955429" u="1"/>
        <n v="970557" u="1"/>
        <n v="757764" u="1"/>
        <n v="939294" u="1"/>
        <n v="955430" u="1"/>
        <n v="970558" u="1"/>
        <n v="757765" u="1"/>
        <n v="534887" u="1"/>
        <n v="970559" u="1"/>
        <n v="988712" u="1"/>
        <n v="757766" u="1"/>
        <n v="890888" u="1"/>
        <n v="970560" u="1"/>
        <n v="988713" u="1"/>
        <n v="918120" u="1"/>
        <n v="974596" u="1"/>
        <n v="311249" u="1"/>
        <n v="970563" u="1"/>
        <n v="445380" u="1"/>
        <n v="955436" u="1"/>
        <n v="970564" u="1"/>
        <n v="567165" u="1"/>
        <n v="970565" u="1"/>
        <n v="445381" u="1"/>
        <n v="568174" u="1"/>
        <n v="970566" u="1"/>
        <n v="928210" u="1"/>
        <n v="970567" u="1"/>
        <n v="445382" u="1"/>
        <n v="970568" u="1"/>
        <n v="970569" u="1"/>
        <n v="445383" u="1"/>
        <n v="567170" u="1"/>
        <n v="970570" u="1"/>
        <n v="757777" u="1"/>
        <n v="10520" u="1"/>
        <n v="970571" u="1"/>
        <n v="477656" u="1"/>
        <n v="757778" u="1"/>
        <n v="949393" u="1"/>
        <n v="567172" u="1"/>
        <n v="926198" u="1"/>
        <n v="970572" u="1"/>
        <n v="485403002" u="1"/>
        <n v="757779" u="1"/>
        <n v="781983" u="1"/>
        <n v="965530" u="1"/>
        <n v="10457" u="1"/>
        <n v="970573" u="1"/>
        <n v="965531" u="1"/>
        <n v="970574" u="1"/>
        <n v="986710" u="1"/>
        <n v="311255" u="1"/>
        <n v="965532" u="1"/>
        <n v="970575" u="1"/>
        <n v="986711" u="1"/>
        <n v="423199" u="1"/>
        <n v="965533" u="1"/>
        <n v="567176" u="1"/>
        <n v="970576" u="1"/>
        <n v="986712" u="1"/>
        <n v="965534" u="1"/>
        <n v="970577" u="1"/>
        <n v="965535" u="1"/>
        <n v="970578" u="1"/>
        <n v="781989" u="1"/>
        <n v="965536" u="1"/>
        <n v="979655" u="1"/>
        <n v="567179" u="1"/>
        <n v="970579" u="1"/>
        <n v="965537" u="1"/>
        <n v="887883" u="1"/>
        <n v="970580" u="1"/>
        <n v="965538" u="1"/>
        <n v="441859" u="1"/>
        <n v="567181" u="1"/>
        <n v="965539" u="1"/>
        <n v="3866" u="1"/>
        <n v="965540" u="1"/>
        <n v="969574" u="1"/>
        <n v="991761" u="1"/>
        <n v="474831051" u="1"/>
        <n v="960498" u="1"/>
        <n v="344540" u="1"/>
        <n v="965541" u="1"/>
        <n v="969575" u="1"/>
        <n v="960499" u="1"/>
        <n v="965542" u="1"/>
        <n v="887889" u="1"/>
        <n v="924195" u="1"/>
        <n v="911085" u="1"/>
        <n v="976638" u="1"/>
        <n v="976639" u="1"/>
        <n v="976640" u="1"/>
        <n v="757796" u="1"/>
        <n v="12947" u="1"/>
        <n v="545003" u="1"/>
        <n v="908063" u="1"/>
        <n v="976642" u="1"/>
        <n v="989753" u="1"/>
        <n v="756790" u="1"/>
        <n v="976643" u="1"/>
        <n v="756791" u="1"/>
        <n v="976644" u="1"/>
        <n v="952079001" u="1"/>
        <n v="756792" u="1"/>
        <n v="756793" u="1"/>
        <n v="974629" u="1"/>
        <n v="976646" u="1"/>
        <n v="59573001" u="1"/>
        <n v="756794" u="1"/>
        <n v="887899" u="1"/>
        <n v="974630" u="1"/>
        <n v="976647" u="1"/>
        <n v="486241" u="1"/>
        <n v="887900" u="1"/>
        <n v="976648" u="1"/>
        <n v="973623" u="1"/>
        <n v="887902" u="1"/>
        <n v="960515" u="1"/>
        <n v="887904" u="1"/>
        <n v="954466" u="1"/>
        <n v="488262" u="1"/>
        <n v="956390002" u="1"/>
        <n v="946402" u="1"/>
        <n v="4235" u="1"/>
        <n v="458009" u="1"/>
        <n v="975652" u="1"/>
        <n v="740672" u="1"/>
        <n v="101485" u="1"/>
        <n v="389432" u="1"/>
        <n v="757819" u="1"/>
        <n v="963553" u="1"/>
        <n v="789083" u="1"/>
        <n v="733616" u="1"/>
        <n v="753786" u="1"/>
        <n v="963554" u="1"/>
        <n v="990784" u="1"/>
        <n v="757821" u="1"/>
        <n v="963555" u="1"/>
        <n v="989776" u="1"/>
        <n v="968598" u="1"/>
        <n v="535952" u="1"/>
        <n v="753788" u="1"/>
        <n v="963556" u="1"/>
        <n v="965573" u="1"/>
        <n v="963557" u="1"/>
        <n v="11088" u="1"/>
        <n v="930277" u="1"/>
        <n v="990787" u="1"/>
        <n v="757824" u="1"/>
        <n v="965575" u="1"/>
        <n v="990788" u="1"/>
        <n v="761859" u="1"/>
        <n v="886913" u="1"/>
        <n v="921202" u="1"/>
        <n v="274467" u="1"/>
        <n v="458014" u="1"/>
        <n v="970619" u="1"/>
        <n v="990789" u="1"/>
        <n v="568228" u="1"/>
        <n v="386411" u="1"/>
        <n v="789090" u="1"/>
        <n v="930280" u="1"/>
        <n v="990790" u="1"/>
        <n v="975664" u="1"/>
        <n v="987768" u="1"/>
        <n v="963565" u="1"/>
        <n v="437847" u="1"/>
        <n v="702365" u="1"/>
        <n v="404063" u="1"/>
        <n v="971635" u="1"/>
        <n v="972644" u="1"/>
        <n v="286069" u="1"/>
        <n v="971636" u="1"/>
        <n v="972645" u="1"/>
        <n v="963569" u="1"/>
        <n v="971637" u="1"/>
        <n v="789099" u="1"/>
        <n v="98714" u="1"/>
        <n v="568238" u="1"/>
        <n v="963570" u="1"/>
        <n v="971638" u="1"/>
        <n v="789100" u="1"/>
        <n v="944409" u="1"/>
        <n v="972647" u="1"/>
        <n v="963571" u="1"/>
        <n v="944410" u="1"/>
        <n v="568240" u="1"/>
        <n v="963572" u="1"/>
        <n v="973657" u="1"/>
        <n v="789102" u="1"/>
        <n v="944411" u="1"/>
        <n v="972649" u="1"/>
        <n v="963573" u="1"/>
        <n v="973658" u="1"/>
        <n v="944412" u="1"/>
        <n v="963574" u="1"/>
        <n v="973659" u="1"/>
        <n v="986770" u="1"/>
        <n v="973660" u="1"/>
        <n v="789105" u="1"/>
        <n v="886930" u="1"/>
        <n v="973661" u="1"/>
        <n v="253883002" u="1"/>
        <n v="972653" u="1"/>
        <n v="973662" u="1"/>
        <n v="939374" u="1"/>
        <n v="965595" u="1"/>
        <n v="973663" u="1"/>
        <n v="10395" u="1"/>
        <n v="760871" u="1"/>
        <n v="965597" u="1"/>
        <n v="969631" u="1"/>
        <n v="62649" u="1"/>
        <n v="761881" u="1"/>
        <n v="970641" u="1"/>
        <n v="941395" u="1"/>
        <n v="727594" u="1"/>
        <n v="971651" u="1"/>
        <n v="973669" u="1"/>
        <n v="956525" u="1"/>
        <n v="531947" u="1"/>
        <n v="973670" u="1"/>
        <n v="531948" u="1"/>
        <n v="761886" u="1"/>
        <n v="971654" u="1"/>
        <n v="496855" u="1"/>
        <n v="519042" u="1"/>
        <n v="531949" u="1"/>
        <n v="913162" u="1"/>
        <n v="939383" u="1"/>
        <n v="963587" u="1"/>
        <n v="939384" u="1"/>
        <n v="953503" u="1"/>
        <n v="939385" u="1"/>
        <n v="973674" u="1"/>
        <n v="939386" u="1"/>
        <n v="971658" u="1"/>
        <n v="973675" u="1"/>
        <n v="973676" u="1"/>
        <n v="987795" u="1"/>
        <n v="570277" u="1"/>
        <n v="761892" u="1"/>
        <n v="963593" u="1"/>
        <n v="956390001" u="1"/>
        <n v="451980" u="1"/>
        <n v="954517" u="1"/>
        <n v="713486" u="1"/>
        <n v="987798" u="1"/>
        <n v="954518" u="1"/>
        <n v="969646" u="1"/>
        <n v="976706" u="1"/>
        <n v="382395" u="1"/>
        <n v="761898" u="1"/>
        <n v="969649" u="1"/>
        <n v="989819" u="1"/>
        <n v="902080" u="1"/>
        <n v="946454" u="1"/>
        <n v="737695" u="1"/>
        <n v="975701" u="1"/>
        <n v="740721" u="1"/>
        <n v="975702" u="1"/>
        <n v="386431" u="1"/>
        <n v="902082" u="1"/>
        <n v="946456" u="1"/>
        <n v="570286" u="1"/>
        <n v="975703" u="1"/>
        <n v="492324" u="1"/>
        <n v="946457" u="1"/>
        <n v="576338" u="1"/>
        <n v="969653" u="1"/>
        <n v="975704" u="1"/>
        <n v="570288" u="1"/>
        <n v="886957" u="1"/>
        <n v="975705" u="1"/>
        <n v="569280" u="1"/>
        <n v="902085" u="1"/>
        <n v="719547" u="1"/>
        <n v="723581" u="1"/>
        <n v="774006" u="1"/>
        <n v="569281" u="1"/>
        <n v="722573" u="1"/>
        <n v="536001" u="1"/>
        <n v="987809" u="1"/>
        <n v="902087" u="1"/>
        <n v="956546" u="1"/>
        <n v="987810" u="1"/>
        <n v="1019075" u="1"/>
        <n v="485403001" u="1"/>
        <n v="956549" u="1"/>
        <n v="723586" u="1"/>
        <n v="987813" u="1"/>
        <n v="987814" u="1"/>
        <n v="961594" u="1"/>
        <n v="987815" u="1"/>
        <n v="987816" u="1"/>
        <n v="956553" u="1"/>
        <n v="986808" u="1"/>
        <n v="570298" u="1"/>
        <n v="987817" u="1"/>
        <n v="712497" u="1"/>
        <n v="956554" u="1"/>
        <n v="570299" u="1"/>
        <n v="939410" u="1"/>
        <n v="987818" u="1"/>
        <n v="781076" u="1"/>
        <n v="986810" u="1"/>
        <n v="712499" u="1"/>
        <n v="986811" u="1"/>
        <n v="939412" u="1"/>
        <n v="712500" u="1"/>
        <n v="986812" u="1"/>
        <n v="913192" u="1"/>
        <n v="740739" u="1"/>
        <n v="913193" u="1"/>
        <n v="542066" u="1"/>
        <n v="891008" u="1"/>
        <n v="913195" u="1"/>
        <n v="991858" u="1"/>
        <n v="984799" u="1"/>
        <n v="768391001" u="1"/>
        <n v="712505" u="1"/>
        <n v="986817" u="1"/>
        <n v="991860" u="1"/>
        <n v="712506" u="1"/>
        <n v="712507" u="1"/>
        <n v="886978" u="1"/>
        <n v="712508" u="1"/>
        <n v="919251" u="1"/>
        <n v="975727" u="1"/>
        <n v="712509" u="1"/>
        <n v="886980" u="1"/>
        <n v="913201" u="1"/>
        <n v="975728" u="1"/>
        <n v="712510" u="1"/>
        <n v="913202" u="1"/>
        <n v="975729" u="1"/>
        <n v="535015" u="1"/>
        <n v="975730" u="1"/>
        <n v="975731" u="1"/>
        <n v="913205" u="1"/>
        <n v="975732" u="1"/>
        <n v="930350" u="1"/>
        <n v="986826" u="1"/>
        <n v="975733" u="1"/>
        <n v="930351" u="1"/>
        <n v="976742" u="1"/>
        <n v="986827" u="1"/>
        <n v="975734" u="1"/>
        <n v="25271" u="1"/>
        <n v="986828" u="1"/>
        <n v="975735" u="1"/>
        <n v="930353" u="1"/>
        <n v="986829" u="1"/>
        <n v="961617" u="1"/>
        <n v="986830" u="1"/>
        <n v="971703" u="1"/>
        <n v="793199" u="1"/>
        <n v="930355" u="1"/>
        <n v="978763" u="1"/>
        <n v="986831" u="1"/>
        <n v="913211" u="1"/>
        <n v="971704" u="1"/>
        <n v="793200" u="1"/>
        <n v="978764" u="1"/>
        <n v="986832" u="1"/>
        <n v="971705" u="1"/>
        <n v="948510" u="1"/>
        <n v="986833" u="1"/>
        <n v="913213" u="1"/>
        <n v="939434" u="1"/>
        <n v="961621" u="1"/>
        <n v="969689" u="1"/>
        <n v="987842" u="1"/>
        <n v="986834" u="1"/>
        <n v="1021123" u="1"/>
        <n v="913214" u="1"/>
        <n v="923299" u="1"/>
        <n v="987843" u="1"/>
        <n v="769000" u="1"/>
        <n v="913216" u="1"/>
        <n v="793205" u="1"/>
        <n v="964650" u="1"/>
        <n v="964651" u="1"/>
        <n v="913218" u="1"/>
        <n v="964652" u="1"/>
        <n v="913220" u="1"/>
        <n v="913221" u="1"/>
        <n v="964655" u="1"/>
        <n v="964656" u="1"/>
        <n v="437384" u="1"/>
        <n v="964925003" u="1"/>
        <n v="543104" u="1"/>
        <n v="922300" u="1"/>
        <n v="964657" u="1"/>
        <n v="976759" u="1"/>
        <n v="357713" u="1"/>
        <n v="543105" u="1"/>
        <n v="964658" u="1"/>
        <n v="976760" u="1"/>
        <n v="1019117" u="1"/>
        <n v="983820" u="1"/>
        <n v="976761" u="1"/>
        <n v="912218" u="1"/>
        <n v="970711" u="1"/>
        <n v="976762" u="1"/>
        <n v="976763" u="1"/>
        <n v="990882" u="1"/>
        <n v="976764" u="1"/>
        <n v="990883" u="1"/>
        <n v="473693" u="1"/>
        <n v="979790" u="1"/>
        <n v="983824" u="1"/>
        <n v="941101002" u="1"/>
        <n v="976765" u="1"/>
        <n v="990884" u="1"/>
        <n v="979791" u="1"/>
        <n v="427807" u="1"/>
        <n v="978783" u="1"/>
        <n v="990885" u="1"/>
        <n v="979792" u="1"/>
        <n v="442935" u="1"/>
        <n v="961640" u="1"/>
        <n v="726660" u="1"/>
        <n v="990887" u="1"/>
        <n v="961641" u="1"/>
        <n v="12949" u="1"/>
        <n v="726661" u="1"/>
        <n v="990888" u="1"/>
        <n v="1035262" u="1"/>
        <n v="983829" u="1"/>
        <n v="294687" u="1"/>
        <n v="970719" u="1"/>
        <n v="913235" u="1"/>
        <n v="964669" u="1"/>
        <n v="990890" u="1"/>
        <n v="1035264" u="1"/>
        <n v="913236" u="1"/>
        <n v="983831" u="1"/>
        <n v="964670" u="1"/>
        <n v="990891" u="1"/>
        <n v="449851002" u="1"/>
        <n v="537067" u="1"/>
        <n v="726665" u="1"/>
        <n v="964671" u="1"/>
        <n v="737759" u="1"/>
        <n v="983833" u="1"/>
        <n v="964672" u="1"/>
        <n v="913239" u="1"/>
        <n v="964673" u="1"/>
        <n v="913240" u="1"/>
        <n v="964674" u="1"/>
        <n v="983836" u="1"/>
        <n v="902148" u="1"/>
        <n v="964675" u="1"/>
        <n v="983837" u="1"/>
        <n v="417224" u="1"/>
        <n v="941481" u="1"/>
        <n v="254466" u="1"/>
        <n v="983839" u="1"/>
        <n v="964678" u="1"/>
        <n v="891058" u="1"/>
        <n v="983840" u="1"/>
        <n v="928373" u="1"/>
        <n v="964679" u="1"/>
        <n v="760963" u="1"/>
        <n v="787184" u="1"/>
        <n v="928375" u="1"/>
        <n v="934426" u="1"/>
        <n v="942495" u="1"/>
        <n v="336043" u="1"/>
        <n v="386468" u="1"/>
        <n v="752898" u="1"/>
        <n v="762983" u="1"/>
        <n v="474830036" u="1"/>
        <n v="452021" u="1"/>
        <n v="752899" u="1"/>
        <n v="965693" u="1"/>
        <n v="1028220" u="1"/>
        <n v="563849004" u="1"/>
        <n v="752900" u="1"/>
        <n v="452022" u="1"/>
        <n v="752901" u="1"/>
        <n v="961662" u="1"/>
        <n v="966705" u="1"/>
        <n v="961663" u="1"/>
        <n v="1034275" u="1"/>
        <n v="295706" u="1"/>
        <n v="336046" u="1"/>
        <n v="48418001" u="1"/>
        <n v="977800" u="1"/>
        <n v="401095" u="1"/>
        <n v="961665" u="1"/>
        <n v="977801" u="1"/>
        <n v="336047" u="1"/>
        <n v="738787" u="1"/>
        <n v="792238" u="1"/>
        <n v="961666" u="1"/>
        <n v="977802" u="1"/>
        <n v="978811" u="1"/>
        <n v="1033270" u="1"/>
        <n v="909225" u="1"/>
        <n v="977803" u="1"/>
        <n v="979820" u="1"/>
        <n v="704500" u="1"/>
        <n v="924353" u="1"/>
        <n v="978812" u="1"/>
        <n v="982846" u="1"/>
        <n v="226232" u="1"/>
        <n v="715594" u="1"/>
        <n v="792240" u="1"/>
        <n v="909226" u="1"/>
        <n v="977804" u="1"/>
        <n v="704501" u="1"/>
        <n v="924354" u="1"/>
        <n v="978813" u="1"/>
        <n v="977805" u="1"/>
        <n v="979822" u="1"/>
        <n v="704502" u="1"/>
        <n v="978814" u="1"/>
        <n v="909229" u="1"/>
        <n v="959654" u="1"/>
        <n v="336050" u="1"/>
        <n v="968244003" u="1"/>
        <n v="913264" u="1"/>
        <n v="959655" u="1"/>
        <n v="973774" u="1"/>
        <n v="14998" u="1"/>
        <n v="342606" u="1"/>
        <n v="755939" u="1"/>
        <n v="973775" u="1"/>
        <n v="1016132" u="1"/>
        <n v="502958" u="1"/>
        <n v="997980" u="1"/>
        <n v="40595" u="1"/>
        <n v="978819" u="1"/>
        <n v="955624" u="1"/>
        <n v="997981" u="1"/>
        <n v="336052" u="1"/>
        <n v="978820" u="1"/>
        <n v="913268" u="1"/>
        <n v="955625" u="1"/>
        <n v="1016135" u="1"/>
        <n v="978821" u="1"/>
        <n v="441441" u="1"/>
        <n v="772079" u="1"/>
        <n v="997983" u="1"/>
        <n v="1016136" u="1"/>
        <n v="438920" u="1"/>
        <n v="956635" u="1"/>
        <n v="978822" u="1"/>
        <n v="519096" u="1"/>
        <n v="772080" u="1"/>
        <n v="997984" u="1"/>
        <n v="956636" u="1"/>
        <n v="978823" u="1"/>
        <n v="1019163" u="1"/>
        <n v="964925002" u="1"/>
        <n v="370847" u="1"/>
        <n v="27290" u="1"/>
        <n v="956637" u="1"/>
        <n v="978824" u="1"/>
        <n v="913272" u="1"/>
        <n v="957646" u="1"/>
        <n v="978825" u="1"/>
        <n v="913273" u="1"/>
        <n v="956639" u="1"/>
        <n v="978826" u="1"/>
        <n v="955631" u="1"/>
        <n v="956640" u="1"/>
        <n v="978827" u="1"/>
        <n v="955632" u="1"/>
        <n v="736788" u="1"/>
        <n v="956641" u="1"/>
        <n v="978828" u="1"/>
        <n v="244137" u="1"/>
        <n v="978829" u="1"/>
        <n v="941101001" u="1"/>
        <n v="955634" u="1"/>
        <n v="569379" u="1"/>
        <n v="978830" u="1"/>
        <n v="817102001" u="1"/>
        <n v="956644" u="1"/>
        <n v="978831" u="1"/>
        <n v="978832" u="1"/>
        <n v="999002" u="1"/>
        <n v="978833" u="1"/>
        <n v="969757" u="1"/>
        <n v="978834" u="1"/>
        <n v="969758" u="1"/>
        <n v="970767" u="1"/>
        <n v="978835" u="1"/>
        <n v="986903" u="1"/>
        <n v="969759" u="1"/>
        <n v="970768" u="1"/>
        <n v="978836" u="1"/>
        <n v="986904" u="1"/>
        <n v="999006" u="1"/>
        <n v="978837" u="1"/>
        <n v="986905" u="1"/>
        <n v="978838" u="1"/>
        <n v="970771" u="1"/>
        <n v="978839" u="1"/>
        <n v="986907" u="1"/>
        <n v="969763" u="1"/>
        <n v="978840" u="1"/>
        <n v="986908" u="1"/>
        <n v="969764" u="1"/>
        <n v="973798" u="1"/>
        <n v="785209" u="1"/>
        <n v="978841" u="1"/>
        <n v="521627" u="1"/>
        <n v="785210" u="1"/>
        <n v="978842" u="1"/>
        <n v="717641" u="1"/>
        <n v="969766" u="1"/>
        <n v="518475001" u="1"/>
        <n v="978843" u="1"/>
        <n v="528044" u="1"/>
        <n v="969767" u="1"/>
        <n v="521628" u="1"/>
        <n v="936487" u="1"/>
        <n v="970776" u="1"/>
        <n v="969768" u="1"/>
        <n v="969769" u="1"/>
        <n v="970778" u="1"/>
        <n v="969770" u="1"/>
        <n v="973804" u="1"/>
        <n v="929130001" u="1"/>
        <n v="970779" u="1"/>
        <n v="901193" u="1"/>
        <n v="969771" u="1"/>
        <n v="442967" u="1"/>
        <n v="521630" u="1"/>
        <n v="795301" u="1"/>
        <n v="768072" u="1"/>
        <n v="970781" u="1"/>
        <n v="755971" u="1"/>
        <n v="998011" u="1"/>
        <n v="998012" u="1"/>
        <n v="40597" u="1"/>
        <n v="763032" u="1"/>
        <n v="965741" u="1"/>
        <n v="969775" u="1"/>
        <n v="998013" u="1"/>
        <n v="763033" u="1"/>
        <n v="755974" u="1"/>
        <n v="969776" u="1"/>
        <n v="314890" u="1"/>
        <n v="386998" u="1"/>
        <n v="747907" u="1"/>
        <n v="969777" u="1"/>
        <n v="949167002" u="1"/>
        <n v="721687" u="1"/>
        <n v="15818" u="1"/>
        <n v="485328" u="1"/>
        <n v="749927" u="1"/>
        <n v="755978" u="1"/>
        <n v="969781" u="1"/>
        <n v="977849" u="1"/>
        <n v="969782" u="1"/>
        <n v="970791" u="1"/>
        <n v="986927" u="1"/>
        <n v="755981" u="1"/>
        <n v="977851" u="1"/>
        <n v="964741" u="1"/>
        <n v="969784" u="1"/>
        <n v="964742" u="1"/>
        <n v="969785" u="1"/>
        <n v="977853" u="1"/>
        <n v="49065001" u="1"/>
        <n v="1019074003" u="1"/>
        <n v="755984" u="1"/>
        <n v="341116" u="1"/>
        <n v="926421" u="1"/>
        <n v="59568002" u="1"/>
        <n v="118644004" u="1"/>
        <n v="968244002" u="1"/>
        <n v="926422" u="1"/>
        <n v="536133" u="1"/>
        <n v="969788" u="1"/>
        <n v="926423" u="1"/>
        <n v="442976" u="1"/>
        <n v="962730" u="1"/>
        <n v="536135" u="1"/>
        <n v="536136" u="1"/>
        <n v="444994" u="1"/>
        <n v="970802" u="1"/>
        <n v="536139" u="1"/>
        <n v="559335" u="1"/>
        <n v="559336" u="1"/>
        <n v="369863" u="1"/>
        <n v="536141" u="1"/>
        <n v="713637" u="1"/>
        <n v="970805" u="1"/>
        <n v="562363" u="1"/>
        <n v="713638" u="1"/>
        <n v="970806" u="1"/>
        <n v="536143" u="1"/>
        <n v="957696" u="1"/>
        <n v="3859" u="1"/>
        <n v="106426" u="1"/>
        <n v="990977" u="1"/>
        <n v="536144" u="1"/>
        <n v="562365" u="1"/>
        <n v="957697" u="1"/>
        <n v="990978" u="1"/>
        <n v="957698" u="1"/>
        <n v="955683" u="1"/>
        <n v="938023005" u="1"/>
        <n v="395583" u="1"/>
        <n v="952081002" u="1"/>
        <n v="768105" u="1"/>
        <n v="940560" u="1"/>
        <n v="964764" u="1"/>
        <n v="476544001" u="1"/>
        <n v="940563" u="1"/>
        <n v="902242" u="1"/>
        <n v="1014186" u="1"/>
        <n v="988974" u="1"/>
        <n v="969813" u="1"/>
        <n v="969814" u="1"/>
        <n v="988976" u="1"/>
        <n v="985951" u="1"/>
        <n v="575493" u="1"/>
        <n v="720717" u="1"/>
        <n v="752989" u="1"/>
        <n v="954689" u="1"/>
        <n v="985953" u="1"/>
        <n v="567426" u="1"/>
        <n v="575494" u="1"/>
        <n v="752990" u="1"/>
        <n v="970826" u="1"/>
        <n v="972843" u="1"/>
        <n v="786271" u="1"/>
        <n v="985954" u="1"/>
        <n v="1034362" u="1"/>
        <n v="48388003" u="1"/>
        <n v="752991" u="1"/>
        <n v="972844" u="1"/>
        <n v="969819" u="1"/>
        <n v="985955" u="1"/>
        <n v="575496" u="1"/>
        <n v="464674" u="1"/>
        <n v="786273" u="1"/>
        <n v="985956" u="1"/>
        <n v="985957" u="1"/>
        <n v="48420001" u="1"/>
        <n v="535158" u="1"/>
        <n v="988983" u="1"/>
        <n v="566422" u="1"/>
        <n v="985958" u="1"/>
        <n v="535159" u="1"/>
        <n v="988984" u="1"/>
        <n v="985959" u="1"/>
        <n v="985960" u="1"/>
        <n v="964782" u="1"/>
        <n v="970833" u="1"/>
        <n v="993020" u="1"/>
        <n v="949167001" u="1"/>
        <n v="955706" u="1"/>
        <n v="575502" u="1"/>
        <n v="964783" u="1"/>
        <n v="955707" u="1"/>
        <n v="938563" u="1"/>
        <n v="985963" u="1"/>
        <n v="716694" u="1"/>
        <n v="932513" u="1"/>
        <n v="464678" u="1"/>
        <n v="955709" u="1"/>
        <n v="971845" u="1"/>
        <n v="985964" u="1"/>
        <n v="992015" u="1"/>
        <n v="955710" u="1"/>
        <n v="985965" u="1"/>
        <n v="352231" u="1"/>
        <n v="970838" u="1"/>
        <n v="969830" u="1"/>
        <n v="970839" u="1"/>
        <n v="971848" u="1"/>
        <n v="6632" u="1"/>
        <n v="970840" u="1"/>
        <n v="774183" u="1"/>
        <n v="969832" u="1"/>
        <n v="971849" u="1"/>
        <n v="52878001" u="1"/>
        <n v="911340" u="1"/>
        <n v="965800" u="1"/>
        <n v="747966" u="1"/>
        <n v="747967" u="1"/>
        <n v="768137" u="1"/>
        <n v="564421" u="1"/>
        <n v="851844" u="1"/>
        <n v="564422" u="1"/>
        <n v="532151" u="1"/>
        <n v="703596" u="1"/>
        <n v="956731" u="1"/>
        <n v="532154" u="1"/>
        <n v="969843" u="1"/>
        <n v="956733" u="1"/>
        <n v="969844" u="1"/>
        <n v="39845" u="1"/>
        <n v="923455" u="1"/>
        <n v="923457" u="1"/>
        <n v="965814" u="1"/>
        <n v="969848" u="1"/>
        <n v="923458" u="1"/>
        <n v="965815" u="1"/>
        <n v="795379" u="1"/>
        <n v="454604" u="1"/>
        <n v="955731" u="1"/>
        <n v="965816" u="1"/>
        <n v="970859" u="1"/>
        <n v="965817" u="1"/>
        <n v="970860" u="1"/>
        <n v="454605" u="1"/>
        <n v="955733" u="1"/>
        <n v="938589" u="1"/>
        <n v="970861" u="1"/>
        <n v="965819" u="1"/>
        <n v="740924" u="1"/>
        <n v="56462003" u="1"/>
        <n v="966829" u="1"/>
        <n v="982965" u="1"/>
        <n v="733866" u="1"/>
        <n v="968847" u="1"/>
        <n v="701595" u="1"/>
        <n v="814547" u="1"/>
        <n v="294760" u="1"/>
        <n v="968849" u="1"/>
        <n v="982968" u="1"/>
        <n v="1024317" u="1"/>
        <n v="36001" u="1"/>
        <n v="701598" u="1"/>
        <n v="955740" u="1"/>
        <n v="786313" u="1"/>
        <n v="39846" u="1"/>
        <n v="974903" u="1"/>
        <n v="982971" u="1"/>
        <n v="968853" u="1"/>
        <n v="970870" u="1"/>
        <n v="970871" u="1"/>
        <n v="101459001" u="1"/>
        <n v="970872" u="1"/>
        <n v="982974" u="1"/>
        <n v="422339" u="1"/>
        <n v="965830" u="1"/>
        <n v="431416" u="1"/>
        <n v="967848" u="1"/>
        <n v="912382" u="1"/>
        <n v="982977" u="1"/>
        <n v="517658001" u="1"/>
        <n v="912383" u="1"/>
        <n v="974910" u="1"/>
        <n v="974911" u="1"/>
        <n v="1024328" u="1"/>
        <n v="732872" u="1"/>
        <n v="912385" u="1"/>
        <n v="970878" u="1"/>
        <n v="982980" u="1"/>
        <n v="1024329" u="1"/>
        <n v="970879" u="1"/>
        <n v="96224" u="1"/>
        <n v="973905" u="1"/>
        <n v="970880" u="1"/>
        <n v="974914" u="1"/>
        <n v="973906" u="1"/>
        <n v="940626" u="1"/>
        <n v="968864" u="1"/>
        <n v="970881" u="1"/>
        <n v="974915" u="1"/>
        <n v="899278" u="1"/>
        <n v="967856" u="1"/>
        <n v="922474" u="1"/>
        <n v="940627" u="1"/>
        <n v="968865" u="1"/>
        <n v="970882" u="1"/>
        <n v="955755" u="1"/>
        <n v="974917" u="1"/>
        <n v="940629" u="1"/>
        <n v="968867" u="1"/>
        <n v="955757" u="1"/>
        <n v="974919" u="1"/>
        <n v="974920" u="1"/>
        <n v="235344" u="1"/>
        <n v="719770" u="1"/>
        <n v="929538" u="1"/>
        <n v="955759" u="1"/>
        <n v="37578" u="1"/>
        <n v="971896" u="1"/>
        <n v="137772" u="1"/>
        <n v="475293" u="1"/>
        <n v="970888" u="1"/>
        <n v="974922" u="1"/>
        <n v="955761" u="1"/>
        <n v="970889" u="1"/>
        <n v="974923" u="1"/>
        <n v="48218002" u="1"/>
        <n v="1019074001" u="1"/>
        <n v="701620" u="1"/>
        <n v="940635" u="1"/>
        <n v="954754" u="1"/>
        <n v="968873" u="1"/>
        <n v="940637" u="1"/>
        <n v="974926" u="1"/>
        <n v="912400" u="1"/>
        <n v="960808" u="1"/>
        <n v="912401" u="1"/>
        <n v="817103001" u="1"/>
        <n v="512612" u="1"/>
        <n v="569514" u="1"/>
        <n v="792393" u="1"/>
        <n v="1022331" u="1"/>
        <n v="569515" u="1"/>
        <n v="974932" u="1"/>
        <n v="923499" u="1"/>
        <n v="1022332" u="1"/>
        <n v="974933" u="1"/>
        <n v="923500" u="1"/>
        <n v="569517" u="1"/>
        <n v="1001155" u="1"/>
        <n v="569518" u="1"/>
        <n v="569519" u="1"/>
        <n v="940647" u="1"/>
        <n v="719786" u="1"/>
        <n v="37579" u="1"/>
        <n v="569520" u="1"/>
        <n v="923504" u="1"/>
        <n v="971912" u="1"/>
        <n v="31045" u="1"/>
        <n v="746009" u="1"/>
        <n v="768196" u="1"/>
        <n v="48423001" u="1"/>
        <n v="938023003" u="1"/>
        <n v="957796" u="1"/>
        <n v="969898" u="1"/>
        <n v="971915" u="1"/>
        <n v="969899" u="1"/>
        <n v="896279" u="1"/>
        <n v="935611" u="1"/>
        <n v="969900" u="1"/>
        <n v="547339" u="1"/>
        <n v="989062" u="1"/>
        <n v="955782" u="1"/>
        <n v="959816" u="1"/>
        <n v="971918" u="1"/>
        <n v="989063" u="1"/>
        <n v="767194" u="1"/>
        <n v="935614" u="1"/>
        <n v="955784" u="1"/>
        <n v="5498" u="1"/>
        <n v="547342" u="1"/>
        <n v="716770" u="1"/>
        <n v="365883" u="1"/>
        <n v="716771" u="1"/>
        <n v="794426" u="1"/>
        <n v="971922" u="1"/>
        <n v="964863" u="1"/>
        <n v="246697" u="1"/>
        <n v="175850" u="1"/>
        <n v="365885" u="1"/>
        <n v="533047002" u="1"/>
        <n v="733920" u="1"/>
        <n v="756107" u="1"/>
        <n v="957807" u="1"/>
        <n v="767909003" u="1"/>
        <n v="750057" u="1"/>
        <n v="35500" u="1"/>
        <n v="750058" u="1"/>
        <n v="969911" u="1"/>
        <n v="1000166" u="1"/>
        <n v="750059" u="1"/>
        <n v="1000167" u="1"/>
        <n v="750060" u="1"/>
        <n v="814604" u="1"/>
        <n v="1000168" u="1"/>
        <n v="773256" u="1"/>
        <n v="1000169" u="1"/>
        <n v="1016305" u="1"/>
        <n v="887219" u="1"/>
        <n v="889236" u="1"/>
        <n v="935627" u="1"/>
        <n v="1000171" u="1"/>
        <n v="890245" u="1"/>
        <n v="940670" u="1"/>
        <n v="780319" u="1"/>
        <n v="887220" u="1"/>
        <n v="889237" u="1"/>
        <n v="1000172" u="1"/>
        <n v="887221" u="1"/>
        <n v="955799" u="1"/>
        <n v="1000173" u="1"/>
        <n v="887222" u="1"/>
        <n v="935630" u="1"/>
        <n v="955800" u="1"/>
        <n v="365891" u="1"/>
        <n v="887223" u="1"/>
        <n v="889240" u="1"/>
        <n v="955801" u="1"/>
        <n v="506577" u="1"/>
        <n v="889241" u="1"/>
        <n v="771247" u="1"/>
        <n v="506578" u="1"/>
        <n v="970931" u="1"/>
        <n v="1000178" u="1"/>
        <n v="484896" u="1"/>
        <n v="570558" u="1"/>
        <n v="935635" u="1"/>
        <n v="961856" u="1"/>
        <n v="1000179" u="1"/>
        <n v="438001" u="1"/>
        <n v="935636" u="1"/>
        <n v="980010" u="1"/>
        <n v="1000180" u="1"/>
        <n v="814617" u="1"/>
        <n v="935637" u="1"/>
        <n v="969926" u="1"/>
        <n v="980011" u="1"/>
        <n v="713768" u="1"/>
        <n v="955808" u="1"/>
        <n v="955809" u="1"/>
        <n v="1002200" u="1"/>
        <n v="546359" u="1"/>
        <n v="955810" u="1"/>
        <n v="792434" u="1"/>
        <n v="814622" u="1"/>
        <n v="955812" u="1"/>
        <n v="768743004" u="1"/>
        <n v="935643" u="1"/>
        <n v="1002204" u="1"/>
        <n v="485446007" u="1"/>
        <n v="10447" u="1"/>
        <n v="546363" u="1"/>
        <n v="442544" u="1"/>
        <n v="935645" u="1"/>
        <n v="957834" u="1"/>
        <n v="733535001" u="1"/>
        <n v="403214" u="1"/>
        <n v="546367" u="1"/>
        <n v="957835" u="1"/>
        <n v="957836" u="1"/>
        <n v="969938" u="1"/>
        <n v="403215" u="1"/>
        <n v="246705" u="1"/>
        <n v="969940" u="1"/>
        <n v="969941" u="1"/>
        <n v="741012" u="1"/>
        <n v="1037511" u="1"/>
        <n v="969942" u="1"/>
        <n v="890271" u="1"/>
        <n v="969943" u="1"/>
        <n v="246706" u="1"/>
        <n v="969944" u="1"/>
        <n v="970953" u="1"/>
        <n v="987089" u="1"/>
        <n v="915486" u="1"/>
        <n v="969945" u="1"/>
        <n v="741016" u="1"/>
        <n v="987090" u="1"/>
        <n v="969946" u="1"/>
        <n v="787408" u="1"/>
        <n v="969947" u="1"/>
        <n v="246707" u="1"/>
        <n v="787409" u="1"/>
        <n v="474831014" u="1"/>
        <n v="969948" u="1"/>
        <n v="987093" u="1"/>
        <n v="969949" u="1"/>
        <n v="973525005" u="1"/>
        <n v="987094" u="1"/>
        <n v="955831" u="1"/>
        <n v="969950" u="1"/>
        <n v="10400" u="1"/>
        <n v="987095" u="1"/>
        <n v="969951" u="1"/>
        <n v="987096" u="1"/>
        <n v="536297" u="1"/>
        <n v="969952" u="1"/>
        <n v="970961" u="1"/>
        <n v="987097" u="1"/>
        <n v="969953" u="1"/>
        <n v="970962" u="1"/>
        <n v="987098" u="1"/>
        <n v="546384" u="1"/>
        <n v="703710" u="1"/>
        <n v="969954" u="1"/>
        <n v="936674" u="1"/>
        <n v="966930" u="1"/>
        <n v="703712" u="1"/>
        <n v="955837" u="1"/>
        <n v="966931" u="1"/>
        <n v="969802004" u="1"/>
        <n v="47857" u="1"/>
        <n v="955838" u="1"/>
        <n v="767909002" u="1"/>
        <n v="975001" u="1"/>
        <n v="955840" u="1"/>
        <n v="955841" u="1"/>
        <n v="973994" u="1"/>
        <n v="968952" u="1"/>
        <n v="911468" u="1"/>
        <n v="1022403" u="1"/>
        <n v="968953" u="1"/>
        <n v="911469" u="1"/>
        <n v="933656" u="1"/>
        <n v="955843" u="1"/>
        <n v="1022404" u="1"/>
        <n v="753135" u="1"/>
        <n v="4813" u="1"/>
        <n v="719855" u="1"/>
        <n v="911470" u="1"/>
        <n v="955844" u="1"/>
        <n v="928615" u="1"/>
        <n v="422389" u="1"/>
        <n v="911471" u="1"/>
        <n v="957862" u="1"/>
        <n v="518701" u="1"/>
        <n v="700695" u="1"/>
        <n v="767256" u="1"/>
        <n v="773307" u="1"/>
        <n v="928616" u="1"/>
        <n v="485925" u="1"/>
        <n v="767257" u="1"/>
        <n v="946770" u="1"/>
        <n v="1017365" u="1"/>
        <n v="974000" u="1"/>
        <n v="946771" u="1"/>
        <n v="964924" u="1"/>
        <n v="974001" u="1"/>
        <n v="955849" u="1"/>
        <n v="957866" u="1"/>
        <n v="946773" u="1"/>
        <n v="964926" u="1"/>
        <n v="504080" u="1"/>
        <n v="955850" u="1"/>
        <n v="974003" u="1"/>
        <n v="955851" u="1"/>
        <n v="969970" u="1"/>
        <n v="974004" u="1"/>
        <n v="912486" u="1"/>
        <n v="792475" u="1"/>
        <n v="935682" u="1"/>
        <n v="957869" u="1"/>
        <n v="974005" u="1"/>
        <n v="761212" u="1"/>
        <n v="974006" u="1"/>
        <n v="912488" u="1"/>
        <n v="485929" u="1"/>
        <n v="984092" u="1"/>
        <n v="167042" u="1"/>
        <n v="984093" u="1"/>
        <n v="437522" u="1"/>
        <n v="814666" u="1"/>
        <n v="974009" u="1"/>
        <n v="984094" u="1"/>
        <n v="946780" u="1"/>
        <n v="955857" u="1"/>
        <n v="35315" u="1"/>
        <n v="970985" u="1"/>
        <n v="752141" u="1"/>
        <n v="955858" u="1"/>
        <n v="955859" u="1"/>
        <n v="716845" u="1"/>
        <n v="768743003" u="1"/>
        <n v="955860" u="1"/>
        <n v="969979" u="1"/>
        <n v="716846" u="1"/>
        <n v="993175" u="1"/>
        <n v="969980" u="1"/>
        <n v="48418002" u="1"/>
        <n v="890309" u="1"/>
        <n v="993176" u="1"/>
        <n v="955862" u="1"/>
        <n v="969981" u="1"/>
        <n v="912497" u="1"/>
        <n v="955863" u="1"/>
        <n v="959897" u="1"/>
        <n v="969982" u="1"/>
        <n v="928634" u="1"/>
        <n v="966957" u="1"/>
        <n v="970991" u="1"/>
        <n v="969983" u="1"/>
        <n v="928635" u="1"/>
        <n v="970992" u="1"/>
        <n v="969984" u="1"/>
        <n v="976035" u="1"/>
        <n v="1033520" u="1"/>
        <n v="969985" u="1"/>
        <n v="714835" u="1"/>
        <n v="987130" u="1"/>
        <n v="406264" u="1"/>
        <n v="969986" u="1"/>
        <n v="714836" u="1"/>
        <n v="987131" u="1"/>
        <n v="1033522" u="1"/>
        <n v="969987" u="1"/>
        <n v="714837" u="1"/>
        <n v="987132" u="1"/>
        <n v="714838" u="1"/>
        <n v="987133" u="1"/>
        <n v="976040" u="1"/>
        <n v="987134" u="1"/>
        <n v="1033525" u="1"/>
        <n v="969990" u="1"/>
        <n v="987135" u="1"/>
        <n v="935702" u="1"/>
        <n v="969991" u="1"/>
        <n v="981086" u="1"/>
        <n v="496024" u="1"/>
        <n v="938730" u="1"/>
        <n v="981087" u="1"/>
        <n v="81364" u="1"/>
        <n v="957892" u="1"/>
        <n v="981088" u="1"/>
        <n v="508127" u="1"/>
        <n v="905451" u="1"/>
        <n v="989157" u="1"/>
        <n v="935708" u="1"/>
        <n v="969998" u="1"/>
        <n v="568617" u="1"/>
        <n v="938737" u="1"/>
        <n v="989162" u="1"/>
        <n v="568618" u="1"/>
        <n v="784437" u="1"/>
        <n v="959916" u="1"/>
        <n v="965967" u="1"/>
        <n v="938738" u="1"/>
        <n v="964959" u="1"/>
        <n v="1015384" u="1"/>
        <n v="568619" u="1"/>
        <n v="965968" u="1"/>
        <n v="964960" u="1"/>
        <n v="1015385" u="1"/>
        <n v="27298" u="1"/>
        <n v="969802003" u="1"/>
        <n v="767909001" u="1"/>
        <n v="955886" u="1"/>
        <n v="955887" u="1"/>
        <n v="190498" u="1"/>
        <n v="984127" u="1"/>
        <n v="955890" u="1"/>
        <n v="935721" u="1"/>
        <n v="971019" u="1"/>
        <n v="1001274" u="1"/>
        <n v="172346" u="1"/>
        <n v="936731" u="1"/>
        <n v="1023462" u="1"/>
        <n v="911519" u="1"/>
        <n v="1023463" u="1"/>
        <n v="754194" u="1"/>
        <n v="911520" u="1"/>
        <n v="955895" u="1"/>
        <n v="739068" u="1"/>
        <n v="989177" u="1"/>
        <n v="1011364" u="1"/>
        <n v="507129" u="1"/>
        <n v="955897" u="1"/>
        <n v="245968" u="1"/>
        <n v="970017" u="1"/>
        <n v="714867" u="1"/>
        <n v="1011366" u="1"/>
        <n v="507130" u="1"/>
        <n v="986695002" u="1"/>
        <n v="782438" u="1"/>
        <n v="474834011" u="1"/>
        <n v="962960" u="1"/>
        <n v="507131" u="1"/>
        <n v="782439" u="1"/>
        <n v="970020" u="1"/>
        <n v="245969" u="1"/>
        <n v="935733" u="1"/>
        <n v="962963" u="1"/>
        <n v="970023" u="1"/>
        <n v="962964" u="1"/>
        <n v="890353" u="1"/>
        <n v="955906" u="1"/>
        <n v="973051" u="1"/>
        <n v="970026" u="1"/>
        <n v="938763" u="1"/>
        <n v="938764" u="1"/>
        <n v="485446006" u="1"/>
        <n v="935739" u="1"/>
        <n v="938765" u="1"/>
        <n v="970029" u="1"/>
        <n v="1034573" u="1"/>
        <n v="4262" u="1"/>
        <n v="701769" u="1"/>
        <n v="998268" u="1"/>
        <n v="276190" u="1"/>
        <n v="935742" u="1"/>
        <n v="768370001" u="1"/>
        <n v="206388" u="1"/>
        <n v="971040" u="1"/>
        <n v="971041" u="1"/>
        <n v="955914" u="1"/>
        <n v="971042" u="1"/>
        <n v="955915" u="1"/>
        <n v="704799" u="1"/>
        <n v="971043" u="1"/>
        <n v="953899" u="1"/>
        <n v="971044" u="1"/>
        <n v="971045" u="1"/>
        <n v="431502" u="1"/>
        <n v="903476" u="1"/>
        <n v="955918" u="1"/>
        <n v="936757" u="1"/>
        <n v="971046" u="1"/>
        <n v="903477" u="1"/>
        <n v="476381" u="1"/>
        <n v="971047" u="1"/>
        <n v="935750" u="1"/>
        <n v="971048" u="1"/>
        <n v="933734" u="1"/>
        <n v="476382" u="1"/>
        <n v="431504" u="1"/>
        <n v="935752" u="1"/>
        <n v="935754" u="1"/>
        <n v="982146" u="1"/>
        <n v="982147" u="1"/>
        <n v="982148" u="1"/>
        <n v="946851" u="1"/>
        <n v="955928" u="1"/>
        <n v="970047" u="1"/>
        <n v="36454" u="1"/>
        <n v="295360" u="1"/>
        <n v="903487" u="1"/>
        <n v="982150" u="1"/>
        <n v="982151" u="1"/>
        <n v="960973" u="1"/>
        <n v="982152" u="1"/>
        <n v="1040645" u="1"/>
        <n v="960974" u="1"/>
        <n v="960975" u="1"/>
        <n v="983162" u="1"/>
        <n v="969802002" u="1"/>
        <n v="923661" u="1"/>
        <n v="960976" u="1"/>
        <n v="970053" u="1"/>
        <n v="982155" u="1"/>
        <n v="461261" u="1"/>
        <n v="981147" u="1"/>
        <n v="935765" u="1"/>
        <n v="982156" u="1"/>
        <n v="981148" u="1"/>
        <n v="982157" u="1"/>
        <n v="960979" u="1"/>
        <n v="935767" u="1"/>
        <n v="982158" u="1"/>
        <n v="981150" u="1"/>
        <n v="935768" u="1"/>
        <n v="982159" u="1"/>
        <n v="935769" u="1"/>
        <n v="982160" u="1"/>
        <n v="902489" u="1"/>
        <n v="935770" u="1"/>
        <n v="982161" u="1"/>
        <n v="938796" u="1"/>
        <n v="963000" u="1"/>
        <n v="981153" u="1"/>
        <n v="982162" u="1"/>
        <n v="100912" u="1"/>
        <n v="982163" u="1"/>
        <n v="973087" u="1"/>
        <n v="982164" u="1"/>
        <n v="902493" u="1"/>
        <n v="973088" u="1"/>
        <n v="935775" u="1"/>
        <n v="902495" u="1"/>
        <n v="407312" u="1"/>
        <n v="955946" u="1"/>
        <n v="515726" u="1"/>
        <n v="902496" u="1"/>
        <n v="981159" u="1"/>
        <n v="935777" u="1"/>
        <n v="970066" u="1"/>
        <n v="496565" u="1"/>
        <n v="48388004" u="1"/>
        <n v="407313" u="1"/>
        <n v="935778" u="1"/>
        <n v="515727" u="1"/>
        <n v="756266" u="1"/>
        <n v="815768" u="1"/>
        <n v="970071" u="1"/>
        <n v="973097" u="1"/>
        <n v="973098" u="1"/>
        <n v="955954" u="1"/>
        <n v="768743001" u="1"/>
        <n v="1024533" u="1"/>
        <n v="127639" u="1"/>
        <n v="973100" u="1"/>
        <n v="768375" u="1"/>
        <n v="973101" u="1"/>
        <n v="768376" u="1"/>
        <n v="768377" u="1"/>
        <n v="970079" u="1"/>
        <n v="759303" u="1"/>
        <n v="938816" u="1"/>
        <n v="935791" u="1"/>
        <n v="1024539" u="1"/>
        <n v="952936" u="1"/>
        <n v="558613" u="1"/>
        <n v="52878002" u="1"/>
        <n v="941844" u="1"/>
        <n v="127640" u="1"/>
        <n v="781493" u="1"/>
        <n v="938819" u="1"/>
        <n v="973108" u="1"/>
        <n v="431525" u="1"/>
        <n v="449678" u="1"/>
        <n v="781494" u="1"/>
        <n v="938820" u="1"/>
        <n v="971092" u="1"/>
        <n v="987346002" u="1"/>
        <n v="431526" u="1"/>
        <n v="955966" u="1"/>
        <n v="756566003" u="1"/>
        <n v="363453" u="1"/>
        <n v="1033622" u="1"/>
        <n v="396035006" u="1"/>
        <n v="1033623" u="1"/>
        <n v="975131" u="1"/>
        <n v="1033624" u="1"/>
        <n v="1033625" u="1"/>
        <n v="781501" u="1"/>
        <n v="1033626" u="1"/>
        <n v="143876" u="1"/>
        <n v="928743" u="1"/>
        <n v="1033627" u="1"/>
        <n v="496578" u="1"/>
        <n v="983203" u="1"/>
        <n v="1033628" u="1"/>
        <n v="475904" u="1"/>
        <n v="788563" u="1"/>
        <n v="970094" u="1"/>
        <n v="337741" u="1"/>
        <n v="971105" u="1"/>
        <n v="701836" u="1"/>
        <n v="784533" u="1"/>
        <n v="761338" u="1"/>
        <n v="344282001" u="1"/>
        <n v="701837" u="1"/>
        <n v="701838" u="1"/>
        <n v="784535" u="1"/>
        <n v="950939" u="1"/>
        <n v="971109" u="1"/>
        <n v="814792" u="1"/>
        <n v="955983" u="1"/>
        <n v="976153" u="1"/>
        <n v="950941" u="1"/>
        <n v="857151" u="1"/>
        <n v="770421" u="1"/>
        <n v="560654" u="1"/>
        <n v="392709" u="1"/>
        <n v="914638" u="1"/>
        <n v="560655" u="1"/>
        <n v="717981" u="1"/>
        <n v="986242" u="1"/>
        <n v="115541" u="1"/>
        <n v="496585" u="1"/>
        <n v="1023557" u="1"/>
        <n v="747229" u="1"/>
        <n v="758323" u="1"/>
        <n v="193549" u="1"/>
        <n v="951957" u="1"/>
        <n v="532422" u="1"/>
        <n v="928763" u="1"/>
        <n v="1021545" u="1"/>
        <n v="29539" u="1"/>
        <n v="532423" u="1"/>
        <n v="726055" u="1"/>
        <n v="758328" u="1"/>
        <n v="382124" u="1"/>
        <n v="532425" u="1"/>
        <n v="982216" u="1"/>
        <n v="986250" u="1"/>
        <n v="532426" u="1"/>
        <n v="814806" u="1"/>
        <n v="532427" u="1"/>
        <n v="972133" u="1"/>
        <n v="982218" u="1"/>
        <n v="972134" u="1"/>
        <n v="978185" u="1"/>
        <n v="982219" u="1"/>
        <n v="543522" u="1"/>
        <n v="337752" u="1"/>
        <n v="532429" u="1"/>
        <n v="752282" u="1"/>
        <n v="972135" u="1"/>
        <n v="978186" u="1"/>
        <n v="982220" u="1"/>
        <n v="533438" u="1"/>
        <n v="532430" u="1"/>
        <n v="970119" u="1"/>
        <n v="978187" u="1"/>
        <n v="982221" u="1"/>
        <n v="986255" u="1"/>
        <n v="950958" u="1"/>
        <n v="970120" u="1"/>
        <n v="978188" u="1"/>
        <n v="982222" u="1"/>
        <n v="986256" u="1"/>
        <n v="950959" u="1"/>
        <n v="857169" u="1"/>
        <n v="978189" u="1"/>
        <n v="982223" u="1"/>
        <n v="543526" u="1"/>
        <n v="978190" u="1"/>
        <n v="982224" u="1"/>
        <n v="485446005" u="1"/>
        <n v="970123" u="1"/>
        <n v="978191" u="1"/>
        <n v="982225" u="1"/>
        <n v="967098" u="1"/>
        <n v="758339" u="1"/>
        <n v="978192" u="1"/>
        <n v="982226" u="1"/>
        <n v="961048" u="1"/>
        <n v="967099" u="1"/>
        <n v="978193" u="1"/>
        <n v="982227" u="1"/>
        <n v="986261" u="1"/>
        <n v="140859" u="1"/>
        <n v="967100" u="1"/>
        <n v="46733" u="1"/>
        <n v="978194" u="1"/>
        <n v="967101" u="1"/>
        <n v="978195" u="1"/>
        <n v="1014501" u="1"/>
        <n v="543532" u="1"/>
        <n v="978196" u="1"/>
        <n v="1014502" u="1"/>
        <n v="978197" u="1"/>
        <n v="1014503" u="1"/>
        <n v="978198" u="1"/>
        <n v="978199" u="1"/>
        <n v="978200" u="1"/>
        <n v="78608" u="1"/>
        <n v="978201" u="1"/>
        <n v="978202" u="1"/>
        <n v="978203" u="1"/>
        <n v="940889" u="1"/>
        <n v="39359" u="1"/>
        <n v="433569" u="1"/>
        <n v="943916" u="1"/>
        <n v="718013" u="1"/>
        <n v="950977" u="1"/>
        <n v="96888" u="1"/>
        <n v="892486" u="1"/>
        <n v="433571" u="1"/>
        <n v="485445002" u="1"/>
        <n v="740205" u="1"/>
        <n v="983254" u="1"/>
        <n v="704909" u="1"/>
        <n v="791640" u="1"/>
        <n v="916694" u="1"/>
        <n v="993340" u="1"/>
        <n v="773488" u="1"/>
        <n v="916695" u="1"/>
        <n v="902577" u="1"/>
        <n v="984266" u="1"/>
        <n v="916697" u="1"/>
        <n v="970149" u="1"/>
        <n v="947963" u="1"/>
        <n v="535487" u="1"/>
        <n v="773493" u="1"/>
        <n v="912666" u="1"/>
        <n v="944938" u="1"/>
        <n v="274233" u="1"/>
        <n v="947964" u="1"/>
        <n v="733154" u="1"/>
        <n v="912667" u="1"/>
        <n v="1015534" u="1"/>
        <n v="374075" u="1"/>
        <n v="947965" u="1"/>
        <n v="163053" u="1"/>
        <n v="773496" u="1"/>
        <n v="979230" u="1"/>
        <n v="955028" u="1"/>
        <n v="979232" u="1"/>
        <n v="752320" u="1"/>
        <n v="970156" u="1"/>
        <n v="979233" u="1"/>
        <n v="76594" u="1"/>
        <n v="791653" u="1"/>
        <n v="979235" u="1"/>
        <n v="927802" u="1"/>
        <n v="927803" u="1"/>
        <n v="934863" u="1"/>
        <n v="927804" u="1"/>
        <n v="934864" u="1"/>
        <n v="967136" u="1"/>
        <n v="768752003" u="1"/>
        <n v="934865" u="1"/>
        <n v="784599" u="1"/>
        <n v="733974004" u="1"/>
        <n v="967138" u="1"/>
        <n v="752328" u="1"/>
        <n v="966130" u="1"/>
        <n v="343322" u="1"/>
        <n v="752329" u="1"/>
        <n v="527434" u="1"/>
        <n v="773508" u="1"/>
        <n v="752330" u="1"/>
        <n v="955039" u="1"/>
        <n v="752331" u="1"/>
        <n v="955040" u="1"/>
        <n v="768379002" u="1"/>
        <n v="759392" u="1"/>
        <n v="898565" u="1"/>
        <n v="955041" u="1"/>
        <n v="752333" u="1"/>
        <n v="955042" u="1"/>
        <n v="987314" u="1"/>
        <n v="752334" u="1"/>
        <n v="752335" u="1"/>
        <n v="780573" u="1"/>
        <n v="998409" u="1"/>
        <n v="998410" u="1"/>
        <n v="934875" u="1"/>
        <n v="955045" u="1"/>
        <n v="934876" u="1"/>
        <n v="752338" u="1"/>
        <n v="984294" u="1"/>
        <n v="787637" u="1"/>
        <n v="916725" u="1"/>
        <n v="934879" u="1"/>
        <n v="955049" u="1"/>
        <n v="975219" u="1"/>
        <n v="955050" u="1"/>
        <n v="987322" u="1"/>
        <n v="987323" u="1"/>
        <n v="1003459" u="1"/>
        <n v="457794" u="1"/>
        <n v="984298" u="1"/>
        <n v="930848" u="1"/>
        <n v="987324" u="1"/>
        <n v="1003460" u="1"/>
        <n v="955053" u="1"/>
        <n v="1003461" u="1"/>
        <n v="722090" u="1"/>
        <n v="756566001" u="1"/>
        <n v="987326" u="1"/>
        <n v="1003462" u="1"/>
        <n v="396035005" u="1"/>
        <n v="956063" u="1"/>
        <n v="987327" u="1"/>
        <n v="1003463" u="1"/>
        <n v="977243" u="1"/>
        <n v="973210" u="1"/>
        <n v="977244" u="1"/>
        <n v="457797" u="1"/>
        <n v="954235001" u="1"/>
        <n v="914718" u="1"/>
        <n v="977246" u="1"/>
        <n v="955060" u="1"/>
        <n v="954052" u="1"/>
        <n v="955061" u="1"/>
        <n v="457799" u="1"/>
        <n v="954053" u="1"/>
        <n v="459312" u="1"/>
        <n v="527459" u="1"/>
        <n v="987335" u="1"/>
        <n v="709998" u="1"/>
        <n v="955064" u="1"/>
        <n v="977251" u="1"/>
        <n v="987336" u="1"/>
        <n v="977252" u="1"/>
        <n v="987337" u="1"/>
        <n v="531496" u="1"/>
        <n v="977253" u="1"/>
        <n v="531497" u="1"/>
        <n v="977255" u="1"/>
        <n v="955069" u="1"/>
        <n v="961120" u="1"/>
        <n v="497349002" u="1"/>
        <n v="1001461" u="1"/>
        <n v="464863" u="1"/>
        <n v="1030708" u="1"/>
        <n v="984318" u="1"/>
        <n v="956081" u="1"/>
        <n v="984319" u="1"/>
        <n v="786654" u="1"/>
        <n v="984320" u="1"/>
        <n v="733537001" u="1"/>
        <n v="955074" u="1"/>
        <n v="521341" u="1"/>
        <n v="786655" u="1"/>
        <n v="786656" u="1"/>
        <n v="986339" u="1"/>
        <n v="1033739" u="1"/>
        <n v="753377" u="1"/>
        <n v="953060" u="1"/>
        <n v="973231" u="1"/>
        <n v="975248" u="1"/>
        <n v="769515" u="1"/>
        <n v="973232" u="1"/>
        <n v="769516" u="1"/>
        <n v="973233" u="1"/>
        <n v="521344" u="1"/>
        <n v="973234" u="1"/>
        <n v="973235" u="1"/>
        <n v="521345" u="1"/>
        <n v="973236" u="1"/>
        <n v="983321" u="1"/>
        <n v="973237" u="1"/>
        <n v="983322" u="1"/>
        <n v="989373" u="1"/>
        <n v="521346" u="1"/>
        <n v="770529" u="1"/>
        <n v="793725" u="1"/>
        <n v="983323" u="1"/>
        <n v="989374" u="1"/>
        <n v="770530" u="1"/>
        <n v="952060" u="1"/>
        <n v="955086" u="1"/>
        <n v="973239" u="1"/>
        <n v="980299" u="1"/>
        <n v="787676" u="1"/>
        <n v="983325" u="1"/>
        <n v="768379001" u="1"/>
        <n v="973241" u="1"/>
        <n v="983326" u="1"/>
        <n v="61614" u="1"/>
        <n v="784652" u="1"/>
        <n v="952063" u="1"/>
        <n v="986352" u="1"/>
        <n v="70841002" u="1"/>
        <n v="375620" u="1"/>
        <n v="973242" u="1"/>
        <n v="983327" u="1"/>
        <n v="784653" u="1"/>
        <n v="952064" u="1"/>
        <n v="956098" u="1"/>
        <n v="982319" u="1"/>
        <n v="986353" u="1"/>
        <n v="787679" u="1"/>
        <n v="961141" u="1"/>
        <n v="973243" u="1"/>
        <n v="983328" u="1"/>
        <n v="485446004" u="1"/>
        <n v="952065" u="1"/>
        <n v="982320" u="1"/>
        <n v="986354" u="1"/>
        <n v="973244" u="1"/>
        <n v="983329" u="1"/>
        <n v="784655" u="1"/>
        <n v="956100" u="1"/>
        <n v="964168" u="1"/>
        <n v="982321" u="1"/>
        <n v="986355" u="1"/>
        <n v="89082" u="1"/>
        <n v="961143" u="1"/>
        <n v="982322" u="1"/>
        <n v="986356" u="1"/>
        <n v="787682" u="1"/>
        <n v="956102" u="1"/>
        <n v="982323" u="1"/>
        <n v="986357" u="1"/>
        <n v="787683" u="1"/>
        <n v="961145" u="1"/>
        <n v="985349" u="1"/>
        <n v="982324" u="1"/>
        <n v="986358" u="1"/>
        <n v="787684" u="1"/>
        <n v="985350" u="1"/>
        <n v="497652" u="1"/>
        <n v="666665" u="1"/>
        <n v="942994" u="1"/>
        <n v="955096" u="1"/>
        <n v="985351" u="1"/>
        <n v="1017623" u="1"/>
        <n v="972241" u="1"/>
        <n v="666666" u="1"/>
        <n v="955097" u="1"/>
        <n v="982327" u="1"/>
        <n v="789704" u="1"/>
        <n v="209210" u="1"/>
        <n v="506730" u="1"/>
        <n v="529512" u="1"/>
        <n v="322679" u="1"/>
        <n v="789706" u="1"/>
        <n v="732222" u="1"/>
        <n v="529514" u="1"/>
        <n v="789707" u="1"/>
        <n v="1001492" u="1"/>
        <n v="964179" u="1"/>
        <n v="972247" u="1"/>
        <n v="506732" u="1"/>
        <n v="789709" u="1"/>
        <n v="1001494" u="1"/>
        <n v="49463010" u="1"/>
        <n v="318647" u="1"/>
        <n v="964180" u="1"/>
        <n v="563806" u="1"/>
        <n v="916781" u="1"/>
        <n v="964181" u="1"/>
        <n v="504212" u="1"/>
        <n v="923842" u="1"/>
        <n v="952080" u="1"/>
        <n v="964182" u="1"/>
        <n v="923843" u="1"/>
        <n v="407901" u="1"/>
        <n v="318649" u="1"/>
        <n v="923844" u="1"/>
        <n v="952082" u="1"/>
        <n v="964184" u="1"/>
        <n v="767527" u="1"/>
        <n v="923845" u="1"/>
        <n v="964185" u="1"/>
        <n v="972253" u="1"/>
        <n v="974270" u="1"/>
        <n v="967211" u="1"/>
        <n v="756435" u="1"/>
        <n v="964186" u="1"/>
        <n v="970237" u="1"/>
        <n v="974271" u="1"/>
        <n v="955110" u="1"/>
        <n v="485445001" u="1"/>
        <n v="519342" u="1"/>
        <n v="970238" u="1"/>
        <n v="1027723" u="1"/>
        <n v="970239" u="1"/>
        <n v="980324" u="1"/>
        <n v="1026715" u="1"/>
        <n v="955112" u="1"/>
        <n v="964189" u="1"/>
        <n v="980325" u="1"/>
        <n v="1026716" u="1"/>
        <n v="955113" u="1"/>
        <n v="724167" u="1"/>
        <n v="972258" u="1"/>
        <n v="986377" u="1"/>
        <n v="787703" u="1"/>
        <n v="955114" u="1"/>
        <n v="986378" u="1"/>
        <n v="955115" u="1"/>
        <n v="977302" u="1"/>
        <n v="985370" u="1"/>
        <n v="754424" u="1"/>
        <n v="972260" u="1"/>
        <n v="986379" u="1"/>
        <n v="977303" u="1"/>
        <n v="985371" u="1"/>
        <n v="985372" u="1"/>
        <n v="754426" u="1"/>
        <n v="968228" u="1"/>
        <n v="970245" u="1"/>
        <n v="755435" u="1"/>
        <n v="757452" u="1"/>
        <n v="914778" u="1"/>
        <n v="985373" u="1"/>
        <n v="968229" u="1"/>
        <n v="970246" u="1"/>
        <n v="757453" u="1"/>
        <n v="914779" u="1"/>
        <n v="983357" u="1"/>
        <n v="985374" u="1"/>
        <n v="968230" u="1"/>
        <n v="970247" u="1"/>
        <n v="976298" u="1"/>
        <n v="757454" u="1"/>
        <n v="902678" u="1"/>
        <n v="955120" u="1"/>
        <n v="983358" u="1"/>
        <n v="985375" u="1"/>
        <n v="970248" u="1"/>
        <n v="972265" u="1"/>
        <n v="976299" u="1"/>
        <n v="983359" u="1"/>
        <n v="985376" u="1"/>
        <n v="477507002" u="1"/>
        <n v="952096" u="1"/>
        <n v="12075" u="1"/>
        <n v="904697" u="1"/>
        <n v="961173" u="1"/>
        <n v="983360" u="1"/>
        <n v="985377" u="1"/>
        <n v="972267" u="1"/>
        <n v="983361" u="1"/>
        <n v="41068" u="1"/>
        <n v="960166" u="1"/>
        <n v="902682" u="1"/>
        <n v="955124" u="1"/>
        <n v="983362" u="1"/>
        <n v="960167" u="1"/>
        <n v="962184" u="1"/>
        <n v="972269" u="1"/>
        <n v="902683" u="1"/>
        <n v="983363" u="1"/>
        <n v="960168" u="1"/>
        <n v="970253" u="1"/>
        <n v="976304" u="1"/>
        <n v="754435" u="1"/>
        <n v="960169" u="1"/>
        <n v="970254" u="1"/>
        <n v="976305" u="1"/>
        <n v="962187" u="1"/>
        <n v="970255" u="1"/>
        <n v="972272" u="1"/>
        <n v="976306" u="1"/>
        <n v="477498" u="1"/>
        <n v="487583" u="1"/>
        <n v="970256" u="1"/>
        <n v="976307" u="1"/>
        <n v="38295" u="1"/>
        <n v="754438" u="1"/>
        <n v="970257" u="1"/>
        <n v="972274" u="1"/>
        <n v="161062" u="1"/>
        <n v="392785" u="1"/>
        <n v="477499" u="1"/>
        <n v="923867" u="1"/>
        <n v="970258" u="1"/>
        <n v="976309" u="1"/>
        <n v="733974002" u="1"/>
        <n v="983369" u="1"/>
        <n v="956395002" u="1"/>
        <n v="970259" u="1"/>
        <n v="392786" u="1"/>
        <n v="955132" u="1"/>
        <n v="968243" u="1"/>
        <n v="970260" u="1"/>
        <n v="976311" u="1"/>
        <n v="10720" u="1"/>
        <n v="964210" u="1"/>
        <n v="970261" u="1"/>
        <n v="972278" u="1"/>
        <n v="986397" u="1"/>
        <n v="996482" u="1"/>
        <n v="561819" u="1"/>
        <n v="376147" u="1"/>
        <n v="970262" u="1"/>
        <n v="1028755" u="1"/>
        <n v="971271" u="1"/>
        <n v="354969" u="1"/>
        <n v="970263" u="1"/>
        <n v="955136" u="1"/>
        <n v="970264" u="1"/>
        <n v="976315" u="1"/>
        <n v="970265" u="1"/>
        <n v="976316" u="1"/>
        <n v="986401" u="1"/>
        <n v="20877" u="1"/>
        <n v="983376" u="1"/>
        <n v="970266" u="1"/>
        <n v="972283" u="1"/>
        <n v="375645" u="1"/>
        <n v="757473" u="1"/>
        <n v="929927" u="1"/>
        <n v="970267" u="1"/>
        <n v="471453" u="1"/>
        <n v="970268" u="1"/>
        <n v="976319" u="1"/>
        <n v="970269" u="1"/>
        <n v="971278" u="1"/>
        <n v="970270" u="1"/>
        <n v="976321" u="1"/>
        <n v="971279" u="1"/>
        <n v="970271" u="1"/>
        <n v="971280" u="1"/>
        <n v="970272" u="1"/>
        <n v="971281" u="1"/>
        <n v="970273" u="1"/>
        <n v="889594" u="1"/>
        <n v="970274" u="1"/>
        <n v="782694" u="1"/>
        <n v="950105" u="1"/>
        <n v="970275" u="1"/>
        <n v="970276" u="1"/>
        <n v="763534" u="1"/>
        <n v="971285" u="1"/>
        <n v="396035004" u="1"/>
        <n v="923886" u="1"/>
        <n v="970277" u="1"/>
        <n v="986413" u="1"/>
        <n v="971286" u="1"/>
        <n v="970278" u="1"/>
        <n v="986414" u="1"/>
        <n v="363549" u="1"/>
        <n v="522892" u="1"/>
        <n v="970279" u="1"/>
        <n v="991458" u="1"/>
        <n v="556795" u="1"/>
        <n v="970280" u="1"/>
        <n v="965238" u="1"/>
        <n v="970281" u="1"/>
        <n v="976332" u="1"/>
        <n v="986417" u="1"/>
        <n v="932967" u="1"/>
        <n v="983392" u="1"/>
        <n v="970282" u="1"/>
        <n v="976333" u="1"/>
        <n v="970283" u="1"/>
        <n v="59568004" u="1"/>
        <n v="970284" u="1"/>
        <n v="925911" u="1"/>
        <n v="940030" u="1"/>
        <n v="970285" u="1"/>
        <n v="944065" u="1"/>
        <n v="970286" u="1"/>
        <n v="733538002" u="1"/>
        <n v="971295" u="1"/>
        <n v="522392" u="1"/>
        <n v="970287" u="1"/>
        <n v="556803" u="1"/>
        <n v="970288" u="1"/>
        <n v="556804" u="1"/>
        <n v="970289" u="1"/>
        <n v="970290" u="1"/>
        <n v="946362004" u="1"/>
        <n v="556806" u="1"/>
        <n v="970291" u="1"/>
        <n v="566892" u="1"/>
        <n v="927935" u="1"/>
        <n v="970292" u="1"/>
        <n v="353471" u="1"/>
        <n v="973318" u="1"/>
        <n v="942055" u="1"/>
        <n v="944072" u="1"/>
        <n v="973319" u="1"/>
        <n v="1001557" u="1"/>
        <n v="319183" u="1"/>
        <n v="973320" u="1"/>
        <n v="1001558" u="1"/>
        <n v="970295" u="1"/>
        <n v="971304" u="1"/>
        <n v="973321" u="1"/>
        <n v="1001559" u="1"/>
        <n v="768372001" u="1"/>
        <n v="516850" u="1"/>
        <n v="973322" u="1"/>
        <n v="409445" u="1"/>
        <n v="759521" u="1"/>
        <n v="960213" u="1"/>
        <n v="972315" u="1"/>
        <n v="990468" u="1"/>
        <n v="973324" u="1"/>
        <n v="964248" u="1"/>
        <n v="973325" u="1"/>
        <n v="956181" u="1"/>
        <n v="242005" u="1"/>
        <n v="972318" u="1"/>
        <n v="1014675" u="1"/>
        <n v="739355" u="1"/>
        <n v="960217" u="1"/>
        <n v="972319" u="1"/>
        <n v="969294" u="1"/>
        <n v="889623" u="1"/>
        <n v="960219" u="1"/>
        <n v="171663" u="1"/>
        <n v="739358" u="1"/>
        <n v="242006" u="1"/>
        <n v="784741" u="1"/>
        <n v="733974001" u="1"/>
        <n v="127794" u="1"/>
        <n v="784742" u="1"/>
        <n v="960221" u="1"/>
        <n v="956395001" u="1"/>
        <n v="1014681" u="1"/>
        <n v="784744" u="1"/>
        <n v="940053" u="1"/>
        <n v="970308" u="1"/>
        <n v="1014682" u="1"/>
        <n v="773651" u="1"/>
        <n v="970309" u="1"/>
        <n v="935012" u="1"/>
        <n v="700032" u="1"/>
        <n v="970310" u="1"/>
        <n v="974344" u="1"/>
        <n v="700033" u="1"/>
        <n v="974345" u="1"/>
        <n v="700034" u="1"/>
        <n v="479519001" u="1"/>
        <n v="485446003" u="1"/>
        <n v="700035" u="1"/>
        <n v="960228" u="1"/>
        <n v="1016704" u="1"/>
        <n v="438700" u="1"/>
        <n v="700036" u="1"/>
        <n v="960229" u="1"/>
        <n v="1014688" u="1"/>
        <n v="499905001" u="1"/>
        <n v="48373002" u="1"/>
        <n v="508287" u="1"/>
        <n v="960230" u="1"/>
        <n v="970315" u="1"/>
        <n v="1014689" u="1"/>
        <n v="466939" u="1"/>
        <n v="407942" u="1"/>
        <n v="971325" u="1"/>
        <n v="975359" u="1"/>
        <n v="789796" u="1"/>
        <n v="975360" u="1"/>
        <n v="438702" u="1"/>
        <n v="975361" u="1"/>
        <n v="905775" u="1"/>
        <n v="973345" u="1"/>
        <n v="975362" u="1"/>
        <n v="905776" u="1"/>
        <n v="973346" u="1"/>
        <n v="975363" u="1"/>
        <n v="1019737" u="1"/>
        <n v="905777" u="1"/>
        <n v="973347" u="1"/>
        <n v="975364" u="1"/>
        <n v="438704" u="1"/>
        <n v="905778" u="1"/>
        <n v="407945" u="1"/>
        <n v="973348" u="1"/>
        <n v="975365" u="1"/>
        <n v="889643" u="1"/>
        <n v="905779" u="1"/>
        <n v="955196" u="1"/>
        <n v="973349" u="1"/>
        <n v="975366" u="1"/>
        <n v="438705" u="1"/>
        <n v="955197" u="1"/>
        <n v="973350" u="1"/>
        <n v="975367" u="1"/>
        <n v="750472" u="1"/>
        <n v="565917" u="1"/>
        <n v="955198" u="1"/>
        <n v="973351" u="1"/>
        <n v="975368" u="1"/>
        <n v="970326" u="1"/>
        <n v="565918" u="1"/>
        <n v="955199" u="1"/>
        <n v="971335" u="1"/>
        <n v="975369" u="1"/>
        <n v="974361" u="1"/>
        <n v="565919" u="1"/>
        <n v="773670" u="1"/>
        <n v="955200" u="1"/>
        <n v="975370" u="1"/>
        <n v="987472" u="1"/>
        <n v="565920" u="1"/>
        <n v="975371" u="1"/>
        <n v="987473" u="1"/>
        <n v="565921" u="1"/>
        <n v="949151" u="1"/>
        <n v="971338" u="1"/>
        <n v="975372" u="1"/>
        <n v="987474" u="1"/>
        <n v="949152" u="1"/>
        <n v="975373" u="1"/>
        <n v="1023781" u="1"/>
        <n v="722240" u="1"/>
        <n v="366601" u="1"/>
        <n v="975374" u="1"/>
        <n v="1023782" u="1"/>
        <n v="4288" u="1"/>
        <n v="971341" u="1"/>
        <n v="558865" u="1"/>
        <n v="971342" u="1"/>
        <n v="733538001" u="1"/>
        <n v="768373003" u="1"/>
        <n v="971343" u="1"/>
        <n v="992522" u="1"/>
        <n v="971344" u="1"/>
        <n v="985463" u="1"/>
        <n v="3282" u="1"/>
        <n v="23495" u="1"/>
        <n v="958234" u="1"/>
        <n v="992523" u="1"/>
        <n v="971345" u="1"/>
        <n v="985464" u="1"/>
        <n v="758552" u="1"/>
        <n v="901759" u="1"/>
        <n v="972354" u="1"/>
        <n v="992524" u="1"/>
        <n v="985465" u="1"/>
        <n v="972355" u="1"/>
        <n v="992525" u="1"/>
        <n v="946362003" u="1"/>
        <n v="985466" u="1"/>
        <n v="768745001" u="1"/>
        <n v="992526" u="1"/>
        <n v="971348" u="1"/>
        <n v="992527" u="1"/>
        <n v="985468" u="1"/>
        <n v="972358" u="1"/>
        <n v="972359" u="1"/>
        <n v="972360" u="1"/>
        <n v="972361" u="1"/>
        <n v="949166" u="1"/>
        <n v="457877" u="1"/>
        <n v="901767" u="1"/>
        <n v="968328" u="1"/>
        <n v="972362" u="1"/>
        <n v="971354" u="1"/>
        <n v="79391" u="1"/>
        <n v="558878" u="1"/>
        <n v="562912" u="1"/>
        <n v="972363" u="1"/>
        <n v="949168" u="1"/>
        <n v="979423" u="1"/>
        <n v="558879" u="1"/>
        <n v="972364" u="1"/>
        <n v="971356" u="1"/>
        <n v="979424" u="1"/>
        <n v="768380001" u="1"/>
        <n v="768649" u="1"/>
        <n v="944128" u="1"/>
        <n v="971358" u="1"/>
        <n v="979426" u="1"/>
        <n v="768650" u="1"/>
        <n v="979427" u="1"/>
        <n v="948164" u="1"/>
        <n v="3286" u="1"/>
        <n v="971360" u="1"/>
        <n v="985479" u="1"/>
        <n v="900766" u="1"/>
        <n v="971361" u="1"/>
        <n v="979429" u="1"/>
        <n v="985480" u="1"/>
        <n v="366612" u="1"/>
        <n v="900767" u="1"/>
        <n v="971362" u="1"/>
        <n v="979430" u="1"/>
        <n v="985481" u="1"/>
        <n v="781766" u="1"/>
        <n v="1007878003" u="1"/>
        <n v="43785" u="1"/>
        <n v="531660" u="1"/>
        <n v="985485" u="1"/>
        <n v="964922002" u="1"/>
        <n v="86452" u="1"/>
        <n v="758574" u="1"/>
        <n v="962291" u="1"/>
        <n v="558892" u="1"/>
        <n v="562926" u="1"/>
        <n v="758575" u="1"/>
        <n v="758576" u="1"/>
        <n v="61434" u="1"/>
        <n v="407965" u="1"/>
        <n v="971372" u="1"/>
        <n v="407966" u="1"/>
        <n v="984484" u="1"/>
        <n v="56462001" u="1"/>
        <n v="904813" u="1"/>
        <n v="967340" u="1"/>
        <n v="940111" u="1"/>
        <n v="984485" u="1"/>
        <n v="890695" u="1"/>
        <n v="904814" u="1"/>
        <n v="984486" u="1"/>
        <n v="755557" u="1"/>
        <n v="966334" u="1"/>
        <n v="755558" u="1"/>
        <n v="971377" u="1"/>
        <n v="909859" u="1"/>
        <n v="739423" u="1"/>
        <n v="909860" u="1"/>
        <n v="739424" u="1"/>
        <n v="971379" u="1"/>
        <n v="1018779" u="1"/>
        <n v="717238" u="1"/>
        <n v="739425" u="1"/>
        <n v="971380" u="1"/>
        <n v="1031890" u="1"/>
        <n v="909862" u="1"/>
        <n v="962304" u="1"/>
        <n v="717239" u="1"/>
        <n v="963313" u="1"/>
        <n v="977432" u="1"/>
        <n v="564956" u="1"/>
        <n v="963314" u="1"/>
        <n v="977433" u="1"/>
        <n v="4375" u="1"/>
        <n v="948188" u="1"/>
        <n v="1031894" u="1"/>
        <n v="535715" u="1"/>
        <n v="486637" u="1"/>
        <n v="737417" u="1"/>
        <n v="962313" u="1"/>
        <n v="486638" u="1"/>
        <n v="955255" u="1"/>
        <n v="1005680" u="1"/>
        <n v="946362002" u="1"/>
        <n v="889708" u="1"/>
        <n v="940133" u="1"/>
        <n v="448318" u="1"/>
        <n v="1003669" u="1"/>
        <n v="889709" u="1"/>
        <n v="1034933" u="1"/>
        <n v="1003670" u="1"/>
        <n v="1034934" u="1"/>
        <n v="448319" u="1"/>
        <n v="1034935" u="1"/>
        <n v="971401" u="1"/>
        <n v="720287" u="1"/>
        <n v="3818" u="1"/>
        <n v="992584" u="1"/>
        <n v="878625" u="1"/>
        <n v="990569" u="1"/>
        <n v="565991" u="1"/>
        <n v="87970" u="1"/>
        <n v="992587" u="1"/>
        <n v="565992" u="1"/>
        <n v="967375" u="1"/>
        <n v="992588" u="1"/>
        <n v="565993" u="1"/>
        <n v="992589" u="1"/>
        <n v="757609" u="1"/>
        <n v="934097" u="1"/>
        <n v="992590" u="1"/>
        <n v="1007878002" u="1"/>
        <n v="443283" u="1"/>
        <n v="933089" u="1"/>
        <n v="992591" u="1"/>
        <n v="933090" u="1"/>
        <n v="1037974" u="1"/>
        <n v="990575" u="1"/>
        <n v="992592" u="1"/>
        <n v="964922001" u="1"/>
        <n v="756604" u="1"/>
        <n v="992593" u="1"/>
        <n v="1037976" u="1"/>
        <n v="992594" u="1"/>
        <n v="485446002" u="1"/>
        <n v="992595" u="1"/>
        <n v="1037978" u="1"/>
        <n v="946205" u="1"/>
        <n v="992596" u="1"/>
        <n v="753582" u="1"/>
        <n v="878636" u="1"/>
        <n v="959316" u="1"/>
        <n v="10549" u="1"/>
        <n v="976461" u="1"/>
        <n v="992597" u="1"/>
        <n v="753583" u="1"/>
        <n v="757617" u="1"/>
        <n v="107078001" u="1"/>
        <n v="992598" u="1"/>
        <n v="478904001" u="1"/>
        <n v="733414" u="1"/>
        <n v="984531" u="1"/>
        <n v="753585" u="1"/>
        <n v="967387" u="1"/>
        <n v="750560" u="1"/>
        <n v="971422" u="1"/>
        <n v="970414" u="1"/>
        <n v="981508" u="1"/>
        <n v="970415" u="1"/>
        <n v="981509" u="1"/>
        <n v="971425" u="1"/>
        <n v="750564" u="1"/>
        <n v="769726" u="1"/>
        <n v="971426" u="1"/>
        <n v="970418" u="1"/>
        <n v="908900" u="1"/>
        <n v="971427" u="1"/>
        <n v="970419" u="1"/>
        <n v="955292" u="1"/>
        <n v="971428" u="1"/>
        <n v="971429" u="1"/>
        <n v="955294" u="1"/>
        <n v="971430" u="1"/>
        <n v="750569" u="1"/>
        <n v="952269" u="1"/>
        <n v="1024881" u="1"/>
        <n v="769731" u="1"/>
        <n v="955295" u="1"/>
        <n v="971431" u="1"/>
        <n v="952270" u="1"/>
        <n v="955296" u="1"/>
        <n v="971432" u="1"/>
        <n v="952271" u="1"/>
        <n v="1022866" u="1"/>
        <n v="1024883" u="1"/>
        <n v="955297" u="1"/>
        <n v="952272" u="1"/>
        <n v="1016816" u="1"/>
        <n v="1022867" u="1"/>
        <n v="1024884" u="1"/>
        <n v="967400" u="1"/>
        <n v="971434" u="1"/>
        <n v="509351" u="1"/>
        <n v="952273" u="1"/>
        <n v="1022868" u="1"/>
        <n v="769735" u="1"/>
        <n v="964376" u="1"/>
        <n v="1016818" u="1"/>
        <n v="1022869" u="1"/>
        <n v="967402" u="1"/>
        <n v="971436" u="1"/>
        <n v="720320" u="1"/>
        <n v="1016819" u="1"/>
        <n v="769737" u="1"/>
        <n v="967403" u="1"/>
        <n v="768373001" u="1"/>
        <n v="720321" u="1"/>
        <n v="1022871" u="1"/>
        <n v="955302" u="1"/>
        <n v="967404" u="1"/>
        <n v="331857" u="1"/>
        <n v="720322" u="1"/>
        <n v="518934" u="1"/>
        <n v="921014" u="1"/>
        <n v="967405" u="1"/>
        <n v="720323" u="1"/>
        <n v="955304" u="1"/>
        <n v="967406" u="1"/>
        <n v="972449" u="1"/>
        <n v="518935" u="1"/>
      </sharedItems>
    </cacheField>
    <cacheField name="Descripcion" numFmtId="0">
      <sharedItems/>
    </cacheField>
    <cacheField name="Conteo Físico" numFmtId="0">
      <sharedItems containsSemiMixedTypes="0" containsString="0" containsNumber="1" containsInteger="1" minValue="1" maxValue="3901"/>
    </cacheField>
    <cacheField name="Codigo Estado" numFmtId="0">
      <sharedItems/>
    </cacheField>
    <cacheField name="Factor" numFmtId="0">
      <sharedItems/>
    </cacheField>
    <cacheField name="UM Ubic." numFmtId="0">
      <sharedItems/>
    </cacheField>
    <cacheField name="Linea" numFmtId="0">
      <sharedItems containsBlank="1" count="8">
        <s v="ABARROTES"/>
        <s v="LICORES"/>
        <m u="1"/>
        <s v="LINEA BLANCA" u="1"/>
        <s v="LINEA MARRON" u="1"/>
        <s v="HOGAR" u="1"/>
        <s v="ALTO VALOR" u="1"/>
        <s v="OTROS" u="1"/>
      </sharedItems>
    </cacheField>
    <cacheField name="Cant. UND" numFmtId="0">
      <sharedItems containsSemiMixedTypes="0" containsString="0" containsNumber="1" containsInteger="1" minValue="1" maxValue="3901"/>
    </cacheField>
    <cacheField name="Cant. CJ" numFmtId="0">
      <sharedItems containsSemiMixedTypes="0" containsString="0" containsNumber="1" containsInteger="1" minValue="1" maxValue="3901"/>
    </cacheField>
    <cacheField name="Reconteo Dinet" numFmtId="0">
      <sharedItems containsNonDate="0" containsString="0" containsBlank="1" containsNumber="1" containsInteger="1" minValue="0" maxValue="2700" count="29">
        <m/>
        <n v="0" u="1"/>
        <n v="96" u="1"/>
        <n v="36" u="1"/>
        <n v="288" u="1"/>
        <n v="108" u="1"/>
        <n v="14" u="1"/>
        <n v="40" u="1"/>
        <n v="15" u="1"/>
        <n v="1400" u="1"/>
        <n v="120" u="1"/>
        <n v="1800" u="1"/>
        <n v="2" u="1"/>
        <n v="48" u="1"/>
        <n v="384" u="1"/>
        <n v="160" u="1"/>
        <n v="168" u="1"/>
        <n v="1" u="1"/>
        <n v="438" u="1"/>
        <n v="24" u="1"/>
        <n v="192" u="1"/>
        <n v="2496" u="1"/>
        <n v="444" u="1"/>
        <n v="2700" u="1"/>
        <n v="10" u="1"/>
        <n v="216" u="1"/>
        <n v="80" u="1"/>
        <n v="11" u="1"/>
        <n v="198" u="1"/>
      </sharedItems>
    </cacheField>
    <cacheField name="Validación Cencosud" numFmtId="0">
      <sharedItems containsNonDate="0" containsString="0" containsBlank="1"/>
    </cacheField>
    <cacheField name="Diferencia" numFmtId="0">
      <sharedItems containsSemiMixedTypes="0" containsString="0" containsNumber="1" containsInteger="1" minValue="0" maxValue="0"/>
    </cacheField>
    <cacheField name="Status 0" numFmtId="0">
      <sharedItems/>
    </cacheField>
    <cacheField name="Status 1" numFmtId="0">
      <sharedItems/>
    </cacheField>
    <cacheField name="Lado" numFmtId="0">
      <sharedItems containsBlank="1" count="4">
        <s v="IMPAR"/>
        <s v="PAR"/>
        <m u="1"/>
        <s v="Zona" u="1"/>
      </sharedItems>
    </cacheField>
    <cacheField name="PMV" numFmtId="167">
      <sharedItems containsNonDate="0" containsString="0" containsBlank="1"/>
    </cacheField>
    <cacheField name="VALORIZADO STOCK" numFmtId="167">
      <sharedItems containsSemiMixedTypes="0" containsString="0" containsNumber="1" containsInteger="1" minValue="0" maxValue="0"/>
    </cacheField>
    <cacheField name="Valorizado Diferencia" numFmtId="167">
      <sharedItems containsSemiMixedTypes="0" containsString="0" containsNumber="1" containsInteger="1" minValue="0" maxValue="0"/>
    </cacheField>
    <cacheField name="Almacen" numFmtId="0">
      <sharedItems containsMixedTypes="1" containsNumber="1" containsInteger="1" minValue="2001" maxValue="9999" count="13">
        <n v="2001"/>
        <n v="2002"/>
        <s v="N.A"/>
        <n v="9995"/>
        <n v="9994" u="1"/>
        <n v="9999" u="1"/>
        <n v="9993" u="1"/>
        <n v="2006" u="1"/>
        <n v="2016" u="1"/>
        <n v="2021" u="1"/>
        <n v="9991" u="1"/>
        <n v="2007" u="1"/>
        <n v="7004" u="1"/>
      </sharedItems>
    </cacheField>
    <cacheField name="Centro" numFmtId="0">
      <sharedItems containsBlank="1" count="5">
        <s v="CD09"/>
        <m u="1"/>
        <s v="BPA" u="1"/>
        <s v="CD10" u="1"/>
        <s v=" " u="1"/>
      </sharedItems>
    </cacheField>
    <cacheField name="Fecha" numFmtId="14">
      <sharedItems containsSemiMixedTypes="0" containsNonDate="0" containsDate="1" containsString="0" minDate="2023-05-26T00:00:00" maxDate="2025-06-20T00:00:00" count="18">
        <d v="2025-06-19T00:00:00"/>
        <d v="2025-06-18T00:00:00" u="1"/>
        <d v="2025-06-12T00:00:00" u="1"/>
        <d v="2023-05-31T00:00:00" u="1"/>
        <d v="2025-06-17T00:00:00" u="1"/>
        <d v="2023-05-29T00:00:00" u="1"/>
        <d v="2025-06-08T00:00:00" u="1"/>
        <d v="2023-05-27T00:00:00" u="1"/>
        <d v="2025-06-13T00:00:00" u="1"/>
        <d v="2023-07-11T00:00:00" u="1"/>
        <d v="2025-06-11T00:00:00" u="1"/>
        <d v="2023-05-30T00:00:00" u="1"/>
        <d v="2025-06-09T00:00:00" u="1"/>
        <d v="2023-05-28T00:00:00" u="1"/>
        <d v="2025-06-14T00:00:00" u="1"/>
        <d v="2025-06-07T00:00:00" u="1"/>
        <d v="2023-12-11T00:00:00" u="1"/>
        <d v="2023-05-26T00:00:00" u="1"/>
      </sharedItems>
    </cacheField>
    <cacheField name="Valor teorico" numFmtId="0" formula="'VALORIZADO STOCK'-'Valorizado Diferencia'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2">
  <r>
    <s v="MRC01"/>
    <s v="MR.C01.001.001"/>
    <m/>
    <x v="0"/>
    <x v="0"/>
    <n v="1"/>
    <x v="0"/>
    <x v="0"/>
    <s v="GELATINA UNIVERSAL 130 GR, FRES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01.001"/>
    <m/>
    <x v="0"/>
    <x v="0"/>
    <n v="1"/>
    <x v="0"/>
    <x v="1"/>
    <s v="CAFÉ MOLIDO TOSTA BLEND PERUANO 200 C&amp;CO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2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3"/>
    <s v="CACAO EN POLVO MARIMIEL DP200G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002.002"/>
    <m/>
    <x v="0"/>
    <x v="0"/>
    <n v="2"/>
    <x v="2"/>
    <x v="4"/>
    <s v="CHUÑO X 180GR UNIVERSA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03.002"/>
    <m/>
    <x v="0"/>
    <x v="0"/>
    <n v="3"/>
    <x v="2"/>
    <x v="5"/>
    <s v="ESPUMANTE CHANDON GARDEN SPRITZ 75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004.002"/>
    <m/>
    <x v="0"/>
    <x v="0"/>
    <n v="4"/>
    <x v="2"/>
    <x v="6"/>
    <s v="GELATINA DIET FRESA X 19GR UNIVERSAL"/>
    <n v="72"/>
    <s v="DI"/>
    <s v="C12U"/>
    <s v="UND"/>
    <x v="0"/>
    <n v="72"/>
    <n v="72"/>
    <x v="0"/>
    <m/>
    <n v="0"/>
    <s v="CUADRADO"/>
    <s v="CUADRADO"/>
    <x v="1"/>
    <m/>
    <n v="0"/>
    <n v="0"/>
    <x v="0"/>
    <x v="0"/>
    <x v="0"/>
  </r>
  <r>
    <s v="MRC01"/>
    <s v="MR.C01.005.002"/>
    <m/>
    <x v="0"/>
    <x v="0"/>
    <n v="5"/>
    <x v="2"/>
    <x v="7"/>
    <s v="VINO LUIGI BOSCA DE SANGRE MALBEC 1.5LT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7.002"/>
    <m/>
    <x v="0"/>
    <x v="0"/>
    <n v="7"/>
    <x v="2"/>
    <x v="8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8.002"/>
    <m/>
    <x v="0"/>
    <x v="0"/>
    <n v="8"/>
    <x v="2"/>
    <x v="9"/>
    <s v="CAVA JUVE&amp;CAMPS RESERVA FAMILIA 1.5LT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011.002"/>
    <m/>
    <x v="0"/>
    <x v="0"/>
    <n v="11"/>
    <x v="2"/>
    <x v="10"/>
    <s v="SALSA DE FRIJOLES DE SOYA X 15G.(MENSI)"/>
    <n v="9"/>
    <s v="DI"/>
    <s v="P12B"/>
    <s v="BOL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014.001"/>
    <m/>
    <x v="0"/>
    <x v="0"/>
    <n v="14"/>
    <x v="0"/>
    <x v="11"/>
    <s v="PUDIN CHOCOLAT AZUCARAD X100GR UNIVERSAL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15.002"/>
    <m/>
    <x v="0"/>
    <x v="0"/>
    <n v="15"/>
    <x v="2"/>
    <x v="12"/>
    <s v="CUTTLEFISH SNACK X 55GR NONG SHIM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15.002"/>
    <m/>
    <x v="0"/>
    <x v="0"/>
    <n v="15"/>
    <x v="2"/>
    <x v="13"/>
    <s v="AJO EN POLVO X 10G ALIDA CH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27.002"/>
    <m/>
    <x v="0"/>
    <x v="0"/>
    <n v="27"/>
    <x v="2"/>
    <x v="14"/>
    <s v="PUDIN DIET X 19GRS UNIVERSAL, CHOCOLATE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35.001"/>
    <m/>
    <x v="0"/>
    <x v="0"/>
    <n v="35"/>
    <x v="0"/>
    <x v="15"/>
    <s v="MEZCLA HELADO STEVIA S/GLUT FRESA X50G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7.001"/>
    <m/>
    <x v="0"/>
    <x v="0"/>
    <n v="37"/>
    <x v="0"/>
    <x v="16"/>
    <s v="MEZCLA HELADO C/STEV S/GLUT CHOCO X50G"/>
    <n v="60"/>
    <s v="DI"/>
    <s v="C12U"/>
    <s v="UND"/>
    <x v="0"/>
    <n v="60"/>
    <n v="60"/>
    <x v="0"/>
    <m/>
    <n v="0"/>
    <s v="CUADRADO"/>
    <s v="CUADRADO"/>
    <x v="0"/>
    <m/>
    <n v="0"/>
    <n v="0"/>
    <x v="0"/>
    <x v="0"/>
    <x v="0"/>
  </r>
  <r>
    <s v="MRC01"/>
    <s v="MR.C01.037.002"/>
    <m/>
    <x v="0"/>
    <x v="0"/>
    <n v="37"/>
    <x v="2"/>
    <x v="17"/>
    <s v="MAICENA  X 180GR UNIVERSAL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8.002"/>
    <m/>
    <x v="0"/>
    <x v="0"/>
    <n v="38"/>
    <x v="2"/>
    <x v="18"/>
    <s v="GELATINA UNIVERSAL 130 GR, PIÑA"/>
    <n v="15"/>
    <s v="DI"/>
    <s v="C24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042.002"/>
    <m/>
    <x v="0"/>
    <x v="0"/>
    <n v="42"/>
    <x v="2"/>
    <x v="19"/>
    <s v="VINO ESCORIHUELA GASCON MALBEC X 750 ML"/>
    <n v="9"/>
    <s v="DI"/>
    <s v="C6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51.002"/>
    <m/>
    <x v="0"/>
    <x v="0"/>
    <n v="51"/>
    <x v="2"/>
    <x v="20"/>
    <s v="SALSA DE OSTION X 60 CC A. CHIAN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52.002"/>
    <m/>
    <x v="0"/>
    <x v="0"/>
    <n v="52"/>
    <x v="2"/>
    <x v="21"/>
    <s v="GOYA SAZONADOR TOTAL 312 GR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056.002"/>
    <m/>
    <x v="0"/>
    <x v="0"/>
    <n v="56"/>
    <x v="2"/>
    <x v="22"/>
    <s v="SIROPE DE CHANCACA 480 GR DULKEN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58.002"/>
    <m/>
    <x v="0"/>
    <x v="0"/>
    <n v="58"/>
    <x v="2"/>
    <x v="4"/>
    <s v="CHUÑO X 180GR UNIVERSAL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59.002"/>
    <m/>
    <x v="0"/>
    <x v="0"/>
    <n v="59"/>
    <x v="2"/>
    <x v="23"/>
    <s v="CHAMPAGNE MOET&amp;CHANDON BRUT ROSE 750 ML"/>
    <n v="1"/>
    <s v="DI"/>
    <s v="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60.001"/>
    <m/>
    <x v="0"/>
    <x v="0"/>
    <n v="60"/>
    <x v="0"/>
    <x v="21"/>
    <s v="GOYA SAZONADOR TOTAL 312 GR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64.002"/>
    <m/>
    <x v="0"/>
    <x v="0"/>
    <n v="64"/>
    <x v="2"/>
    <x v="24"/>
    <s v="GRANOLA HUELLA VERDE 200G , CHOCO"/>
    <n v="22"/>
    <s v="DI"/>
    <s v="C38U"/>
    <s v="UND"/>
    <x v="0"/>
    <n v="22"/>
    <n v="22"/>
    <x v="0"/>
    <m/>
    <n v="0"/>
    <s v="CUADRADO"/>
    <s v="CUADRADO"/>
    <x v="1"/>
    <m/>
    <n v="0"/>
    <n v="0"/>
    <x v="0"/>
    <x v="0"/>
    <x v="0"/>
  </r>
  <r>
    <s v="MRC01"/>
    <s v="MR.C01.071.002"/>
    <m/>
    <x v="0"/>
    <x v="0"/>
    <n v="71"/>
    <x v="2"/>
    <x v="25"/>
    <s v="VINAGRE BALSAMICO DI MODENA X500ML PONS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072.002"/>
    <m/>
    <x v="0"/>
    <x v="0"/>
    <n v="72"/>
    <x v="2"/>
    <x v="26"/>
    <s v="TAGLIOLINI CARBONARA PASTAROTTI X175GR"/>
    <n v="4"/>
    <s v="DI"/>
    <s v="C8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074.002"/>
    <m/>
    <x v="0"/>
    <x v="0"/>
    <n v="74"/>
    <x v="2"/>
    <x v="27"/>
    <s v="ALCACHOFA MARINADA X 34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77.002"/>
    <m/>
    <x v="0"/>
    <x v="0"/>
    <n v="77"/>
    <x v="2"/>
    <x v="28"/>
    <s v="CREMA DE CHOCLO DESGRANADO X 418 G.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78.002"/>
    <m/>
    <x v="0"/>
    <x v="0"/>
    <n v="78"/>
    <x v="2"/>
    <x v="29"/>
    <s v="SOPA FRIJOLES NEGROS GOYA 425G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079.003"/>
    <m/>
    <x v="0"/>
    <x v="0"/>
    <n v="79"/>
    <x v="1"/>
    <x v="3"/>
    <s v="CACAO EN POLVO MARIMIEL DP200G"/>
    <n v="65"/>
    <s v="DI"/>
    <s v="U"/>
    <s v="UND"/>
    <x v="0"/>
    <n v="65"/>
    <n v="65"/>
    <x v="0"/>
    <m/>
    <n v="0"/>
    <s v="CUADRADO"/>
    <s v="CUADRADO"/>
    <x v="0"/>
    <m/>
    <n v="0"/>
    <n v="0"/>
    <x v="0"/>
    <x v="0"/>
    <x v="0"/>
  </r>
  <r>
    <s v="MRC01"/>
    <s v="MR.C01.080.002"/>
    <m/>
    <x v="0"/>
    <x v="0"/>
    <n v="80"/>
    <x v="2"/>
    <x v="30"/>
    <s v="FILETE ANCHOAS /ACEITE OLIVA VF 100G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82.002"/>
    <m/>
    <x v="0"/>
    <x v="0"/>
    <n v="82"/>
    <x v="2"/>
    <x v="31"/>
    <s v="PUDIN VAINILLA UNIVERSAL SOBRE X 100GR"/>
    <n v="48"/>
    <s v="DI"/>
    <s v="P24U"/>
    <s v="UND"/>
    <x v="0"/>
    <n v="48"/>
    <n v="48"/>
    <x v="0"/>
    <m/>
    <n v="0"/>
    <s v="CUADRADO"/>
    <s v="CUADRADO"/>
    <x v="1"/>
    <m/>
    <n v="0"/>
    <n v="0"/>
    <x v="0"/>
    <x v="0"/>
    <x v="0"/>
  </r>
  <r>
    <s v="MRC01"/>
    <s v="MR.C01.087.001"/>
    <m/>
    <x v="0"/>
    <x v="0"/>
    <n v="87"/>
    <x v="0"/>
    <x v="12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7.002"/>
    <m/>
    <x v="0"/>
    <x v="0"/>
    <n v="87"/>
    <x v="2"/>
    <x v="32"/>
    <s v="VINAGRE BLANCO MAXIMA X 2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8.002"/>
    <m/>
    <x v="0"/>
    <x v="0"/>
    <n v="88"/>
    <x v="2"/>
    <x v="18"/>
    <s v="GELATINA UNIVERSAL 130 GR, PIÑA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89.001"/>
    <m/>
    <x v="0"/>
    <x v="0"/>
    <n v="89"/>
    <x v="0"/>
    <x v="33"/>
    <s v="GOYA SAZONADOR TOTALCON PIMIENTA 312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089.002"/>
    <m/>
    <x v="0"/>
    <x v="0"/>
    <n v="89"/>
    <x v="2"/>
    <x v="34"/>
    <s v="GELATINA UNIVERSAL 130 GR , CEREZ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1.002"/>
    <m/>
    <x v="0"/>
    <x v="0"/>
    <n v="91"/>
    <x v="2"/>
    <x v="11"/>
    <s v="PUDIN CHOCOLAT AZUCARAD X100GR UNIVERSAL"/>
    <n v="12"/>
    <s v="DI"/>
    <s v="P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92.002"/>
    <m/>
    <x v="0"/>
    <x v="0"/>
    <n v="92"/>
    <x v="2"/>
    <x v="35"/>
    <s v="FRIJOLES PINTO GOYA 439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95.001"/>
    <m/>
    <x v="0"/>
    <x v="0"/>
    <n v="95"/>
    <x v="0"/>
    <x v="11"/>
    <s v="PUDIN CHOCOLAT AZUCARAD X100GR UNIVERSAL"/>
    <n v="24"/>
    <s v="DI"/>
    <s v="P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6.001"/>
    <m/>
    <x v="0"/>
    <x v="0"/>
    <n v="96"/>
    <x v="0"/>
    <x v="36"/>
    <s v="SILLAO MAXIMA X 2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96.002"/>
    <m/>
    <x v="0"/>
    <x v="0"/>
    <n v="96"/>
    <x v="2"/>
    <x v="37"/>
    <s v="GOYA MAIZ ENTERO GOLDEN CORN X 432G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098.001"/>
    <m/>
    <x v="0"/>
    <x v="0"/>
    <n v="98"/>
    <x v="0"/>
    <x v="38"/>
    <s v="TORTA IMPERIAL LA VIUDA 200 GR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98.002"/>
    <m/>
    <x v="0"/>
    <x v="0"/>
    <n v="98"/>
    <x v="2"/>
    <x v="39"/>
    <s v="PASTA ANDINA SPAGUETTI AM¿RICAORGX227G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0.001"/>
    <m/>
    <x v="0"/>
    <x v="0"/>
    <n v="100"/>
    <x v="0"/>
    <x v="40"/>
    <s v="ALCAPARRAS EN VINAGRE  S/G 145 GR.HELIOS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0.002"/>
    <m/>
    <x v="0"/>
    <x v="0"/>
    <n v="100"/>
    <x v="2"/>
    <x v="41"/>
    <s v="GOYA SAZON CULANTRO / ACHIOTE 40GR"/>
    <n v="17"/>
    <s v="DI"/>
    <s v="C36U"/>
    <s v="UND"/>
    <x v="0"/>
    <n v="17"/>
    <n v="17"/>
    <x v="0"/>
    <m/>
    <n v="0"/>
    <s v="CUADRADO"/>
    <s v="CUADRADO"/>
    <x v="1"/>
    <m/>
    <n v="0"/>
    <n v="0"/>
    <x v="0"/>
    <x v="0"/>
    <x v="0"/>
  </r>
  <r>
    <s v="MRC01"/>
    <s v="MR.C01.101.002"/>
    <m/>
    <x v="0"/>
    <x v="0"/>
    <n v="101"/>
    <x v="2"/>
    <x v="36"/>
    <s v="SILLAO MAXIMA X 2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02.001"/>
    <m/>
    <x v="0"/>
    <x v="0"/>
    <n v="102"/>
    <x v="0"/>
    <x v="18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02.002"/>
    <m/>
    <x v="0"/>
    <x v="0"/>
    <n v="102"/>
    <x v="2"/>
    <x v="42"/>
    <s v="FLAN DIET VAINILLA  X 19GRS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4.002"/>
    <m/>
    <x v="0"/>
    <x v="0"/>
    <n v="104"/>
    <x v="2"/>
    <x v="29"/>
    <s v="SOPA FRIJOLES NEGROS GOYA 425G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05.001"/>
    <m/>
    <x v="0"/>
    <x v="0"/>
    <n v="105"/>
    <x v="0"/>
    <x v="43"/>
    <s v="TURRON DURO CRUNCHY ALMOND 75G ALMENDRO"/>
    <n v="12"/>
    <s v="DI"/>
    <s v="C16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5.002"/>
    <m/>
    <x v="0"/>
    <x v="0"/>
    <n v="105"/>
    <x v="2"/>
    <x v="4"/>
    <s v="CHUÑO X 180GR UNIVERSA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06.002"/>
    <m/>
    <x v="0"/>
    <x v="0"/>
    <n v="106"/>
    <x v="2"/>
    <x v="44"/>
    <s v="MERMELADA DIET HELIOS S/GLUTE, MELOCOTON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45"/>
    <s v="GELATINA DIET  X 19GR UNIVERSAL, NARANJA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46"/>
    <s v="POLVO HORNEAR S GLUTEN X 100G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2"/>
    <m/>
    <x v="0"/>
    <x v="0"/>
    <n v="108"/>
    <x v="2"/>
    <x v="47"/>
    <s v="FRIJOL CARITA GOYA 439G"/>
    <n v="10"/>
    <s v="DI"/>
    <s v="C24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09.001"/>
    <m/>
    <x v="0"/>
    <x v="0"/>
    <n v="109"/>
    <x v="0"/>
    <x v="48"/>
    <s v="SPAGHETTI S/GLUTEN MOL.DEL MUNDO 400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49"/>
    <s v="SALSA TAMARINDO X 4 ONZ A.CHIANG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50"/>
    <s v="DIP HUMMUS 240GR VALLE FERT, TRADICIONA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0.001"/>
    <m/>
    <x v="0"/>
    <x v="0"/>
    <n v="110"/>
    <x v="0"/>
    <x v="51"/>
    <s v="GELATINA UNIVERSAL 38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1.001"/>
    <m/>
    <x v="0"/>
    <x v="0"/>
    <n v="111"/>
    <x v="0"/>
    <x v="52"/>
    <s v="FLAN  CHOCOLATE 150 GRS. UNIVERSAL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112.001"/>
    <m/>
    <x v="0"/>
    <x v="0"/>
    <n v="112"/>
    <x v="0"/>
    <x v="31"/>
    <s v="PUDIN VAINILLA UNIVERSAL SOBRE X 100GR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2.002"/>
    <m/>
    <x v="0"/>
    <x v="0"/>
    <n v="112"/>
    <x v="2"/>
    <x v="18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3.001"/>
    <m/>
    <x v="0"/>
    <x v="0"/>
    <n v="113"/>
    <x v="0"/>
    <x v="53"/>
    <s v="MANTEQUILLA DE MANI X230GR SANTA MAN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54"/>
    <s v="CALDO DE POLLO 12 CUBOS X 10GR CALNORT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55"/>
    <s v="MEJILLONES EN ESCABECHE X115GR VIGILANTE"/>
    <n v="6"/>
    <s v="DI"/>
    <s v="C50C"/>
    <s v="CJ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56"/>
    <s v="VODKA MONTBLANC ORIGINAL LATA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13.003"/>
    <m/>
    <x v="0"/>
    <x v="0"/>
    <n v="113"/>
    <x v="1"/>
    <x v="57"/>
    <s v="MAZAMORRA PIÑA 150GR UNIVERSAL"/>
    <n v="20"/>
    <s v="DI"/>
    <s v="C24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14.001"/>
    <m/>
    <x v="0"/>
    <x v="0"/>
    <n v="114"/>
    <x v="0"/>
    <x v="54"/>
    <s v="CALDO DE POLLO 12 CUBOS X 1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2"/>
    <m/>
    <x v="0"/>
    <x v="0"/>
    <n v="114"/>
    <x v="2"/>
    <x v="58"/>
    <s v="VINO CANALLAS  750ML"/>
    <n v="6"/>
    <s v="DI"/>
    <s v="C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59"/>
    <s v="HARINA DE MAC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60"/>
    <s v="SALSA DE AJOS MAXIMA X 1KG"/>
    <n v="15"/>
    <s v="DI"/>
    <s v="C15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15.002"/>
    <m/>
    <x v="0"/>
    <x v="0"/>
    <n v="115"/>
    <x v="2"/>
    <x v="61"/>
    <s v="FETTUCCINE AL HUEVO X250GR AGNESI"/>
    <n v="6"/>
    <s v="DI"/>
    <s v="P12B"/>
    <s v="BOL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6.002"/>
    <m/>
    <x v="0"/>
    <x v="0"/>
    <n v="116"/>
    <x v="2"/>
    <x v="62"/>
    <s v="VINO MALLEOLUS BOT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17.001"/>
    <m/>
    <x v="0"/>
    <x v="0"/>
    <n v="117"/>
    <x v="0"/>
    <x v="63"/>
    <s v="CHAMPIÑONES X310GR VALLE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7.002"/>
    <m/>
    <x v="0"/>
    <x v="0"/>
    <n v="117"/>
    <x v="2"/>
    <x v="64"/>
    <s v="PIMIENTO MORRON VALLE FERTIL X 360 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9.001"/>
    <m/>
    <x v="0"/>
    <x v="0"/>
    <n v="119"/>
    <x v="0"/>
    <x v="65"/>
    <s v="CALDO DE CARNE 12 CUBOS X 10GR CALNORT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19.002"/>
    <m/>
    <x v="0"/>
    <x v="0"/>
    <n v="119"/>
    <x v="2"/>
    <x v="66"/>
    <s v="MEZCLA PARA BROWNIES 313G KATZEL"/>
    <n v="5"/>
    <s v="DI"/>
    <s v="C15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20.002"/>
    <m/>
    <x v="0"/>
    <x v="0"/>
    <n v="120"/>
    <x v="2"/>
    <x v="67"/>
    <s v="BICARBONATO DE SODIO X 100 G UNIVERSAL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21.002"/>
    <m/>
    <x v="0"/>
    <x v="0"/>
    <n v="121"/>
    <x v="2"/>
    <x v="12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2.001"/>
    <m/>
    <x v="0"/>
    <x v="0"/>
    <n v="122"/>
    <x v="0"/>
    <x v="68"/>
    <s v="SPAGHETTI DE QUINOA REAL L GLU 250 DORAD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2.002"/>
    <m/>
    <x v="0"/>
    <x v="0"/>
    <n v="122"/>
    <x v="2"/>
    <x v="69"/>
    <s v="TURRON DURO LA VIUDA 150 GR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3.001"/>
    <m/>
    <x v="0"/>
    <x v="0"/>
    <n v="123"/>
    <x v="0"/>
    <x v="11"/>
    <s v="PUDIN CHOCOLAT AZUCARAD X100GR UNIVERSAL"/>
    <n v="96"/>
    <s v="DI"/>
    <s v="P24U"/>
    <s v="UND"/>
    <x v="0"/>
    <n v="96"/>
    <n v="96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47"/>
    <s v="FRIJOL CARITA GOYA 439G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70"/>
    <s v="SPAGHETTINI #2 X 500 GR AGNESI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4.002"/>
    <m/>
    <x v="0"/>
    <x v="0"/>
    <n v="124"/>
    <x v="2"/>
    <x v="71"/>
    <s v="CALDO DE PESCADO 12 CUBOS X 10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72"/>
    <s v="PUDIN DIET X 19GRS UNIVERSAL, VAINILLA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73"/>
    <s v="FRIJOL DE SOYA X 10GR.(TAU SI) A.CHIANG"/>
    <n v="9"/>
    <s v="DI"/>
    <s v="P12B"/>
    <s v="BOL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74"/>
    <s v="SALSA POMODORO ARRABBIATA X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25.002"/>
    <m/>
    <x v="0"/>
    <x v="0"/>
    <n v="125"/>
    <x v="2"/>
    <x v="4"/>
    <s v="CHUÑO X 180GR UNIVERSA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6.001"/>
    <m/>
    <x v="0"/>
    <x v="0"/>
    <n v="126"/>
    <x v="0"/>
    <x v="75"/>
    <s v="SALSA BECHAMEL X 5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76"/>
    <s v="CREMA DE ESPARRAG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46"/>
    <s v="POLVO HORNEAR S GLUTEN X 100G UNIVERSAL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7.001"/>
    <m/>
    <x v="0"/>
    <x v="0"/>
    <n v="127"/>
    <x v="0"/>
    <x v="77"/>
    <s v="LEVADURA INSTANTANEA MAURIPAN 125 GR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27.002"/>
    <m/>
    <x v="0"/>
    <x v="0"/>
    <n v="127"/>
    <x v="2"/>
    <x v="78"/>
    <s v="MEZCL HELADO C/STEV S/GLU VAINILLA  X50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7.003"/>
    <m/>
    <x v="0"/>
    <x v="0"/>
    <n v="127"/>
    <x v="1"/>
    <x v="60"/>
    <s v="SALSA DE AJOS MAXIMA X 1KG"/>
    <n v="15"/>
    <s v="DI"/>
    <s v="C15U"/>
    <s v="UND"/>
    <x v="0"/>
    <n v="15"/>
    <n v="15"/>
    <x v="0"/>
    <m/>
    <n v="0"/>
    <s v="CUADRADO"/>
    <s v="CUADRADO"/>
    <x v="0"/>
    <m/>
    <n v="0"/>
    <n v="0"/>
    <x v="0"/>
    <x v="0"/>
    <x v="0"/>
  </r>
  <r>
    <s v="MRC01"/>
    <s v="MR.C01.128.001"/>
    <m/>
    <x v="0"/>
    <x v="0"/>
    <n v="128"/>
    <x v="0"/>
    <x v="79"/>
    <s v="TURRON BLANDO EL ALMENDRO 150GR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8.002"/>
    <m/>
    <x v="0"/>
    <x v="0"/>
    <n v="128"/>
    <x v="2"/>
    <x v="80"/>
    <s v="SOPA DE POLLO CON FIDE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81"/>
    <s v="MEZCLA KATZEL BROWNIE C/LENTEJAS X656G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82"/>
    <s v="PAELLERO X12GR CARMENCITA , VALENCIANA"/>
    <n v="10"/>
    <s v="DI"/>
    <s v="C15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29.001"/>
    <m/>
    <x v="0"/>
    <x v="0"/>
    <n v="129"/>
    <x v="0"/>
    <x v="83"/>
    <s v="GELATINA UNIVERSAL X 5KG , FRESA"/>
    <n v="20"/>
    <s v="DI"/>
    <s v="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29.002"/>
    <m/>
    <x v="0"/>
    <x v="0"/>
    <n v="129"/>
    <x v="2"/>
    <x v="12"/>
    <s v="CUTTLEFISH SNACK X 55GR NONG SHIM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29.003"/>
    <m/>
    <x v="0"/>
    <x v="0"/>
    <n v="129"/>
    <x v="1"/>
    <x v="84"/>
    <s v="STICKS D/QUINUA SAL D/MARAS 80G MAMALAMA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30.001"/>
    <m/>
    <x v="0"/>
    <x v="0"/>
    <n v="130"/>
    <x v="0"/>
    <x v="85"/>
    <s v="SALSA  POMODORO  OLIVE X 400 GR AGNESI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30.001"/>
    <m/>
    <x v="0"/>
    <x v="0"/>
    <n v="130"/>
    <x v="0"/>
    <x v="86"/>
    <s v="GELATINA UNIVERSAL X 5KG , PIÑA"/>
    <n v="4"/>
    <s v="DI"/>
    <s v="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87"/>
    <s v="HARINA DE MAIZ BLANCO PRECOCIDA 1KG PAN"/>
    <n v="2"/>
    <s v="DI"/>
    <s v="C20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86"/>
    <s v="GELATINA UNIVERSAL X 5KG , PIÑA"/>
    <n v="8"/>
    <s v="DI"/>
    <s v="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88"/>
    <s v="COLAPEZ UNIVERSAL X 20 GR"/>
    <n v="34"/>
    <s v="DI"/>
    <s v="C36U"/>
    <s v="UND"/>
    <x v="0"/>
    <n v="34"/>
    <n v="34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89"/>
    <s v="Harina de cañihua x 200 gr Marimi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90"/>
    <s v="PALITOS DE CHOCO PEPERO, CHOCO COOKIE"/>
    <n v="20"/>
    <s v="DI"/>
    <s v="C40U"/>
    <s v="UND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5.001"/>
    <m/>
    <x v="0"/>
    <x v="0"/>
    <n v="135"/>
    <x v="0"/>
    <x v="91"/>
    <s v="ARROZ BASMATI X 500GR SCOTTI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92"/>
    <s v="SILLAU SALSA DE SOYA X 12 OZ A. CHIANG"/>
    <n v="6"/>
    <s v="DI"/>
    <s v="C30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83"/>
    <s v="GELATINA UNIVERSAL X 5KG , FRESA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93"/>
    <s v="FLAN  VAINILLA  150 GRS.UNIVERSAL"/>
    <n v="2"/>
    <s v="DI"/>
    <s v="C2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94"/>
    <s v="ESENCIA SABOR A VAINILLA 100ML UNIVERSAL"/>
    <n v="12"/>
    <s v="DI"/>
    <s v="C48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36.002"/>
    <m/>
    <x v="0"/>
    <x v="0"/>
    <n v="136"/>
    <x v="2"/>
    <x v="95"/>
    <s v="FONDOS DE ALCACHOFA X 410GR VALLE FERTI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96"/>
    <s v="PREMEZCLA KATZEL  KEKE PLATANO SGX466G"/>
    <n v="13"/>
    <s v="DI"/>
    <s v="C15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97"/>
    <s v="GELATINA UNIVERSAL X 5KG , NARANJA"/>
    <n v="3"/>
    <s v="DI"/>
    <s v="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98"/>
    <s v="POTATO 55GR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99"/>
    <s v="POLVO DE  HORNEAR X 25 GR. UNIVERSAL"/>
    <n v="13"/>
    <s v="DI"/>
    <s v="C36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100"/>
    <s v="BARRA QUIN X5UNID MAMALAMA , MAN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101"/>
    <s v="STICKS D/QUINUA QUESO CHEDD 80G MAMALAMA"/>
    <n v="2"/>
    <s v="DI"/>
    <s v="C24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7.001"/>
    <m/>
    <x v="0"/>
    <x v="0"/>
    <n v="137"/>
    <x v="0"/>
    <x v="92"/>
    <s v="SILLAU SALSA DE SOYA X 12 OZ A. CHIANG"/>
    <n v="19"/>
    <s v="DI"/>
    <s v="C30U"/>
    <s v="UND"/>
    <x v="0"/>
    <n v="19"/>
    <n v="19"/>
    <x v="0"/>
    <m/>
    <n v="0"/>
    <s v="CUADRADO"/>
    <s v="CUADRADO"/>
    <x v="0"/>
    <m/>
    <n v="0"/>
    <n v="0"/>
    <x v="0"/>
    <x v="0"/>
    <x v="0"/>
  </r>
  <r>
    <s v="MRC01"/>
    <s v="MR.C01.137.001"/>
    <m/>
    <x v="0"/>
    <x v="0"/>
    <n v="137"/>
    <x v="0"/>
    <x v="97"/>
    <s v="GELATINA UNIVERSAL X 5KG , NARANJA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2"/>
    <s v="SHIN RAMYUN STIR FRY X 131 GR.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3"/>
    <s v="MEZCLA P/ PANQUEQUES&amp;CREPES 210G KATZEL"/>
    <n v="3"/>
    <s v="DI"/>
    <s v="C15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4"/>
    <s v="SALSA POMODORO VERDURA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105"/>
    <s v="CEREAL QUINUA MAMALAMA X240G, CACAO M"/>
    <n v="2"/>
    <s v="DI"/>
    <s v="C10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8.001"/>
    <m/>
    <x v="0"/>
    <x v="0"/>
    <n v="138"/>
    <x v="0"/>
    <x v="106"/>
    <s v="ALFAJOR MAI ALFA PACK X 450GR CASA ALFAJ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107"/>
    <s v="SILLAU # 01 X 160 CC EL KIKKO"/>
    <n v="12"/>
    <s v="DI"/>
    <s v="C96B"/>
    <s v="BOT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108"/>
    <s v="AZUC. PULVERIZADA FLEISCHMANN X 1K"/>
    <n v="6"/>
    <s v="DI"/>
    <s v="C1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8.002"/>
    <m/>
    <x v="0"/>
    <x v="0"/>
    <n v="138"/>
    <x v="2"/>
    <x v="109"/>
    <s v="SILLAU # 04 X 500 CC EL KIKKO"/>
    <n v="20"/>
    <s v="DI"/>
    <s v="C30B"/>
    <s v="BOT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110"/>
    <s v="CHAPAGETTI SPICY X 137GR"/>
    <n v="32"/>
    <s v="DI"/>
    <s v="C40U"/>
    <s v="UND"/>
    <x v="0"/>
    <n v="32"/>
    <n v="32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111"/>
    <s v="SWEET POTATO 55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3.001"/>
    <m/>
    <x v="0"/>
    <x v="0"/>
    <n v="143"/>
    <x v="0"/>
    <x v="112"/>
    <s v="VINO LA LINDA MALBEC 750 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43.001"/>
    <m/>
    <x v="0"/>
    <x v="0"/>
    <n v="143"/>
    <x v="0"/>
    <x v="113"/>
    <s v="SIYAU KIKKO 5 LITROS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114"/>
    <s v="GALLETAS CHOCOCHIP 0%AZUC 185G SANTIVERI"/>
    <n v="56"/>
    <s v="DI"/>
    <s v="C14U"/>
    <s v="UND"/>
    <x v="0"/>
    <n v="56"/>
    <n v="56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23"/>
    <s v="CHAMPAGNE MOET&amp;CHANDON BRUT ROSE 750 ML"/>
    <n v="47"/>
    <s v="DI"/>
    <s v="B"/>
    <s v="BOT"/>
    <x v="0"/>
    <n v="47"/>
    <n v="47"/>
    <x v="0"/>
    <m/>
    <n v="0"/>
    <s v="CUADRADO"/>
    <s v="CUADRADO"/>
    <x v="0"/>
    <m/>
    <n v="0"/>
    <n v="0"/>
    <x v="0"/>
    <x v="0"/>
    <x v="0"/>
  </r>
  <r>
    <s v="MRC01"/>
    <s v="MR.C01.143.003"/>
    <m/>
    <x v="0"/>
    <x v="0"/>
    <n v="143"/>
    <x v="1"/>
    <x v="115"/>
    <s v="BARRA GRAN ANDINX5UN MAMALAMA , AGUAYM"/>
    <n v="5"/>
    <s v="DI"/>
    <s v="C2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44.001"/>
    <m/>
    <x v="0"/>
    <x v="0"/>
    <n v="144"/>
    <x v="0"/>
    <x v="116"/>
    <s v="SALSA SHOYU KIKKO 350 ML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17"/>
    <s v="SALSA TAMARINDO X 12 OZ A. CHIANG"/>
    <n v="16"/>
    <s v="DI"/>
    <s v="C30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07"/>
    <s v="SILLAU # 01 X 160 CC EL KIKKO"/>
    <n v="1"/>
    <s v="DI"/>
    <s v="C96B"/>
    <s v="BOT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18"/>
    <s v="ARVEJITAS VALLE FERTIL X 425 G.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119"/>
    <s v="BROWNIE MIX X 625GRS  KATZ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120"/>
    <s v="PREMEZCLA KATZEL FUDGE BROWNIE SGX360G"/>
    <n v="11"/>
    <s v="DI"/>
    <s v="C15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86"/>
    <s v="GELATINA UNIVERSAL X 5KG , PIÑA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121"/>
    <s v="FARFALLE # 61 X 500 GR AGNES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122"/>
    <s v="SOPA SEAFOOD RAMYUN  X120GR.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123"/>
    <s v="SOPA ANSUNG(CARNE)X 125 GR NONG SHIM"/>
    <n v="5"/>
    <s v="DI"/>
    <s v="P20B"/>
    <s v="BOL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1"/>
    <m/>
    <x v="0"/>
    <x v="0"/>
    <n v="146"/>
    <x v="0"/>
    <x v="117"/>
    <s v="SALSA TAMARINDO X 12 OZ A. CHIANG"/>
    <n v="13"/>
    <s v="DI"/>
    <s v="C30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4"/>
    <s v="VINO SANTA JULIA RESERVA CAB SAUV 750 ML"/>
    <n v="3"/>
    <s v="DI"/>
    <s v="C12B"/>
    <s v="BOT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5"/>
    <s v="ESPARRAGOS BLANCOS X 360 GR VALLE FERTI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6"/>
    <s v="VINO NORTON LOTE NEGRO BOT 750ML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126"/>
    <s v="VINO NORTON LOTE NEGRO BOT 750ML"/>
    <n v="12"/>
    <s v="DI"/>
    <s v="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127"/>
    <s v="VEGGIE SOON RAMYUN X 112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128"/>
    <s v="TORTIGLIONI # 46 X 500 GR AGNESI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48"/>
    <s v="SPAGHETTI S/GLUTEN MOL.DEL MUNDO 400G.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129"/>
    <s v="CEREZAS ROJAS MARRASQUINO 10OZ PENNAT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83"/>
    <s v="GELATINA UNIVERSAL X 5KG , FRESA"/>
    <n v="2"/>
    <s v="DI"/>
    <s v="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16"/>
    <s v="SALSA SHOYU KIKKO 350 ML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0"/>
    <s v="ESPARRAGOS VERDES X 36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1"/>
    <s v="REFIELL PAELLA MARIS KIT CARMENCITA 490G"/>
    <n v="1"/>
    <s v="DI"/>
    <s v="C7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2"/>
    <s v="DIP HUMMUS 240GR VALLE FERTIL, AJO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133"/>
    <s v="SPAGHETTI #3 X 500 GR AGNESI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83"/>
    <s v="GELATINA UNIVERSAL X 5KG , FRESA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4"/>
    <s v="SOPA  NEOGURY(MARISCOS PICANT) X120 NONG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5"/>
    <s v="HARINA DE LUCUMAX 200 GR MARIMIE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6"/>
    <s v="AVENA MIX SUPERFOOD X600G HUELLA VERDE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137"/>
    <s v="BARRA GRAN ANDINX5UN MAMALAMA , CRANB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3.001"/>
    <m/>
    <x v="0"/>
    <x v="0"/>
    <n v="153"/>
    <x v="0"/>
    <x v="138"/>
    <s v="CORAZON DE PALMITO X 280GR VALLE FERTI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1"/>
    <m/>
    <x v="0"/>
    <x v="0"/>
    <n v="153"/>
    <x v="0"/>
    <x v="105"/>
    <s v="CEREAL QUINUA MAMALAMA X240G, CACAO M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91"/>
    <s v="ARROZ BASMATI X 500GR SCOTT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39"/>
    <s v="SALSA POMODORO BASILICO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40"/>
    <s v="SALSA DE PESTO X 185 GR. AGNESI.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41"/>
    <s v="SIYAU KIKKO 1 LITROS"/>
    <n v="36"/>
    <s v="DI"/>
    <s v="C12U"/>
    <s v="UND"/>
    <x v="0"/>
    <n v="36"/>
    <n v="3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142"/>
    <s v="SALSA TERIYAKI ESSENTIAL 295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143"/>
    <s v="SHIN RAMYUN NON-FRIED X 97 GR."/>
    <n v="7"/>
    <s v="DI"/>
    <s v="C3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103"/>
    <s v="MEZCLA P/ PANQUEQUES&amp;CREPES 210G KATZEL"/>
    <n v="6"/>
    <s v="DI"/>
    <s v="C15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4.001"/>
    <m/>
    <x v="0"/>
    <x v="0"/>
    <n v="154"/>
    <x v="0"/>
    <x v="144"/>
    <s v="ELICHE # 56 X 500 GR AGNESI"/>
    <n v="7"/>
    <s v="DI"/>
    <s v="C24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132"/>
    <s v="DIP HUMMUS 240GR VALLE FERTIL, AJO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145"/>
    <s v="SIYAU KIKKO X 6 X 160CC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146"/>
    <s v="SARDINAS EN AC.AL LIMONX120GR  VIGILANTE"/>
    <n v="26"/>
    <s v="DI"/>
    <s v="C50U"/>
    <s v="UND"/>
    <x v="0"/>
    <n v="26"/>
    <n v="2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85"/>
    <s v="SALSA  POMODORO  OLIVE X 400 GR AGNESI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129"/>
    <s v="CEREZAS ROJAS MARRASQUINO 10OZ PENNAT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147"/>
    <s v="AJI CHARAPITA VALLE FERTIL 100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148"/>
    <s v="SHIN RAMYUN SPICY CHICKEN X120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149"/>
    <s v="ELICHE TRICOLOR X500GR. AGNESI"/>
    <n v="12"/>
    <s v="DI"/>
    <s v="C24B"/>
    <s v="BOL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150"/>
    <s v="BARRA GRAN ANDINX5UN MAMALAMA , CHOCO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9.001"/>
    <m/>
    <x v="0"/>
    <x v="0"/>
    <n v="159"/>
    <x v="0"/>
    <x v="151"/>
    <s v="CAFÉ MOLIDO TOSTADO S.MARTIN 200G C&amp;CO"/>
    <n v="10"/>
    <s v="DI"/>
    <s v="C40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152"/>
    <s v="ACEITE SACHA INCHI QHALIKAY 250ML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153"/>
    <s v="PEPINILLO ENCURT AME X680GR V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154"/>
    <s v="ALCAPARRAS X 100 GR VALLEFERTIL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155"/>
    <s v="VINO NORTON COSECHA TARDIA TINTO X 750ML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59.003"/>
    <m/>
    <x v="0"/>
    <x v="0"/>
    <n v="159"/>
    <x v="1"/>
    <x v="156"/>
    <s v="PALITOS DE CHOCO PEPERO , CRUNCH"/>
    <n v="39"/>
    <s v="DI"/>
    <s v="C40U"/>
    <s v="UND"/>
    <x v="0"/>
    <n v="39"/>
    <n v="39"/>
    <x v="0"/>
    <m/>
    <n v="0"/>
    <s v="CUADRADO"/>
    <s v="CUADRADO"/>
    <x v="0"/>
    <m/>
    <n v="0"/>
    <n v="0"/>
    <x v="0"/>
    <x v="0"/>
    <x v="0"/>
  </r>
  <r>
    <s v="MRC01"/>
    <s v="MR.C01.160.001"/>
    <m/>
    <x v="0"/>
    <x v="0"/>
    <n v="160"/>
    <x v="0"/>
    <x v="157"/>
    <s v="TURRON DOÑA PEPA 650GR CASA, TRADICIONAL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58"/>
    <s v="VINO NORTON COSECH TARDIA BLANCO X 750ML"/>
    <n v="36"/>
    <s v="DI"/>
    <s v="U"/>
    <s v="UND"/>
    <x v="0"/>
    <n v="36"/>
    <n v="3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59"/>
    <s v="CHOCLO DULCE DESGRANADO VALLE F X 248 G.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60"/>
    <s v="SALSA POMODORO BOLOGNESE X 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61"/>
    <s v="BARRA QUIN X5UNID MAMALAMA , MANI/CHOC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162"/>
    <s v="MEZCLA PANQUEQUE C/CHOCO S/AZUCAR KATZEL"/>
    <n v="4"/>
    <s v="DI"/>
    <s v="C15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3"/>
    <s v="NEOGURI UDON - MILD X 120 GR."/>
    <n v="1"/>
    <s v="DI"/>
    <s v="C20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4"/>
    <s v="CREMA DE CHAMPIÑONES X 66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5"/>
    <s v="SHRIMP CRACKER  X 75 GR 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6"/>
    <s v="ALFAJOR HAR ALFA PACK X 260GR CASA ALFAJ"/>
    <n v="12"/>
    <s v="DI"/>
    <s v="C48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67"/>
    <s v="Harina de Maca Negr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137"/>
    <s v="BARRA GRAN ANDINX5UN MAMALAMA , CRANB"/>
    <n v="3"/>
    <s v="DI"/>
    <s v="C20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1.001"/>
    <m/>
    <x v="0"/>
    <x v="0"/>
    <n v="161"/>
    <x v="0"/>
    <x v="168"/>
    <s v="SPAGHETTI INTEGRAL AGNESI 500G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1"/>
    <m/>
    <x v="0"/>
    <x v="0"/>
    <n v="161"/>
    <x v="0"/>
    <x v="169"/>
    <s v="MANTEQ MANI CRUNCHY E VERYDAY X454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170"/>
    <s v="POLENTA INSTANTANEA X 500 GR AGNESI"/>
    <n v="12"/>
    <s v="DI"/>
    <s v="P24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94"/>
    <s v="ESENCIA SABOR A VAINILLA 100ML UNIVERSAL"/>
    <n v="9"/>
    <s v="DI"/>
    <s v="C48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155"/>
    <s v="VINO NORTON COSECHA TARDIA TINTO X 750ML"/>
    <n v="18"/>
    <s v="DI"/>
    <s v="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171"/>
    <s v="SALSA HONEY MUSTARD HUELLA VERDE 3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16"/>
    <s v="SALSA SHOYU KIKKO 350 ML"/>
    <n v="72"/>
    <s v="DI"/>
    <s v="C24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23"/>
    <s v="SOPA ANSUNG(CARNE)X 125 GR NONG SHIM"/>
    <n v="10"/>
    <s v="DI"/>
    <s v="P20B"/>
    <s v="BOL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72"/>
    <s v="PALITOS DE CHOCO PEPERO, ORIGINAL"/>
    <n v="18"/>
    <s v="DI"/>
    <s v="C40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73"/>
    <s v="ARROZ CAÑIHUA Y CHIA X500G HUELLA VERDE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174"/>
    <s v="CEREAL QUINUA MAMALAMA X240G , CANELA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62.001"/>
    <m/>
    <x v="0"/>
    <x v="0"/>
    <n v="162"/>
    <x v="0"/>
    <x v="175"/>
    <s v="MANJAR ESPECIAL LEITE X 180GR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7.001"/>
    <m/>
    <x v="0"/>
    <x v="0"/>
    <n v="167"/>
    <x v="0"/>
    <x v="176"/>
    <s v="ACEITE DE MAIZ ORIGINAL X40Z MAZOL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2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177"/>
    <s v="MARRASQUINOS PENNAT X 28 ONZ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78"/>
    <s v="VINO CICCHITTI BLEND MALBEC CAB X 75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58"/>
    <s v="VINO NORTON COSECH TARDIA BLANCO X 750ML"/>
    <n v="14"/>
    <s v="DI"/>
    <s v="U"/>
    <s v="UND"/>
    <x v="0"/>
    <n v="14"/>
    <n v="14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79"/>
    <s v="CHAPAGUET.FIDEOS E/SALSA D/SOYA X140 N.S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8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55"/>
    <s v="VINO NORTON COSECHA TARDIA TINTO X 750ML"/>
    <n v="3"/>
    <s v="DI"/>
    <s v="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136"/>
    <s v="AVENA MIX SUPERFOOD X600G HUELLA VERDE"/>
    <n v="1"/>
    <s v="DI"/>
    <s v="C1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180"/>
    <s v="PALITOS DE CHOCO PEPERO, ALMOND"/>
    <n v="22"/>
    <s v="DI"/>
    <s v="C40U"/>
    <s v="UND"/>
    <x v="0"/>
    <n v="22"/>
    <n v="22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181"/>
    <s v="HARINA DE ALMENDRAS MARIMIELX200G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182"/>
    <s v="CEREAL QUINUA MAMALAMA X240G, CHOCO Q"/>
    <n v="5"/>
    <s v="DI"/>
    <s v="C1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3"/>
    <s v="VINO VENTISQUERO QUEULAT G.RSV CSA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4"/>
    <s v="CERVEZA ESTRELLA DAMM PACK 6 BOT 330 ML"/>
    <n v="4"/>
    <s v="DI"/>
    <s v="C4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5"/>
    <s v="VINO LA LINDA CHARDONAY 750 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186"/>
    <s v="VINO MONTGRAS DE VINE RSVA MERLOT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7"/>
    <s v="CAVA JUVE&amp;CAMPS RSV FAM BRUT NAT 75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7"/>
    <s v="CAVA JUVE&amp;CAMPS RSV FAM BRUT NAT 750ML"/>
    <n v="12"/>
    <s v="DI"/>
    <s v="C6B"/>
    <s v="BOT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7"/>
    <s v="CAVA JUVE&amp;CAMPS RSV FAM BRUT NAT 750ML"/>
    <n v="37"/>
    <s v="DI"/>
    <s v="C6B"/>
    <s v="BOT"/>
    <x v="0"/>
    <n v="37"/>
    <n v="37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8"/>
    <s v="VINO MALA JUNTA RESERVA 750ML , CFR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189"/>
    <s v="BRANDY MONTENEGRO VECCHIA ROMAGNA  70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190"/>
    <s v="PISCO OCUCAJE PURO ITA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124"/>
    <s v="VINO SANTA JULIA RESERVA CAB SAUV 750 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191"/>
    <s v="CHIVAS 12 700ML + CHIVAS 12 70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2"/>
    <s v="#VINO NORTON MALBEC D.O.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58"/>
    <s v="VINO NORTON COSECH TARDIA BLANC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3"/>
    <s v="ESPUMOSO ZONIN ASTI 75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4"/>
    <s v="PISCO NASCA BOT 750ML, ACHOLADO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5"/>
    <s v="VINO SOTTANO BARRELS SELECTIONS MALBEC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55"/>
    <s v="VINO NORTON COSECHA TARDIA TINT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96"/>
    <s v="RON COLONIAL BOT 70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7"/>
    <s v="CERVEZA SA FREE DAMM TOST 6BT250ML"/>
    <n v="1"/>
    <s v="DI"/>
    <s v="C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7"/>
    <s v="CERVEZA SA FREE DAMM TOST 6BT2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8"/>
    <s v="VINO LUIGI BOSCA RSVA  SAUV BLANC 750ML"/>
    <n v="2"/>
    <s v="DI"/>
    <s v="C12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99"/>
    <s v="VINO ZUCCARDI &quot;Q&quot; CABERNET SAUV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0"/>
    <s v="AMARGO MR JIGGER X 75 ML"/>
    <n v="12"/>
    <s v="DI"/>
    <s v="C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1"/>
    <s v="VINO E.GASCON MALBEC/CAB SAUV BOT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2"/>
    <s v="GIN NORDES 70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203"/>
    <s v="VINO BICICLETA RSV SAUVIGNON BLANC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4"/>
    <s v="VINO SANTA JULI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5"/>
    <s v="PISCO OCUCAJE ACHOLADO X 4 L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6"/>
    <s v="SAMBUCA BUISE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207"/>
    <s v="PISCO OCUCAJE HUACO NEGRO QUEBR BT 75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08"/>
    <s v="#COCTEL DE LECHE CREAM LOVE X 750ML+CAJA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09"/>
    <s v="VINO MATETIC CORRALILLO SAUVIGNON BLANC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10"/>
    <s v="GIN THE BOTANIST 70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00"/>
    <s v="AMARGO MR JIGGER X 75 ML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11"/>
    <s v="VINO EUGENIO BUSTOS CHARDONNAY 750ML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212"/>
    <s v="VINO 7 COLORES VARIETAL 750ML , CAR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3"/>
    <s v="VINO 19 CRIMES CALI CAB 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4"/>
    <s v="PISCO OCUCAJE PURO ACHO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5"/>
    <s v="PISCO OCUCAJE PURO QUEBRANTA X70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6"/>
    <s v="PISCO NASCA BOT 750ML, MOSCATE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217"/>
    <s v="VODKA MONT BLANC ORIGINAL BOT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18"/>
    <s v="VINO FUZION SYRAH-MALBEC 750 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19"/>
    <s v="MAUR.LORCA OPALO MALBEC X 750 ML.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20"/>
    <s v="PACK 4 CREMAS BURGOS 2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221"/>
    <s v="VODKA MONT BLANC ORIG BT 750+ESTUCH+SHOT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2"/>
    <s v="PISCO OCUCAJE PURO QUEB 70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3"/>
    <s v="VINO ESCORIHUELA GASCON CAB.SAUV.X750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4"/>
    <s v="VINO LUIGI BOSCA DOC MALBEC 750 ML"/>
    <n v="10"/>
    <s v="DI"/>
    <s v="C12B"/>
    <s v="BOT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225"/>
    <s v="VINO ROSE SEMISECO X 750 OCUCAJE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6"/>
    <s v="MAUR.LORCA FANTASIA MALBEC X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7"/>
    <s v="GIN GREENALLS WILD BERRY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8"/>
    <s v="VINO FINCA RESALSO BOT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29"/>
    <s v="VERMOUTH ROSSO TOSTI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30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230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1"/>
    <s v="PISCO OCUCAJE MV ACHOLADO BT 700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2"/>
    <s v="VINO NORTON RESERVA MALBEC X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3"/>
    <s v="VINO OVEJA NEGRA RSV BOT 750, SAUV SY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234"/>
    <s v="VINO 19 CRIMES 750ML, CALI RED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5"/>
    <s v="VINO TINTO CICCHITTI  MALBE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6"/>
    <s v="VINO LA FLOR MALBEC X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7"/>
    <s v="GIN CITADELLE 750 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238"/>
    <s v="VINO CICCHITTI CHARDONNAY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239"/>
    <s v="VINO LA CELIA RESERVA 750ML, CAB. FRANC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240"/>
    <s v="VINO OVEJA NEGRA RSVA BOT 750, CH VIO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241"/>
    <s v="MAUR.LORCA OPALO CABERN SAUVIG X 750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242"/>
    <s v="VINO CONO SUR RSVA CABERNET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243"/>
    <s v="VINO VIÑA VILANO TEMP TERRA INCOG 75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244"/>
    <s v="PISCO OCUCAJE ITALIA 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245"/>
    <s v="VINO MALA JUNTA RESERVA 750ML , BLEND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215"/>
    <s v="PISCO OCUCAJE PURO QUEBRANTA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246"/>
    <s v="VINO ZUCCARDI &quot;Q&quot; CHARDONNAY 750 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247"/>
    <s v="VINO VENTISQUERO RSV CAB.SAUV 750M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248"/>
    <s v="VINO E.GASCON PEQ PROD CAB.FRANC 7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7.001"/>
    <m/>
    <x v="0"/>
    <x v="0"/>
    <n v="207"/>
    <x v="0"/>
    <x v="198"/>
    <s v="VINO LUIGI BOSCA RSVA  SAUV BLANC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49"/>
    <s v="LICOR EXPRESSO MARTINI BOLA 8 BOT 500ML"/>
    <n v="7"/>
    <s v="DI"/>
    <s v="C1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50"/>
    <s v="VINO CICCHITTI GRAN RSV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51"/>
    <s v="LUXARDO TRIPLE SEC ORANGE BOT 750 ML"/>
    <n v="5"/>
    <s v="DI"/>
    <s v="C12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252"/>
    <s v="LICOR LUXARDO LIMONCELLO LIQUEUR BT750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7.003"/>
    <m/>
    <x v="0"/>
    <x v="0"/>
    <n v="207"/>
    <x v="1"/>
    <x v="253"/>
    <s v="VERMOUTH PERLINO BOT 1 L , BLANCO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254"/>
    <s v="VINO CONO SUR RSVA PINOT NOIR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255"/>
    <s v="VINO LA ESCONDIDA RESERVA 750ML , CS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256"/>
    <s v="LASAGNE # 87 X 500 GR AGNESI"/>
    <n v="12"/>
    <s v="DI"/>
    <s v="C12C"/>
    <s v="CJ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257"/>
    <s v="VINO CARLOS SERRES CRIANZA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15.001"/>
    <m/>
    <x v="0"/>
    <x v="0"/>
    <n v="215"/>
    <x v="0"/>
    <x v="258"/>
    <s v="VINO EUGENIO BUSTOS 750ML, CAB. SAUVI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259"/>
    <s v="VINO SOTTANO JUDAS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260"/>
    <s v="VINO SPIER SIGNATURE PINOTAGE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15.003"/>
    <m/>
    <x v="0"/>
    <x v="0"/>
    <n v="215"/>
    <x v="1"/>
    <x v="261"/>
    <s v="VINO FUZION CHENIN BLANC-CHARDON. X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7.002"/>
    <m/>
    <x v="0"/>
    <x v="0"/>
    <n v="217"/>
    <x v="2"/>
    <x v="262"/>
    <s v="ESPUMANTE TOSTI PROSECCO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263"/>
    <s v="CERVEZA DUFF LATA 4P 33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264"/>
    <s v="CHAMPAGNE LOUIS ROEDERER BRUT PREMIER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31.001"/>
    <m/>
    <x v="0"/>
    <x v="0"/>
    <n v="231"/>
    <x v="0"/>
    <x v="265"/>
    <s v="GOMAS LIFE SAVERS FRUTOS ROJOS  91.3G"/>
    <n v="24"/>
    <s v="CC"/>
    <s v="C12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6"/>
    <s v="VINO MONTES ALPHA CABERNET SAUV X 750ML"/>
    <n v="1"/>
    <s v="CC"/>
    <s v="C12B"/>
    <s v="BOT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7"/>
    <s v="BITTER AMARGO CORTESANO X 75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"/>
    <s v="VINO ESCORIHUELA GASCON MALBEC X 750 ML"/>
    <n v="2"/>
    <s v="CC"/>
    <s v="C6B"/>
    <s v="BOT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8"/>
    <s v="GALLETAS DE AVENA X 100 GR.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9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69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0"/>
    <s v="SCHICK INTUITION LEMON BERRY MAQ X1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1"/>
    <s v="BEBIDA ALMENDRA NATURES HEART 946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230"/>
    <s v="CC"/>
    <s v="C40U"/>
    <s v="UND"/>
    <x v="0"/>
    <n v="230"/>
    <n v="23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2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3"/>
    <s v="MAQ SCHICK INTUITION PIEL SUAVE COC&amp;AL"/>
    <n v="6"/>
    <s v="CC"/>
    <s v="C12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4"/>
    <s v="SCOTCH BRITE ESPONJA CELUL CERO RAYx3"/>
    <n v="8"/>
    <s v="CC"/>
    <s v="C8U"/>
    <s v="UND"/>
    <x v="0"/>
    <n v="8"/>
    <n v="8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5"/>
    <s v="DESODORANTE DEO PIES CLINICAL X260ML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6"/>
    <s v="VINO CHIVITE VILLATUERTA CHARDONNAY750ML"/>
    <n v="2"/>
    <s v="CC"/>
    <s v="UND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11"/>
    <s v="VINO EUGENIO BUSTOS CHARDONNAY 750ML"/>
    <n v="1"/>
    <s v="CC"/>
    <s v="C12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7"/>
    <s v="LIMPIADOR MULTI ECO HOUSE CITRICO 4000ML"/>
    <n v="4"/>
    <s v="CC"/>
    <s v="C4U"/>
    <s v="UND"/>
    <x v="0"/>
    <n v="4"/>
    <n v="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6"/>
    <s v="GELATINA UNIVERSAL X 5KG , PIÑA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8"/>
    <s v="FOUR LOKO 473ML , SANDIA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79"/>
    <s v="FOUR LOKO 473ML , BLUE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0"/>
    <s v="QUITAMANCHA LA OCA CUE/PUÑO RPTO 750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1"/>
    <s v="VINO MALA JUNTA 750ML , CAB.FRANC"/>
    <n v="2"/>
    <s v="CC"/>
    <s v="C6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2"/>
    <s v="SANGRIA VIÑA VIEJA 750ML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3"/>
    <s v="PACK 2 VINOS TABERNERO ROSE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4"/>
    <s v="PACK 2 VINOS TABERNERO G.TINTO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44"/>
    <s v="CC"/>
    <s v="C40U"/>
    <s v="UND"/>
    <x v="0"/>
    <n v="44"/>
    <n v="4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62"/>
    <s v="CC"/>
    <s v="C40U"/>
    <s v="UND"/>
    <x v="0"/>
    <n v="262"/>
    <n v="26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4"/>
    <s v="CC"/>
    <s v="C40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0"/>
    <s v="CC"/>
    <s v="C40U"/>
    <s v="UND"/>
    <x v="0"/>
    <n v="20"/>
    <n v="2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285"/>
    <s v="SCHICK XTREME HOMBRE PAGUE 6 LLEVE 8"/>
    <n v="2"/>
    <s v="CC"/>
    <s v="C12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2"/>
    <m/>
    <x v="0"/>
    <x v="0"/>
    <n v="231"/>
    <x v="2"/>
    <x v="286"/>
    <s v="CERVEZA HEINEKEN PK 12 LT 31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7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7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8"/>
    <s v="TE NEGRO EARL GREY BIGELOW X 8 SOB"/>
    <n v="2"/>
    <s v="IN"/>
    <s v="C12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89"/>
    <s v="BEPANTHEN BEBE 100G"/>
    <n v="1"/>
    <s v="MD"/>
    <s v="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0"/>
    <s v="PEDIASURE VAINILLA X 1.6 KG"/>
    <n v="1"/>
    <s v="MD"/>
    <s v="C6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1"/>
    <s v="TINTE EXCELLENCE P, RUBIO CENICIENTO 7.1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92"/>
    <s v="MOLIDOS PIKI DOY PACK X120 G, AJOS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91"/>
    <s v="ARROZ BASMATI X 500GR SCOTTI"/>
    <n v="2"/>
    <s v="MD"/>
    <s v="C12U"/>
    <s v="UND"/>
    <x v="0"/>
    <n v="2"/>
    <n v="2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3"/>
    <s v="VINO MATEUS ROSE X 7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4"/>
    <s v="AC.EXT VIRGEN AJONJOLI FCOX250ML Q'INTI"/>
    <n v="6"/>
    <s v="MD"/>
    <s v="P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5"/>
    <s v="MIEL DULCE NATURA SILVESTRE X 60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4"/>
    <s v="CHUÑO X 180GR UNIVERSAL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96"/>
    <s v="ACEITE DE AJONJOLI X 60CC ALIDA CHIANG"/>
    <n v="11"/>
    <s v="IN"/>
    <s v="C12U"/>
    <s v="UND"/>
    <x v="0"/>
    <n v="11"/>
    <n v="1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97"/>
    <s v="SPAGHETTI AL HUEVO X 500 GRS LA MONTANAR"/>
    <n v="6"/>
    <s v="MD"/>
    <s v="C6B"/>
    <s v="BOL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8"/>
    <s v="QUITAMANCHAS VANISH 3.785L, ROSA"/>
    <n v="1"/>
    <s v="MD"/>
    <s v="C4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99"/>
    <s v="BOMBONES DE LA VIUDA 150GR, NEGRO"/>
    <n v="3"/>
    <s v="IN"/>
    <s v="C12U"/>
    <s v="UND"/>
    <x v="0"/>
    <n v="3"/>
    <n v="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0"/>
    <s v="SANGRIA QUEIROLO TETRA PACK  1LT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1"/>
    <s v="VINO M.DE RISCAL ARIENZO CRIANZA 75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2"/>
    <s v="JABON LIQUIDO BALLERINA 350ML CREMA HUME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3"/>
    <s v="CANELA CHINA X 5GRS.A.CHIANG"/>
    <n v="12"/>
    <s v="IN"/>
    <s v="C12B"/>
    <s v="BOL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4"/>
    <s v="MIEL DE ABEJA X 300GR REYNA DE OXAPAMPA"/>
    <n v="4"/>
    <s v="IN"/>
    <s v="C12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5"/>
    <s v="ETERNA GUANTE FLEX, TALLA 9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6"/>
    <s v="CHIA ORGANICA VIDA&amp;CHIA 25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7"/>
    <s v="AEROSOL FRESCURA TROPICAL WONG RPT 2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08"/>
    <s v="ARITOS NUCLEAR X 110GR CEREAL"/>
    <n v="1"/>
    <s v="IN"/>
    <s v="C25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09"/>
    <s v="TRATAMIENTO CAP NUTRIBELA POT, NUTRICION"/>
    <n v="1"/>
    <s v="MD"/>
    <s v="C12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10"/>
    <s v="DETERGENTE CARICIA 2.1 KG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11"/>
    <s v="VITA PLUSS TRIGO X 140GR. SAURI"/>
    <n v="1"/>
    <s v="IN"/>
    <s v="C12B"/>
    <s v="BOL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70"/>
    <s v="SPAGHETTINI #2 X 500 GR AGNESI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2"/>
    <s v="QUINUA TRICOLOR ORG VIDA&amp;QUINUAX454GR"/>
    <n v="1"/>
    <s v="IN"/>
    <s v="C1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97"/>
    <s v="GELATINA UNIVERSAL X 5KG , NARANJA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152"/>
    <s v="ACEITE SACHA INCHI QHALIKAY 250ML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13"/>
    <s v="SIYAU KIKKO 5 LITROS"/>
    <n v="2"/>
    <s v="IN"/>
    <s v="C4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3"/>
    <s v="PAÑO HOME CARE SUPER ABSORBENTE X12"/>
    <n v="2"/>
    <s v="IN"/>
    <s v="C18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4"/>
    <s v="BEBIDA FRU+ 400ML , MANGO MARACUYA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84"/>
    <s v="STICKS D/QUINUA SAL D/MARAS 80G MAMALAMA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5"/>
    <s v="TINTE IGORA VITAL 7-1 RUB MED CEN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6"/>
    <s v="SPAGHETTI INTEGRAL X500GR MISURA"/>
    <n v="11"/>
    <s v="MD"/>
    <s v="C12U"/>
    <s v="UND"/>
    <x v="0"/>
    <n v="11"/>
    <n v="1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17"/>
    <s v="CAMOTES FRITOS TIYAPUY 142 G"/>
    <n v="13"/>
    <s v="IN"/>
    <s v="C20U"/>
    <s v="UND"/>
    <x v="0"/>
    <n v="13"/>
    <n v="1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8"/>
    <s v="TINTE SOFT COLOR KIT 80 RUBCLA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19"/>
    <s v="GINGER BEER SAN PELLEGRINO 4 UN X 200ML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20"/>
    <s v="BEBIDA ALMENDRA NATURES HEART 2X 946ML"/>
    <n v="6"/>
    <s v="MD"/>
    <s v="C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21"/>
    <s v="VINO COTE DES ROSES CHARDONNAY 750ML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22"/>
    <s v="SALSA AJÍ AMARIL C/QUESO CASA VERDE 190G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23"/>
    <s v="LENTEJA MÁXIMA X 1 KG"/>
    <n v="6"/>
    <s v="IN"/>
    <s v="P6U"/>
    <s v="UND"/>
    <x v="0"/>
    <n v="6"/>
    <n v="6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324"/>
    <s v="CREMA CHANTILLY X 380GR FLEISCHMANN"/>
    <n v="1"/>
    <s v="MD"/>
    <s v="C3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325"/>
    <s v="PAPAS PARTNERS CHIPS 140G, CON SAL"/>
    <n v="4"/>
    <s v="IN"/>
    <s v="C10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3"/>
    <m/>
    <x v="0"/>
    <x v="0"/>
    <n v="231"/>
    <x v="1"/>
    <x v="326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326"/>
    <s v="MANDIL PARRILLERO JOHNNIE WALKER"/>
    <n v="82"/>
    <s v="DI"/>
    <s v="C20U"/>
    <s v="UND"/>
    <x v="0"/>
    <n v="82"/>
    <n v="82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326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327"/>
    <s v="TAPENADE MIX ACEITUNAS ODS 260G"/>
    <n v="3901"/>
    <s v="DI"/>
    <s v="C12U"/>
    <s v="UND"/>
    <x v="0"/>
    <n v="3901"/>
    <n v="3901"/>
    <x v="0"/>
    <m/>
    <n v="0"/>
    <s v="CUADRADO"/>
    <s v="CUADRADO"/>
    <x v="0"/>
    <m/>
    <n v="0"/>
    <n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 dinámica1" cacheId="69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compact="0" compactData="0" multipleFieldFilters="0">
  <location ref="AD1:AF3" firstHeaderRow="1" firstDataRow="1" firstDataCol="3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27"/>
        <item m="1" x="29"/>
        <item m="1" x="30"/>
        <item m="1" x="16"/>
        <item m="1" x="5"/>
        <item m="1" x="18"/>
        <item m="1" x="31"/>
        <item m="1" x="22"/>
        <item m="1" x="25"/>
        <item m="1" x="28"/>
        <item m="1" x="1"/>
        <item m="1" x="3"/>
        <item m="1" x="4"/>
        <item m="1" x="7"/>
        <item m="1" x="8"/>
        <item m="1" x="9"/>
        <item m="1" x="10"/>
        <item m="1" x="12"/>
        <item m="1" x="14"/>
        <item m="1" x="2"/>
        <item m="1" x="6"/>
        <item m="1" x="11"/>
        <item m="1" x="19"/>
        <item m="1" x="15"/>
        <item m="1" x="17"/>
        <item m="1" x="20"/>
        <item m="1" x="21"/>
        <item m="1" x="23"/>
        <item m="1" x="24"/>
        <item m="1" x="26"/>
        <item m="1" x="3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">
        <item x="0"/>
        <item h="1" x="2"/>
        <item h="1" x="1"/>
        <item h="1" m="1" x="8"/>
        <item h="1" m="1" x="3"/>
        <item h="1" m="1" x="4"/>
        <item h="1" m="1" x="5"/>
        <item h="1" m="1" x="6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"/>
    <field x="21"/>
    <field x="6"/>
  </rowFields>
  <rowItems count="2">
    <i>
      <x v="32"/>
      <x v="2"/>
      <x/>
    </i>
    <i r="1">
      <x v="3"/>
      <x/>
    </i>
  </rowItems>
  <colItems count="1">
    <i/>
  </colItems>
  <formats count="49">
    <format dxfId="427">
      <pivotArea type="all" dataOnly="0" outline="0" fieldPosition="0"/>
    </format>
    <format dxfId="426">
      <pivotArea dataOnly="0" labelOnly="1" outline="0" fieldPosition="0">
        <references count="1">
          <reference field="4" count="0"/>
        </references>
      </pivotArea>
    </format>
    <format dxfId="425">
      <pivotArea dataOnly="0" labelOnly="1" grandRow="1" outline="0" fieldPosition="0"/>
    </format>
    <format dxfId="424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23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22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21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2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1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1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41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416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415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414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413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412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411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410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409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408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407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406">
      <pivotArea type="all" dataOnly="0" outline="0" fieldPosition="0"/>
    </format>
    <format dxfId="405">
      <pivotArea dataOnly="0" labelOnly="1" outline="0" fieldPosition="0">
        <references count="1">
          <reference field="4" count="0"/>
        </references>
      </pivotArea>
    </format>
    <format dxfId="404">
      <pivotArea dataOnly="0" labelOnly="1" grandRow="1" outline="0" fieldPosition="0"/>
    </format>
    <format dxfId="403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02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01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0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39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39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39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396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395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394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393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392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391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390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389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388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387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386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385">
      <pivotArea dataOnly="0" labelOnly="1" outline="0" fieldPosition="0">
        <references count="1">
          <reference field="4" count="1">
            <x v="0"/>
          </reference>
        </references>
      </pivotArea>
    </format>
    <format dxfId="384">
      <pivotArea dataOnly="0" labelOnly="1" outline="0" fieldPosition="0">
        <references count="2">
          <reference field="4" count="1" selected="0">
            <x v="0"/>
          </reference>
          <reference field="6" count="3">
            <x v="2"/>
            <x v="3"/>
            <x v="4"/>
          </reference>
        </references>
      </pivotArea>
    </format>
    <format dxfId="383">
      <pivotArea dataOnly="0" labelOnly="1" outline="0" fieldPosition="0">
        <references count="2">
          <reference field="4" count="1" selected="0">
            <x v="0"/>
          </reference>
          <reference field="6" count="1">
            <x v="5"/>
          </reference>
        </references>
      </pivotArea>
    </format>
    <format dxfId="382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381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38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37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2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A4:F7" firstHeaderRow="0" firstDataRow="1" firstDataCol="1"/>
  <pivotFields count="2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Categoria" axis="axisRow" compact="0" outline="0" showAll="0" defaultSubtotal="0">
      <items count="8">
        <item m="1" x="2"/>
        <item x="0"/>
        <item x="1"/>
        <item m="1" x="3"/>
        <item m="1" x="4"/>
        <item m="1" x="5"/>
        <item m="1" x="7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67" outline="0" showAll="0" defaultSubtotal="0"/>
    <pivotField dataField="1" compact="0" numFmtId="167" outline="0" showAll="0" defaultSubtotal="0"/>
    <pivotField compact="0" outline="0" showAll="0" defaultSubtotal="0">
      <items count="13">
        <item x="0"/>
        <item x="1"/>
        <item m="1" x="7"/>
        <item m="1" x="11"/>
        <item m="1" x="8"/>
        <item m="1" x="9"/>
        <item m="1" x="12"/>
        <item m="1" x="10"/>
        <item m="1" x="6"/>
        <item m="1" x="4"/>
        <item x="3"/>
        <item m="1" x="5"/>
        <item x="2"/>
      </items>
    </pivotField>
    <pivotField compact="0" outline="0" showAll="0" defaultSubtotal="0"/>
    <pivotField compact="0" numFmtId="14" outline="0" showAll="0" defaultSubtotal="0"/>
    <pivotField dataField="1" compact="0" outline="0" dragToRow="0" dragToCol="0" dragToPage="0" showAll="0" defaultSubtotal="0"/>
  </pivotFields>
  <rowFields count="1">
    <field x="13"/>
  </rowFields>
  <rowItems count="3">
    <i>
      <x v="1"/>
    </i>
    <i>
      <x v="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nteo" fld="9" baseField="13" baseItem="0" numFmtId="4"/>
    <dataField name="Diferencia." fld="18" baseField="0" baseItem="0"/>
    <dataField name="Valor Teorico (S/)" fld="28" baseField="0" baseItem="0" numFmtId="164"/>
    <dataField name="Valor Contado (S/)" fld="23" baseField="0" baseItem="0" numFmtId="164"/>
    <dataField name="Diferencia Valor (S/)" fld="24" baseField="0" baseItem="0" numFmtId="164"/>
  </dataFields>
  <formats count="23">
    <format dxfId="354">
      <pivotArea field="13" type="button" dataOnly="0" labelOnly="1" outline="0" axis="axisRow" fieldPosition="0"/>
    </format>
    <format dxfId="35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2">
      <pivotArea field="13" type="button" dataOnly="0" labelOnly="1" outline="0" axis="axisRow" fieldPosition="0"/>
    </format>
    <format dxfId="35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0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349">
      <pivotArea outline="0" collapsedLevelsAreSubtotals="1" fieldPosition="0">
        <references count="2">
          <reference field="4294967294" count="1" selected="0">
            <x v="0"/>
          </reference>
          <reference field="13" count="0" selected="0"/>
        </references>
      </pivotArea>
    </format>
    <format dxfId="348">
      <pivotArea field="13" type="button" dataOnly="0" labelOnly="1" outline="0" axis="axisRow" fieldPosition="0"/>
    </format>
    <format dxfId="34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46">
      <pivotArea field="13" type="button" dataOnly="0" labelOnly="1" outline="0" axis="axisRow" fieldPosition="0"/>
    </format>
    <format dxfId="34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44">
      <pivotArea field="13" type="button" dataOnly="0" labelOnly="1" outline="0" axis="axisRow" fieldPosition="0"/>
    </format>
    <format dxfId="34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42">
      <pivotArea field="13" type="button" dataOnly="0" labelOnly="1" outline="0" axis="axisRow" fieldPosition="0"/>
    </format>
    <format dxfId="34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40">
      <pivotArea outline="0" fieldPosition="0">
        <references count="1">
          <reference field="4294967294" count="1">
            <x v="0"/>
          </reference>
        </references>
      </pivotArea>
    </format>
    <format dxfId="339">
      <pivotArea outline="0" collapsedLevelsAreSubtotals="1" fieldPosition="0"/>
    </format>
    <format dxfId="338">
      <pivotArea dataOnly="0" labelOnly="1" outline="0" fieldPosition="0">
        <references count="1">
          <reference field="13" count="0"/>
        </references>
      </pivotArea>
    </format>
    <format dxfId="337">
      <pivotArea dataOnly="0" labelOnly="1" grandRow="1" outline="0" fieldPosition="0"/>
    </format>
    <format dxfId="336">
      <pivotArea outline="0" collapsedLevelsAreSubtotals="1" fieldPosition="0"/>
    </format>
    <format dxfId="335">
      <pivotArea dataOnly="0" labelOnly="1" outline="0" fieldPosition="0">
        <references count="1">
          <reference field="13" count="0"/>
        </references>
      </pivotArea>
    </format>
    <format dxfId="334">
      <pivotArea dataOnly="0" labelOnly="1" grandRow="1" outline="0" fieldPosition="0"/>
    </format>
    <format dxfId="333">
      <pivotArea field="13" type="button" dataOnly="0" labelOnly="1" outline="0" axis="axisRow" fieldPosition="0"/>
    </format>
    <format dxfId="3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 texto" cacheId="69" applyNumberFormats="0" applyBorderFormats="0" applyFontFormats="0" applyPatternFormats="0" applyAlignmentFormats="0" applyWidthHeightFormats="1" dataCaption="Valores" missingCaption="1" updatedVersion="8" minRefreshableVersion="3" useAutoFormatting="1" rowGrandTotals="0" colGrandTotals="0" itemPrintTitles="1" createdVersion="5" indent="0" compact="0" compactData="0" multipleFieldFilters="0">
  <location ref="A1:F340" firstHeaderRow="1" firstDataRow="1" firstDataCol="5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44">
        <item m="1" x="1747"/>
        <item m="1" x="1419"/>
        <item m="1" x="509"/>
        <item m="1" x="785"/>
        <item m="1" x="1166"/>
        <item m="1" x="473"/>
        <item m="1" x="2581"/>
        <item m="1" x="1198"/>
        <item m="1" x="1796"/>
        <item m="1" x="1962"/>
        <item m="1" x="2180"/>
        <item m="1" x="1440"/>
        <item m="1" x="1475"/>
        <item m="1" x="2872"/>
        <item m="1" x="2361"/>
        <item m="1" x="2829"/>
        <item m="1" x="2865"/>
        <item m="1" x="1340"/>
        <item m="1" x="2693"/>
        <item m="1" x="1529"/>
        <item m="1" x="334"/>
        <item m="1" x="1597"/>
        <item m="1" x="1682"/>
        <item m="1" x="1690"/>
        <item m="1" x="1701"/>
        <item m="1" x="811"/>
        <item m="1" x="552"/>
        <item m="1" x="1070"/>
        <item m="1" x="1467"/>
        <item m="1" x="1963"/>
        <item m="1" x="2430"/>
        <item m="1" x="2441"/>
        <item m="1" x="2660"/>
        <item m="1" x="1109"/>
        <item m="1" x="1127"/>
        <item m="1" x="1133"/>
        <item m="1" x="1161"/>
        <item m="1" x="1177"/>
        <item m="1" x="2073"/>
        <item m="1" x="721"/>
        <item m="1" x="1414"/>
        <item m="1" x="1592"/>
        <item m="1" x="1599"/>
        <item m="1" x="2786"/>
        <item m="1" x="2854"/>
        <item m="1" x="2110"/>
        <item m="1" x="891"/>
        <item m="1" x="901"/>
        <item m="1" x="1110"/>
        <item m="1" x="1288"/>
        <item m="1" x="768"/>
        <item m="1" x="2091"/>
        <item m="1" x="2557"/>
        <item m="1" x="528"/>
        <item m="1" x="543"/>
        <item m="1" x="553"/>
        <item m="1" x="521"/>
        <item m="1" x="1484"/>
        <item m="1" x="1752"/>
        <item m="1" x="1486"/>
        <item m="1" x="1941"/>
        <item m="1" x="1953"/>
        <item m="1" x="2046"/>
        <item m="1" x="2052"/>
        <item m="1" x="1029"/>
        <item m="1" x="1649"/>
        <item m="1" x="2732"/>
        <item m="1" x="2744"/>
        <item m="1" x="2754"/>
        <item m="1" x="1187"/>
        <item m="1" x="1183"/>
        <item m="1" x="1060"/>
        <item m="1" x="1271"/>
        <item m="1" x="1321"/>
        <item m="1" x="2946"/>
        <item m="1" x="2920"/>
        <item m="1" x="2926"/>
        <item m="1" x="2824"/>
        <item m="1" x="764"/>
        <item m="1" x="1382"/>
        <item m="1" x="548"/>
        <item m="1" x="1049"/>
        <item m="1" x="1947"/>
        <item m="1" x="1952"/>
        <item m="1" x="2539"/>
        <item m="1" x="675"/>
        <item x="184"/>
        <item m="1" x="2914"/>
        <item m="1" x="1847"/>
        <item m="1" x="2014"/>
        <item m="1" x="2067"/>
        <item m="1" x="2435"/>
        <item m="1" x="1638"/>
        <item m="1" x="2416"/>
        <item m="1" x="1900"/>
        <item m="1" x="1905"/>
        <item m="1" x="3016"/>
        <item m="1" x="3036"/>
        <item m="1" x="3043"/>
        <item m="1" x="2457"/>
        <item m="1" x="2324"/>
        <item m="1" x="2337"/>
        <item m="1" x="2340"/>
        <item m="1" x="2346"/>
        <item m="1" x="1250"/>
        <item m="1" x="1259"/>
        <item m="1" x="1272"/>
        <item m="1" x="2641"/>
        <item m="1" x="2239"/>
        <item m="1" x="2299"/>
        <item m="1" x="2417"/>
        <item m="1" x="2862"/>
        <item m="1" x="2103"/>
        <item m="1" x="2107"/>
        <item m="1" x="2111"/>
        <item m="1" x="2114"/>
        <item m="1" x="2116"/>
        <item m="1" x="2124"/>
        <item m="1" x="2130"/>
        <item m="1" x="2129"/>
        <item m="1" x="645"/>
        <item m="1" x="1387"/>
        <item m="1" x="1391"/>
        <item m="1" x="2910"/>
        <item m="1" x="1318"/>
        <item m="1" x="1323"/>
        <item m="1" x="1324"/>
        <item m="1" x="1327"/>
        <item m="1" x="1331"/>
        <item m="1" x="1337"/>
        <item m="1" x="1715"/>
        <item m="1" x="1081"/>
        <item m="1" x="734"/>
        <item m="1" x="1671"/>
        <item m="1" x="1722"/>
        <item m="1" x="1580"/>
        <item m="1" x="2643"/>
        <item m="1" x="2645"/>
        <item m="1" x="2649"/>
        <item m="1" x="2039"/>
        <item m="1" x="2830"/>
        <item m="1" x="2835"/>
        <item m="1" x="1328"/>
        <item m="1" x="1329"/>
        <item m="1" x="1334"/>
        <item m="1" x="1343"/>
        <item m="1" x="340"/>
        <item m="1" x="2432"/>
        <item m="1" x="1430"/>
        <item m="1" x="1432"/>
        <item m="1" x="571"/>
        <item m="1" x="572"/>
        <item m="1" x="659"/>
        <item m="1" x="670"/>
        <item m="1" x="678"/>
        <item m="1" x="696"/>
        <item m="1" x="706"/>
        <item m="1" x="713"/>
        <item m="1" x="1368"/>
        <item m="1" x="662"/>
        <item m="1" x="798"/>
        <item m="1" x="1858"/>
        <item m="1" x="1861"/>
        <item m="1" x="1868"/>
        <item m="1" x="914"/>
        <item m="1" x="919"/>
        <item m="1" x="1549"/>
        <item m="1" x="1552"/>
        <item m="1" x="1558"/>
        <item m="1" x="1560"/>
        <item m="1" x="1561"/>
        <item m="1" x="880"/>
        <item m="1" x="904"/>
        <item m="1" x="911"/>
        <item m="1" x="937"/>
        <item m="1" x="941"/>
        <item m="1" x="1645"/>
        <item m="1" x="1381"/>
        <item m="1" x="604"/>
        <item m="1" x="614"/>
        <item m="1" x="623"/>
        <item m="1" x="1472"/>
        <item m="1" x="1925"/>
        <item m="1" x="2075"/>
        <item m="1" x="2079"/>
        <item m="1" x="2080"/>
        <item m="1" x="1143"/>
        <item m="1" x="1152"/>
        <item m="1" x="2191"/>
        <item m="1" x="939"/>
        <item m="1" x="946"/>
        <item m="1" x="949"/>
        <item m="1" x="960"/>
        <item m="1" x="963"/>
        <item m="1" x="964"/>
        <item m="1" x="966"/>
        <item m="1" x="969"/>
        <item m="1" x="973"/>
        <item m="1" x="1332"/>
        <item m="1" x="1335"/>
        <item m="1" x="1831"/>
        <item m="1" x="1837"/>
        <item m="1" x="1405"/>
        <item m="1" x="2895"/>
        <item m="1" x="2901"/>
        <item m="1" x="1253"/>
        <item m="1" x="2094"/>
        <item m="1" x="2183"/>
        <item m="1" x="397"/>
        <item m="1" x="916"/>
        <item m="1" x="1524"/>
        <item m="1" x="1563"/>
        <item m="1" x="3030"/>
        <item m="1" x="3035"/>
        <item m="1" x="3039"/>
        <item m="1" x="1364"/>
        <item m="1" x="446"/>
        <item m="1" x="2278"/>
        <item m="1" x="2785"/>
        <item m="1" x="1062"/>
        <item m="1" x="1066"/>
        <item m="1" x="589"/>
        <item m="1" x="856"/>
        <item m="1" x="2420"/>
        <item m="1" x="2208"/>
        <item m="1" x="1601"/>
        <item m="1" x="2912"/>
        <item m="1" x="1084"/>
        <item m="1" x="1134"/>
        <item m="1" x="1891"/>
        <item m="1" x="2682"/>
        <item m="1" x="2689"/>
        <item m="1" x="2189"/>
        <item m="1" x="437"/>
        <item m="1" x="899"/>
        <item m="1" x="1685"/>
        <item m="1" x="1696"/>
        <item m="1" x="1569"/>
        <item m="1" x="2099"/>
        <item m="1" x="1289"/>
        <item m="1" x="1427"/>
        <item m="1" x="1428"/>
        <item m="1" x="429"/>
        <item m="1" x="531"/>
        <item m="1" x="536"/>
        <item m="1" x="537"/>
        <item m="1" x="541"/>
        <item m="1" x="1605"/>
        <item m="1" x="1607"/>
        <item m="1" x="1610"/>
        <item m="1" x="1612"/>
        <item m="1" x="2758"/>
        <item m="1" x="1798"/>
        <item m="1" x="2218"/>
        <item m="1" x="2235"/>
        <item m="1" x="2238"/>
        <item m="1" x="2241"/>
        <item m="1" x="2243"/>
        <item m="1" x="2249"/>
        <item m="1" x="2252"/>
        <item m="1" x="2253"/>
        <item m="1" x="2260"/>
        <item m="1" x="410"/>
        <item m="1" x="1115"/>
        <item m="1" x="1119"/>
        <item m="1" x="1121"/>
        <item m="1" x="1365"/>
        <item m="1" x="1370"/>
        <item m="1" x="1377"/>
        <item m="1" x="1746"/>
        <item m="1" x="2329"/>
        <item m="1" x="2976"/>
        <item m="1" x="773"/>
        <item m="1" x="781"/>
        <item m="1" x="2885"/>
        <item m="1" x="2887"/>
        <item m="1" x="1276"/>
        <item m="1" x="1285"/>
        <item m="1" x="1296"/>
        <item m="1" x="1302"/>
        <item m="1" x="1311"/>
        <item m="1" x="1602"/>
        <item m="1" x="2019"/>
        <item m="1" x="2451"/>
        <item m="1" x="2954"/>
        <item m="1" x="423"/>
        <item m="1" x="738"/>
        <item m="1" x="740"/>
        <item m="1" x="743"/>
        <item m="1" x="744"/>
        <item m="1" x="748"/>
        <item m="1" x="329"/>
        <item m="1" x="399"/>
        <item m="1" x="637"/>
        <item m="1" x="640"/>
        <item m="1" x="644"/>
        <item m="1" x="648"/>
        <item m="1" x="672"/>
        <item m="1" x="676"/>
        <item m="1" x="682"/>
        <item m="1" x="732"/>
        <item m="1" x="769"/>
        <item m="1" x="776"/>
        <item m="1" x="788"/>
        <item m="1" x="2805"/>
        <item m="1" x="2866"/>
        <item m="1" x="2870"/>
        <item m="1" x="2871"/>
        <item m="1" x="2034"/>
        <item m="1" x="2246"/>
        <item m="1" x="593"/>
        <item m="1" x="849"/>
        <item m="1" x="1104"/>
        <item m="1" x="1783"/>
        <item m="1" x="2077"/>
        <item m="1" x="791"/>
        <item m="1" x="853"/>
        <item m="1" x="863"/>
        <item m="1" x="881"/>
        <item m="1" x="892"/>
        <item m="1" x="624"/>
        <item m="1" x="1280"/>
        <item m="1" x="1284"/>
        <item m="1" x="1757"/>
        <item m="1" x="1761"/>
        <item m="1" x="1429"/>
        <item m="1" x="617"/>
        <item m="1" x="2333"/>
        <item m="1" x="2335"/>
        <item m="1" x="427"/>
        <item m="1" x="431"/>
        <item m="1" x="386"/>
        <item m="1" x="1184"/>
        <item m="1" x="1191"/>
        <item m="1" x="2195"/>
        <item m="1" x="2203"/>
        <item m="1" x="2214"/>
        <item m="1" x="2240"/>
        <item m="1" x="2702"/>
        <item m="1" x="1421"/>
        <item m="1" x="1624"/>
        <item m="1" x="2254"/>
        <item m="1" x="944"/>
        <item m="1" x="2043"/>
        <item m="1" x="2048"/>
        <item m="1" x="2062"/>
        <item m="1" x="2859"/>
        <item m="1" x="683"/>
        <item m="1" x="703"/>
        <item m="1" x="1902"/>
        <item m="1" x="1906"/>
        <item m="1" x="2604"/>
        <item m="1" x="483"/>
        <item m="1" x="2076"/>
        <item m="1" x="2081"/>
        <item m="1" x="1248"/>
        <item m="1" x="1251"/>
        <item m="1" x="1373"/>
        <item m="1" x="2320"/>
        <item m="1" x="2325"/>
        <item m="1" x="2326"/>
        <item m="1" x="453"/>
        <item m="1" x="510"/>
        <item m="1" x="1105"/>
        <item m="1" x="1699"/>
        <item m="1" x="2393"/>
        <item m="1" x="2397"/>
        <item m="1" x="2402"/>
        <item m="1" x="518"/>
        <item m="1" x="771"/>
        <item m="1" x="816"/>
        <item m="1" x="2414"/>
        <item m="1" x="2419"/>
        <item m="1" x="2222"/>
        <item m="1" x="1135"/>
        <item m="1" x="1149"/>
        <item m="1" x="1002"/>
        <item m="1" x="2348"/>
        <item m="1" x="1594"/>
        <item m="1" x="450"/>
        <item m="1" x="1613"/>
        <item m="1" x="1653"/>
        <item m="1" x="1664"/>
        <item m="1" x="1791"/>
        <item m="1" x="2084"/>
        <item m="1" x="2115"/>
        <item m="1" x="2141"/>
        <item m="1" x="2932"/>
        <item m="1" x="792"/>
        <item m="1" x="840"/>
        <item m="1" x="912"/>
        <item m="1" x="970"/>
        <item m="1" x="1618"/>
        <item m="1" x="1625"/>
        <item m="1" x="1628"/>
        <item m="1" x="1631"/>
        <item m="1" x="1635"/>
        <item m="1" x="709"/>
        <item m="1" x="726"/>
        <item m="1" x="749"/>
        <item m="1" x="753"/>
        <item m="1" x="756"/>
        <item m="1" x="758"/>
        <item m="1" x="2686"/>
        <item m="1" x="2918"/>
        <item m="1" x="2922"/>
        <item m="1" x="1913"/>
        <item m="1" x="448"/>
        <item m="1" x="955"/>
        <item m="1" x="1577"/>
        <item m="1" x="633"/>
        <item m="1" x="2850"/>
        <item m="1" x="2855"/>
        <item m="1" x="436"/>
        <item m="1" x="2825"/>
        <item m="1" x="915"/>
        <item m="1" x="2003"/>
        <item m="1" x="2006"/>
        <item m="1" x="2010"/>
        <item m="1" x="1942"/>
        <item m="1" x="1946"/>
        <item m="1" x="1964"/>
        <item m="1" x="2512"/>
        <item m="1" x="1854"/>
        <item m="1" x="2737"/>
        <item m="1" x="2750"/>
        <item m="1" x="1140"/>
        <item m="1" x="1150"/>
        <item m="1" x="2889"/>
        <item m="1" x="2891"/>
        <item m="1" x="2899"/>
        <item m="1" x="728"/>
        <item m="1" x="1739"/>
        <item m="1" x="1742"/>
        <item m="1" x="1886"/>
        <item m="1" x="1889"/>
        <item m="1" x="1042"/>
        <item m="1" x="1488"/>
        <item m="1" x="1491"/>
        <item m="1" x="1496"/>
        <item m="1" x="1544"/>
        <item m="1" x="1546"/>
        <item m="1" x="1778"/>
        <item m="1" x="1785"/>
        <item m="1" x="1813"/>
        <item m="1" x="2204"/>
        <item m="1" x="2209"/>
        <item m="1" x="611"/>
        <item m="1" x="868"/>
        <item m="1" x="953"/>
        <item m="1" x="956"/>
        <item m="1" x="971"/>
        <item m="1" x="974"/>
        <item m="1" x="979"/>
        <item m="1" x="1008"/>
        <item m="1" x="1015"/>
        <item m="1" x="1025"/>
        <item m="1" x="1026"/>
        <item m="1" x="1072"/>
        <item m="1" x="1076"/>
        <item m="1" x="1163"/>
        <item m="1" x="1201"/>
        <item m="1" x="1204"/>
        <item m="1" x="2092"/>
        <item m="1" x="2291"/>
        <item m="1" x="2488"/>
        <item m="1" x="2493"/>
        <item m="1" x="538"/>
        <item m="1" x="542"/>
        <item m="1" x="558"/>
        <item m="1" x="567"/>
        <item m="1" x="1512"/>
        <item m="1" x="2436"/>
        <item m="1" x="2439"/>
        <item m="1" x="2550"/>
        <item m="1" x="2611"/>
        <item m="1" x="1153"/>
        <item m="1" x="2634"/>
        <item m="1" x="679"/>
        <item m="1" x="1313"/>
        <item m="1" x="1317"/>
        <item m="1" x="1320"/>
        <item m="1" x="576"/>
        <item m="1" x="586"/>
        <item m="1" x="2224"/>
        <item m="1" x="2225"/>
        <item m="1" x="2227"/>
        <item m="1" x="2652"/>
        <item m="1" x="664"/>
        <item m="1" x="1102"/>
        <item m="1" x="1106"/>
        <item m="1" x="1751"/>
        <item m="1" x="1759"/>
        <item m="1" x="1817"/>
        <item m="1" x="1821"/>
        <item m="1" x="2065"/>
        <item m="1" x="2273"/>
        <item m="1" x="1406"/>
        <item m="1" x="1743"/>
        <item m="1" x="384"/>
        <item m="1" x="387"/>
        <item m="1" x="2226"/>
        <item m="1" x="2228"/>
        <item m="1" x="2231"/>
        <item m="1" x="1578"/>
        <item m="1" x="1587"/>
        <item m="1" x="1620"/>
        <item m="1" x="1632"/>
        <item m="1" x="1646"/>
        <item m="1" x="1650"/>
        <item m="1" x="1654"/>
        <item m="1" x="1667"/>
        <item m="1" x="1780"/>
        <item m="1" x="1844"/>
        <item m="1" x="1856"/>
        <item m="1" x="1880"/>
        <item m="1" x="1909"/>
        <item m="1" x="1949"/>
        <item m="1" x="1954"/>
        <item m="1" x="1980"/>
        <item m="1" x="1985"/>
        <item m="1" x="1988"/>
        <item m="1" x="1990"/>
        <item m="1" x="1993"/>
        <item m="1" x="2005"/>
        <item m="1" x="2017"/>
        <item m="1" x="2036"/>
        <item m="1" x="1260"/>
        <item m="1" x="1884"/>
        <item m="1" x="559"/>
        <item m="1" x="563"/>
        <item m="1" x="566"/>
        <item m="1" x="574"/>
        <item m="1" x="1403"/>
        <item m="1" x="1456"/>
        <item m="1" x="1859"/>
        <item m="1" x="1917"/>
        <item m="1" x="1918"/>
        <item m="1" x="1921"/>
        <item m="1" x="1995"/>
        <item m="1" x="2035"/>
        <item m="1" x="2044"/>
        <item m="1" x="2049"/>
        <item m="1" x="332"/>
        <item m="1" x="350"/>
        <item m="1" x="353"/>
        <item m="1" x="356"/>
        <item m="1" x="363"/>
        <item m="1" x="475"/>
        <item m="1" x="479"/>
        <item m="1" x="485"/>
        <item m="1" x="583"/>
        <item m="1" x="590"/>
        <item m="1" x="641"/>
        <item m="1" x="845"/>
        <item m="1" x="869"/>
        <item m="1" x="871"/>
        <item m="1" x="873"/>
        <item m="1" x="875"/>
        <item m="1" x="942"/>
        <item m="1" x="948"/>
        <item m="1" x="1009"/>
        <item m="1" x="2635"/>
        <item m="1" x="2880"/>
        <item m="1" x="2919"/>
        <item m="1" x="549"/>
        <item m="1" x="1352"/>
        <item m="1" x="1355"/>
        <item m="1" x="1513"/>
        <item m="1" x="1518"/>
        <item m="1" x="1539"/>
        <item m="1" x="1542"/>
        <item m="1" x="1562"/>
        <item m="1" x="1623"/>
        <item m="1" x="2179"/>
        <item m="1" x="1096"/>
        <item m="1" x="2656"/>
        <item m="1" x="391"/>
        <item m="1" x="2406"/>
        <item m="1" x="822"/>
        <item m="1" x="825"/>
        <item m="1" x="830"/>
        <item m="1" x="834"/>
        <item m="1" x="581"/>
        <item m="1" x="585"/>
        <item m="1" x="588"/>
        <item m="1" x="594"/>
        <item m="1" x="762"/>
        <item m="1" x="896"/>
        <item m="1" x="907"/>
        <item m="1" x="1762"/>
        <item m="1" x="1765"/>
        <item m="1" x="1770"/>
        <item m="1" x="1794"/>
        <item m="1" x="1959"/>
        <item m="1" x="330"/>
        <item m="1" x="1006"/>
        <item m="1" x="2782"/>
        <item m="1" x="379"/>
        <item m="1" x="2605"/>
        <item m="1" x="2082"/>
        <item m="1" x="2087"/>
        <item m="1" x="2135"/>
        <item m="1" x="2140"/>
        <item m="1" x="2184"/>
        <item m="1" x="408"/>
        <item m="1" x="2510"/>
        <item m="1" x="2038"/>
        <item m="1" x="2330"/>
        <item m="1" x="872"/>
        <item m="1" x="1938"/>
        <item m="1" x="2294"/>
        <item m="1" x="2297"/>
        <item m="1" x="759"/>
        <item m="1" x="885"/>
        <item m="1" x="888"/>
        <item m="1" x="1366"/>
        <item m="1" x="1540"/>
        <item m="1" x="2216"/>
        <item m="1" x="2242"/>
        <item m="1" x="2244"/>
        <item m="1" x="2248"/>
        <item m="1" x="2250"/>
        <item m="1" x="2258"/>
        <item m="1" x="2265"/>
        <item m="1" x="2267"/>
        <item m="1" x="2276"/>
        <item m="1" x="2293"/>
        <item m="1" x="2295"/>
        <item m="1" x="2302"/>
        <item m="1" x="2311"/>
        <item m="1" x="2323"/>
        <item m="1" x="2353"/>
        <item m="1" x="2407"/>
        <item m="1" x="2412"/>
        <item m="1" x="2455"/>
        <item m="1" x="2463"/>
        <item m="1" x="2467"/>
        <item m="1" x="2472"/>
        <item m="1" x="2474"/>
        <item m="1" x="2501"/>
        <item m="1" x="2521"/>
        <item m="1" x="2558"/>
        <item m="1" x="2575"/>
        <item m="1" x="2751"/>
        <item m="1" x="2755"/>
        <item m="1" x="2760"/>
        <item m="1" x="2765"/>
        <item m="1" x="2771"/>
        <item m="1" x="2915"/>
        <item m="1" x="2992"/>
        <item m="1" x="2995"/>
        <item m="1" x="3001"/>
        <item m="1" x="3004"/>
        <item m="1" x="3009"/>
        <item m="1" x="3032"/>
        <item m="1" x="3040"/>
        <item m="1" x="404"/>
        <item m="1" x="414"/>
        <item m="1" x="434"/>
        <item m="1" x="439"/>
        <item m="1" x="449"/>
        <item m="1" x="451"/>
        <item m="1" x="455"/>
        <item m="1" x="458"/>
        <item m="1" x="460"/>
        <item m="1" x="461"/>
        <item m="1" x="463"/>
        <item m="1" x="464"/>
        <item m="1" x="468"/>
        <item m="1" x="471"/>
        <item m="1" x="480"/>
        <item m="1" x="486"/>
        <item m="1" x="489"/>
        <item m="1" x="491"/>
        <item m="1" x="499"/>
        <item m="1" x="503"/>
        <item m="1" x="512"/>
        <item m="1" x="516"/>
        <item m="1" x="519"/>
        <item m="1" x="522"/>
        <item m="1" x="620"/>
        <item m="1" x="631"/>
        <item m="1" x="635"/>
        <item m="1" x="638"/>
        <item m="1" x="642"/>
        <item m="1" x="657"/>
        <item m="1" x="1175"/>
        <item m="1" x="1180"/>
        <item m="1" x="1207"/>
        <item m="1" x="1210"/>
        <item m="1" x="1217"/>
        <item m="1" x="1347"/>
        <item m="1" x="1399"/>
        <item m="1" x="1402"/>
        <item m="1" x="1408"/>
        <item m="1" x="1412"/>
        <item m="1" x="1449"/>
        <item m="1" x="1455"/>
        <item m="1" x="1473"/>
        <item m="1" x="1516"/>
        <item m="1" x="1520"/>
        <item m="1" x="1526"/>
        <item m="1" x="1533"/>
        <item m="1" x="1582"/>
        <item m="1" x="1588"/>
        <item m="1" x="1637"/>
        <item m="1" x="1658"/>
        <item m="1" x="1659"/>
        <item m="1" x="1662"/>
        <item m="1" x="1665"/>
        <item m="1" x="1709"/>
        <item m="1" x="1728"/>
        <item m="1" x="1732"/>
        <item m="1" x="1735"/>
        <item m="1" x="1736"/>
        <item m="1" x="1744"/>
        <item m="1" x="1750"/>
        <item m="1" x="1768"/>
        <item m="1" x="1773"/>
        <item m="1" x="1775"/>
        <item m="1" x="1795"/>
        <item m="1" x="1799"/>
        <item m="1" x="1800"/>
        <item m="1" x="1803"/>
        <item m="1" x="1811"/>
        <item m="1" x="1814"/>
        <item m="1" x="1875"/>
        <item m="1" x="1876"/>
        <item m="1" x="1879"/>
        <item m="1" x="1890"/>
        <item m="1" x="1914"/>
        <item m="1" x="1933"/>
        <item m="1" x="1935"/>
        <item m="1" x="1943"/>
        <item m="1" x="1960"/>
        <item m="1" x="2024"/>
        <item m="1" x="2053"/>
        <item m="1" x="2283"/>
        <item m="1" x="2318"/>
        <item m="1" x="2371"/>
        <item m="1" x="2385"/>
        <item m="1" x="2394"/>
        <item m="1" x="859"/>
        <item m="1" x="924"/>
        <item m="1" x="928"/>
        <item m="1" x="935"/>
        <item m="1" x="940"/>
        <item m="1" x="1188"/>
        <item m="1" x="1193"/>
        <item m="1" x="1199"/>
        <item m="1" x="1221"/>
        <item m="1" x="1435"/>
        <item m="1" x="1438"/>
        <item m="1" x="1338"/>
        <item m="1" x="1344"/>
        <item m="1" x="1346"/>
        <item m="1" x="1754"/>
        <item m="1" x="1769"/>
        <item m="1" x="1781"/>
        <item m="1" x="2965"/>
        <item m="1" x="1160"/>
        <item m="1" x="1164"/>
        <item m="1" x="1815"/>
        <item m="1" x="1863"/>
        <item m="1" x="2714"/>
        <item m="1" x="2718"/>
        <item m="1" x="2723"/>
        <item m="1" x="2375"/>
        <item m="1" x="932"/>
        <item m="1" x="993"/>
        <item m="1" x="1010"/>
        <item m="1" x="1124"/>
        <item m="1" x="1131"/>
        <item m="1" x="2524"/>
        <item m="1" x="2535"/>
        <item m="1" x="2867"/>
        <item m="1" x="2900"/>
        <item m="1" x="2913"/>
        <item m="1" x="1322"/>
        <item m="1" x="1996"/>
        <item m="1" x="2902"/>
        <item m="1" x="2905"/>
        <item m="1" x="770"/>
        <item m="1" x="774"/>
        <item m="1" x="777"/>
        <item m="1" x="782"/>
        <item m="1" x="814"/>
        <item m="1" x="819"/>
        <item m="1" x="824"/>
        <item m="1" x="827"/>
        <item m="1" x="832"/>
        <item m="1" x="835"/>
        <item m="1" x="870"/>
        <item m="1" x="2464"/>
        <item m="1" x="1304"/>
        <item m="1" x="1306"/>
        <item m="1" x="1353"/>
        <item m="1" x="1395"/>
        <item m="1" x="1401"/>
        <item m="1" x="1596"/>
        <item m="1" x="1866"/>
        <item m="1" x="1870"/>
        <item m="1" x="2623"/>
        <item m="1" x="380"/>
        <item m="1" x="684"/>
        <item m="1" x="687"/>
        <item m="1" x="691"/>
        <item m="1" x="695"/>
        <item m="1" x="699"/>
        <item m="1" x="701"/>
        <item m="1" x="704"/>
        <item m="1" x="708"/>
        <item m="1" x="711"/>
        <item m="1" x="714"/>
        <item m="1" x="716"/>
        <item m="1" x="722"/>
        <item m="1" x="725"/>
        <item m="1" x="783"/>
        <item m="1" x="789"/>
        <item m="1" x="846"/>
        <item m="1" x="850"/>
        <item m="1" x="1116"/>
        <item m="1" x="1281"/>
        <item m="1" x="1426"/>
        <item m="1" x="1864"/>
        <item m="1" x="1869"/>
        <item m="1" x="2236"/>
        <item m="1" x="2886"/>
        <item m="1" x="1123"/>
        <item m="1" x="1461"/>
        <item m="1" x="1726"/>
        <item m="1" x="1729"/>
        <item m="1" x="1818"/>
        <item m="1" x="477"/>
        <item m="1" x="779"/>
        <item m="1" x="2685"/>
        <item m="1" x="717"/>
        <item m="1" x="723"/>
        <item m="1" x="889"/>
        <item m="1" x="893"/>
        <item m="1" x="909"/>
        <item m="1" x="1011"/>
        <item m="1" x="1226"/>
        <item m="1" x="1228"/>
        <item m="1" x="1232"/>
        <item m="1" x="1243"/>
        <item m="1" x="1246"/>
        <item m="1" x="1254"/>
        <item m="1" x="1258"/>
        <item m="1" x="1262"/>
        <item m="1" x="1263"/>
        <item m="1" x="1265"/>
        <item m="1" x="1270"/>
        <item m="1" x="1282"/>
        <item m="1" x="1286"/>
        <item m="1" x="1290"/>
        <item m="1" x="1297"/>
        <item m="1" x="1299"/>
        <item m="1" x="1305"/>
        <item m="1" x="1307"/>
        <item m="1" x="1319"/>
        <item m="1" x="1359"/>
        <item m="1" x="1360"/>
        <item m="1" x="1379"/>
        <item m="1" x="1416"/>
        <item m="1" x="1422"/>
        <item m="1" x="1437"/>
        <item m="1" x="1439"/>
        <item m="1" x="1444"/>
        <item m="1" x="1574"/>
        <item m="1" x="1576"/>
        <item m="1" x="1579"/>
        <item m="1" x="1608"/>
        <item m="1" x="1655"/>
        <item m="1" x="1680"/>
        <item m="1" x="1683"/>
        <item m="1" x="1684"/>
        <item m="1" x="1687"/>
        <item m="1" x="1689"/>
        <item m="1" x="1691"/>
        <item m="1" x="1695"/>
        <item m="1" x="1698"/>
        <item m="1" x="1700"/>
        <item m="1" x="1704"/>
        <item m="1" x="1706"/>
        <item m="1" x="1710"/>
        <item m="1" x="1713"/>
        <item m="1" x="1716"/>
        <item m="1" x="1719"/>
        <item m="1" x="1724"/>
        <item m="1" x="1776"/>
        <item m="1" x="1804"/>
        <item m="1" x="1807"/>
        <item m="1" x="1812"/>
        <item m="1" x="1816"/>
        <item m="1" x="1820"/>
        <item m="1" x="1823"/>
        <item m="1" x="1826"/>
        <item m="1" x="1830"/>
        <item m="1" x="1834"/>
        <item m="1" x="1842"/>
        <item m="1" x="1845"/>
        <item m="1" x="1857"/>
        <item m="1" x="1897"/>
        <item m="1" x="1907"/>
        <item m="1" x="1911"/>
        <item m="1" x="1916"/>
        <item m="1" x="1922"/>
        <item m="1" x="1976"/>
        <item m="1" x="2013"/>
        <item m="1" x="2021"/>
        <item m="1" x="2033"/>
        <item m="1" x="2072"/>
        <item m="1" x="2131"/>
        <item m="1" x="2136"/>
        <item m="1" x="2148"/>
        <item m="1" x="2200"/>
        <item m="1" x="2219"/>
        <item m="1" x="2453"/>
        <item m="1" x="2458"/>
        <item m="1" x="2460"/>
        <item m="1" x="2485"/>
        <item m="1" x="2491"/>
        <item m="1" x="2497"/>
        <item m="1" x="2504"/>
        <item m="1" x="2529"/>
        <item m="1" x="2533"/>
        <item m="1" x="2536"/>
        <item m="1" x="2541"/>
        <item m="1" x="2545"/>
        <item m="1" x="2551"/>
        <item m="1" x="2556"/>
        <item m="1" x="2560"/>
        <item m="1" x="2564"/>
        <item m="1" x="2570"/>
        <item m="1" x="2574"/>
        <item m="1" x="2576"/>
        <item m="1" x="2578"/>
        <item m="1" x="2583"/>
        <item m="1" x="2588"/>
        <item m="1" x="2590"/>
        <item m="1" x="2592"/>
        <item m="1" x="2594"/>
        <item m="1" x="2597"/>
        <item m="1" x="2599"/>
        <item m="1" x="2601"/>
        <item m="1" x="2603"/>
        <item m="1" x="2606"/>
        <item m="1" x="2607"/>
        <item m="1" x="2612"/>
        <item m="1" x="2615"/>
        <item m="1" x="2619"/>
        <item m="1" x="2622"/>
        <item m="1" x="2624"/>
        <item m="1" x="2629"/>
        <item m="1" x="2631"/>
        <item m="1" x="2633"/>
        <item m="1" x="2636"/>
        <item m="1" x="2638"/>
        <item m="1" x="2642"/>
        <item m="1" x="2644"/>
        <item m="1" x="2646"/>
        <item m="1" x="2647"/>
        <item m="1" x="2650"/>
        <item m="1" x="2653"/>
        <item m="1" x="2663"/>
        <item m="1" x="2700"/>
        <item m="1" x="2703"/>
        <item m="1" x="2706"/>
        <item m="1" x="2724"/>
        <item m="1" x="2763"/>
        <item m="1" x="2980"/>
        <item m="1" x="2982"/>
        <item m="1" x="2988"/>
        <item m="1" x="2991"/>
        <item m="1" x="338"/>
        <item m="1" x="341"/>
        <item m="1" x="346"/>
        <item m="1" x="388"/>
        <item m="1" x="390"/>
        <item m="1" x="396"/>
        <item m="1" x="456"/>
        <item m="1" x="539"/>
        <item m="1" x="560"/>
        <item m="1" x="605"/>
        <item m="1" x="608"/>
        <item m="1" x="613"/>
        <item m="1" x="618"/>
        <item m="1" x="621"/>
        <item m="1" x="625"/>
        <item m="1" x="628"/>
        <item m="1" x="634"/>
        <item m="1" x="636"/>
        <item m="1" x="639"/>
        <item m="1" x="643"/>
        <item m="1" x="646"/>
        <item m="1" x="650"/>
        <item m="1" x="655"/>
        <item m="1" x="658"/>
        <item m="1" x="660"/>
        <item m="1" x="663"/>
        <item m="1" x="665"/>
        <item m="1" x="667"/>
        <item m="1" x="668"/>
        <item m="1" x="671"/>
        <item m="1" x="674"/>
        <item m="1" x="680"/>
        <item m="1" x="686"/>
        <item m="1" x="688"/>
        <item m="1" x="692"/>
        <item m="1" x="697"/>
        <item m="1" x="700"/>
        <item m="1" x="702"/>
        <item m="1" x="707"/>
        <item m="1" x="710"/>
        <item m="1" x="854"/>
        <item m="1" x="1043"/>
        <item m="1" x="1071"/>
        <item m="1" x="1229"/>
        <item m="1" x="1233"/>
        <item m="1" x="1240"/>
        <item m="1" x="1261"/>
        <item m="1" x="1264"/>
        <item m="1" x="1268"/>
        <item m="1" x="1275"/>
        <item m="1" x="1300"/>
        <item m="1" x="1326"/>
        <item m="1" x="1333"/>
        <item m="1" x="1336"/>
        <item m="1" x="1371"/>
        <item m="1" x="1396"/>
        <item m="1" x="1415"/>
        <item m="1" x="1417"/>
        <item m="1" x="1420"/>
        <item m="1" x="1451"/>
        <item m="1" x="1453"/>
        <item m="1" x="1457"/>
        <item m="1" x="1479"/>
        <item m="1" x="1480"/>
        <item m="1" x="1482"/>
        <item m="1" x="1497"/>
        <item m="1" x="1508"/>
        <item m="1" x="1515"/>
        <item m="1" x="1531"/>
        <item m="1" x="1534"/>
        <item m="1" x="1642"/>
        <item m="1" x="1692"/>
        <item m="1" x="1717"/>
        <item m="1" x="1720"/>
        <item m="1" x="1797"/>
        <item m="1" x="1819"/>
        <item m="1" x="1822"/>
        <item m="1" x="1881"/>
        <item m="1" x="1931"/>
        <item m="1" x="1932"/>
        <item m="1" x="1934"/>
        <item m="1" x="1937"/>
        <item m="1" x="1939"/>
        <item m="1" x="1940"/>
        <item m="1" x="1945"/>
        <item m="1" x="1948"/>
        <item m="1" x="1950"/>
        <item m="1" x="2074"/>
        <item m="1" x="2083"/>
        <item m="1" x="2572"/>
        <item m="1" x="2593"/>
        <item m="1" x="2596"/>
        <item m="1" x="2598"/>
        <item m="1" x="2600"/>
        <item m="1" x="2609"/>
        <item m="1" x="2614"/>
        <item m="1" x="2640"/>
        <item m="1" x="2664"/>
        <item m="1" x="2728"/>
        <item m="1" x="2766"/>
        <item m="1" x="2779"/>
        <item m="1" x="2790"/>
        <item m="1" x="2792"/>
        <item m="1" x="2795"/>
        <item m="1" x="2797"/>
        <item m="1" x="2803"/>
        <item m="1" x="2816"/>
        <item m="1" x="2828"/>
        <item m="1" x="2837"/>
        <item m="1" x="2842"/>
        <item m="1" x="2848"/>
        <item m="1" x="2851"/>
        <item m="1" x="2856"/>
        <item m="1" x="2874"/>
        <item m="1" x="2888"/>
        <item m="1" x="2893"/>
        <item m="1" x="2897"/>
        <item m="1" x="2928"/>
        <item m="1" x="2979"/>
        <item m="1" x="2984"/>
        <item m="1" x="2987"/>
        <item m="1" x="2990"/>
        <item m="1" x="2993"/>
        <item m="1" x="2994"/>
        <item m="1" x="2996"/>
        <item m="1" x="3002"/>
        <item m="1" x="3005"/>
        <item m="1" x="3015"/>
        <item m="1" x="3024"/>
        <item m="1" x="1409"/>
        <item m="1" x="1418"/>
        <item m="1" x="1423"/>
        <item m="1" x="1528"/>
        <item m="1" x="1567"/>
        <item m="1" x="1575"/>
        <item m="1" x="1584"/>
        <item m="1" x="1595"/>
        <item m="1" x="2410"/>
        <item m="1" x="2425"/>
        <item m="1" x="2448"/>
        <item m="1" x="2469"/>
        <item m="1" x="2478"/>
        <item m="1" x="2505"/>
        <item m="1" x="2516"/>
        <item m="1" x="2525"/>
        <item m="1" x="2537"/>
        <item m="1" x="2546"/>
        <item m="1" x="2565"/>
        <item m="1" x="2584"/>
        <item m="1" x="2673"/>
        <item m="1" x="2680"/>
        <item m="1" x="2684"/>
        <item m="1" x="2807"/>
        <item m="1" x="2810"/>
        <item m="1" x="2819"/>
        <item m="1" x="2820"/>
        <item m="1" x="2821"/>
        <item m="1" x="2822"/>
        <item m="1" x="2827"/>
        <item m="1" x="2832"/>
        <item m="1" x="2836"/>
        <item m="1" x="470"/>
        <item m="1" x="1372"/>
        <item m="1" x="1378"/>
        <item m="1" x="1915"/>
        <item m="1" x="2022"/>
        <item m="1" x="2023"/>
        <item m="1" x="2028"/>
        <item m="1" x="2030"/>
        <item m="1" x="2045"/>
        <item m="1" x="755"/>
        <item m="1" x="1165"/>
        <item m="1" x="1169"/>
        <item m="1" x="1247"/>
        <item m="1" x="1266"/>
        <item m="1" x="1502"/>
        <item m="1" x="1505"/>
        <item m="1" x="1737"/>
        <item m="1" x="2449"/>
        <item m="1" x="2454"/>
        <item m="1" x="2709"/>
        <item m="1" x="750"/>
        <item m="1" x="1504"/>
        <item m="1" x="1509"/>
        <item m="1" x="1517"/>
        <item m="1" x="1522"/>
        <item m="1" x="1535"/>
        <item m="1" x="1543"/>
        <item m="1" x="1553"/>
        <item m="1" x="1556"/>
        <item m="1" x="2332"/>
        <item m="1" x="2729"/>
        <item m="1" x="2731"/>
        <item m="1" x="2733"/>
        <item m="1" x="2736"/>
        <item m="1" x="2739"/>
        <item m="1" x="2743"/>
        <item m="1" x="2748"/>
        <item m="1" x="2753"/>
        <item m="1" x="2757"/>
        <item m="1" x="2762"/>
        <item m="1" x="2767"/>
        <item m="1" x="2772"/>
        <item m="1" x="2775"/>
        <item m="1" x="2780"/>
        <item m="1" x="2783"/>
        <item m="1" x="2787"/>
        <item m="1" x="765"/>
        <item m="1" x="898"/>
        <item m="1" x="900"/>
        <item m="1" x="905"/>
        <item m="1" x="910"/>
        <item m="1" x="913"/>
        <item m="1" x="968"/>
        <item m="1" x="972"/>
        <item m="1" x="975"/>
        <item m="1" x="977"/>
        <item m="1" x="978"/>
        <item m="1" x="980"/>
        <item m="1" x="983"/>
        <item m="1" x="987"/>
        <item m="1" x="990"/>
        <item m="1" x="2498"/>
        <item m="1" x="2506"/>
        <item m="1" x="2530"/>
        <item m="1" x="2534"/>
        <item m="1" x="2538"/>
        <item m="1" x="2542"/>
        <item m="1" x="2552"/>
        <item m="1" x="2561"/>
        <item m="1" x="2577"/>
        <item m="1" x="2591"/>
        <item m="1" x="2595"/>
        <item m="1" x="343"/>
        <item m="1" x="347"/>
        <item m="1" x="435"/>
        <item m="1" x="462"/>
        <item m="1" x="474"/>
        <item m="1" x="729"/>
        <item m="1" x="730"/>
        <item m="1" x="731"/>
        <item m="1" x="736"/>
        <item m="1" x="739"/>
        <item m="1" x="741"/>
        <item m="1" x="746"/>
        <item m="1" x="751"/>
        <item m="1" x="754"/>
        <item m="1" x="890"/>
        <item m="1" x="985"/>
        <item m="1" x="2286"/>
        <item m="1" x="2288"/>
        <item m="1" x="2292"/>
        <item m="1" x="2303"/>
        <item m="1" x="2305"/>
        <item m="1" x="2308"/>
        <item m="1" x="2310"/>
        <item m="1" x="2475"/>
        <item m="1" x="2480"/>
        <item m="1" x="2903"/>
        <item m="1" x="2906"/>
        <item m="1" x="357"/>
        <item m="1" x="364"/>
        <item m="1" x="1129"/>
        <item m="1" x="1132"/>
        <item m="1" x="1137"/>
        <item m="1" x="1141"/>
        <item m="1" x="1151"/>
        <item m="1" x="1155"/>
        <item m="1" x="1298"/>
        <item m="1" x="1303"/>
        <item m="1" x="1308"/>
        <item m="1" x="496"/>
        <item m="1" x="501"/>
        <item m="1" x="505"/>
        <item m="1" x="1057"/>
        <item m="1" x="1138"/>
        <item m="1" x="1145"/>
        <item m="1" x="1154"/>
        <item m="1" x="1158"/>
        <item m="1" x="1174"/>
        <item m="1" x="1178"/>
        <item m="1" x="1182"/>
        <item m="1" x="1189"/>
        <item m="1" x="1194"/>
        <item m="1" x="1200"/>
        <item m="1" x="1203"/>
        <item m="1" x="1206"/>
        <item m="1" x="1209"/>
        <item m="1" x="1213"/>
        <item m="1" x="1215"/>
        <item m="1" x="1219"/>
        <item m="1" x="1222"/>
        <item m="1" x="1223"/>
        <item m="1" x="1225"/>
        <item m="1" x="1227"/>
        <item m="1" x="1230"/>
        <item m="1" x="1234"/>
        <item m="1" x="1237"/>
        <item m="1" x="1239"/>
        <item m="1" x="1241"/>
        <item m="1" x="1244"/>
        <item m="1" x="1249"/>
        <item m="1" x="1252"/>
        <item m="1" x="1256"/>
        <item m="1" x="2223"/>
        <item m="1" x="2834"/>
        <item m="1" x="2838"/>
        <item m="1" x="2843"/>
        <item m="1" x="2845"/>
        <item m="1" x="2852"/>
        <item m="1" x="2857"/>
        <item m="1" x="705"/>
        <item m="1" x="1050"/>
        <item m="1" x="1055"/>
        <item m="1" x="1059"/>
        <item m="1" x="1142"/>
        <item m="1" x="1156"/>
        <item m="1" x="1656"/>
        <item m="1" x="2355"/>
        <item m="1" x="2465"/>
        <item m="1" x="1846"/>
        <item m="1" x="1979"/>
        <item m="1" x="1982"/>
        <item m="1" x="1987"/>
        <item m="1" x="1997"/>
        <item m="1" x="2011"/>
        <item m="1" x="2981"/>
        <item m="1" x="2983"/>
        <item m="1" x="472"/>
        <item m="1" x="476"/>
        <item m="1" x="481"/>
        <item m="1" x="484"/>
        <item m="1" x="487"/>
        <item m="1" x="490"/>
        <item m="1" x="492"/>
        <item m="1" x="495"/>
        <item m="1" x="500"/>
        <item m="1" x="504"/>
        <item m="1" x="508"/>
        <item m="1" x="513"/>
        <item m="1" x="1956"/>
        <item m="1" x="1957"/>
        <item m="1" x="1958"/>
        <item m="1" x="1965"/>
        <item m="1" x="1966"/>
        <item m="1" x="1968"/>
        <item m="1" x="1977"/>
        <item m="1" x="1981"/>
        <item m="1" x="1983"/>
        <item m="1" x="1986"/>
        <item m="1" x="1989"/>
        <item m="1" x="1991"/>
        <item m="1" x="1994"/>
        <item m="1" x="1998"/>
        <item m="1" x="2000"/>
        <item m="1" x="2002"/>
        <item m="1" x="2112"/>
        <item m="1" x="2118"/>
        <item m="1" x="2121"/>
        <item m="1" x="2128"/>
        <item m="1" x="2133"/>
        <item m="1" x="2138"/>
        <item m="1" x="2143"/>
        <item m="1" x="2146"/>
        <item m="1" x="2150"/>
        <item m="1" x="2154"/>
        <item m="1" x="2158"/>
        <item m="1" x="2068"/>
        <item m="1" x="1051"/>
        <item m="1" x="1085"/>
        <item m="1" x="1091"/>
        <item m="1" x="1094"/>
        <item m="1" x="1098"/>
        <item m="1" x="1101"/>
        <item m="1" x="2198"/>
        <item m="1" x="2876"/>
        <item m="1" x="2881"/>
        <item m="1" x="2884"/>
        <item m="1" x="2975"/>
        <item m="1" x="398"/>
        <item m="1" x="2798"/>
        <item m="1" x="2804"/>
        <item m="1" x="2809"/>
        <item m="1" x="2813"/>
        <item m="1" x="2818"/>
        <item m="1" x="2134"/>
        <item m="1" x="2139"/>
        <item m="1" x="2580"/>
        <item m="1" x="2626"/>
        <item m="1" x="630"/>
        <item m="1" x="689"/>
        <item m="1" x="693"/>
        <item m="1" x="698"/>
        <item m="1" x="982"/>
        <item m="1" x="986"/>
        <item m="1" x="989"/>
        <item m="1" x="992"/>
        <item m="1" x="994"/>
        <item m="1" x="999"/>
        <item m="1" x="1004"/>
        <item m="1" x="1007"/>
        <item m="1" x="1013"/>
        <item m="1" x="1231"/>
        <item m="1" x="1235"/>
        <item m="1" x="1238"/>
        <item m="1" x="1242"/>
        <item m="1" x="1245"/>
        <item m="1" x="1705"/>
        <item m="1" x="1708"/>
        <item m="1" x="1712"/>
        <item m="1" x="1714"/>
        <item m="1" x="1718"/>
        <item m="1" x="1721"/>
        <item m="1" x="1828"/>
        <item m="1" x="1836"/>
        <item m="1" x="1838"/>
        <item m="1" x="1840"/>
        <item m="1" x="1843"/>
        <item m="1" x="2274"/>
        <item m="1" x="2280"/>
        <item m="1" x="2284"/>
        <item m="1" x="2773"/>
        <item m="1" x="2776"/>
        <item m="1" x="2781"/>
        <item m="1" x="804"/>
        <item m="1" x="1012"/>
        <item m="1" x="1017"/>
        <item m="1" x="1358"/>
        <item m="1" x="1361"/>
        <item m="1" x="1388"/>
        <item m="1" x="1392"/>
        <item m="1" x="1581"/>
        <item m="1" x="1585"/>
        <item m="1" x="1855"/>
        <item m="1" x="1860"/>
        <item m="1" x="1892"/>
        <item m="1" x="2345"/>
        <item m="1" x="2350"/>
        <item m="1" x="331"/>
        <item m="1" x="606"/>
        <item m="1" x="612"/>
        <item m="1" x="778"/>
        <item m="1" x="2933"/>
        <item m="1" x="775"/>
        <item m="1" x="1046"/>
        <item m="1" x="1058"/>
        <item m="1" x="465"/>
        <item m="1" x="747"/>
        <item m="1" x="2078"/>
        <item m="1" x="927"/>
        <item m="1" x="681"/>
        <item m="1" x="2456"/>
        <item m="1" x="2188"/>
        <item m="1" x="515"/>
        <item m="1" x="2958"/>
        <item m="1" x="2712"/>
        <item m="1" x="2378"/>
        <item m="1" x="2147"/>
        <item m="1" x="1919"/>
        <item m="1" x="1669"/>
        <item m="1" x="2313"/>
        <item m="1" x="1490"/>
        <item m="1" x="1220"/>
        <item m="1" x="1547"/>
        <item m="1" x="328"/>
        <item m="1" x="2917"/>
        <item m="1" x="2812"/>
        <item m="1" x="2648"/>
        <item m="1" x="1707"/>
        <item m="1" x="1474"/>
        <item m="1" x="1000"/>
        <item m="1" x="2383"/>
        <item m="1" x="1521"/>
        <item m="1" x="1673"/>
        <item m="1" x="938"/>
        <item m="1" x="1458"/>
        <item m="1" x="2344"/>
        <item m="1" x="2377"/>
        <item m="1" x="2342"/>
        <item m="1" x="2858"/>
        <item m="1" x="1647"/>
        <item m="1" x="2360"/>
        <item m="1" x="1394"/>
        <item m="1" x="930"/>
        <item m="1" x="557"/>
        <item m="1" x="616"/>
        <item m="1" x="2863"/>
        <item m="1" x="2388"/>
        <item m="1" x="1703"/>
        <item m="1" x="1851"/>
        <item m="1" x="1485"/>
        <item m="1" x="2678"/>
        <item m="1" x="3020"/>
        <item m="1" x="1514"/>
        <item m="1" x="2687"/>
        <item m="1" x="2349"/>
        <item m="1" x="934"/>
        <item m="1" x="2486"/>
        <item m="1" x="1390"/>
        <item m="1" x="1087"/>
        <item m="1" x="2357"/>
        <item m="1" x="2373"/>
        <item m="1" x="2806"/>
        <item m="1" x="1404"/>
        <item m="1" x="2050"/>
        <item m="1" x="2008"/>
        <item m="1" x="929"/>
        <item m="1" x="879"/>
        <item m="1" x="2392"/>
        <item m="1" x="2381"/>
        <item m="1" x="933"/>
        <item m="1" x="2401"/>
        <item m="1" x="2628"/>
        <item m="1" x="931"/>
        <item m="1" x="2364"/>
        <item m="1" x="943"/>
        <item m="1" x="372"/>
        <item m="1" x="925"/>
        <item m="1" x="2368"/>
        <item m="1" x="1532"/>
        <item m="1" x="2849"/>
        <item m="1" x="2853"/>
        <item m="1" x="1492"/>
        <item m="1" x="2396"/>
        <item m="1" x="1961"/>
        <item m="1" x="1633"/>
        <item m="1" x="2020"/>
        <item m="1" x="2085"/>
        <item m="1" x="2507"/>
        <item m="1" x="2579"/>
        <item m="1" x="961"/>
        <item m="1" x="2514"/>
        <item m="1" x="947"/>
        <item m="1" x="1895"/>
        <item m="1" x="2495"/>
        <item m="1" x="2582"/>
        <item m="1" x="2527"/>
        <item m="1" x="1629"/>
        <item m="1" x="922"/>
        <item m="1" x="945"/>
        <item m="1" x="936"/>
        <item m="1" x="950"/>
        <item m="1" x="2108"/>
        <item m="1" x="2508"/>
        <item m="1" x="2531"/>
        <item m="1" x="2502"/>
        <item m="1" x="1503"/>
        <item m="1" x="2109"/>
        <item m="1" x="546"/>
        <item m="1" x="2544"/>
        <item m="1" x="2476"/>
        <item m="1" x="2494"/>
        <item m="1" x="1413"/>
        <item m="1" x="488"/>
        <item m="1" x="1384"/>
        <item m="1" x="1489"/>
        <item m="1" x="1910"/>
        <item m="1" x="2384"/>
        <item m="1" x="2695"/>
        <item m="1" x="1374"/>
        <item m="1" x="2671"/>
        <item m="1" x="1928"/>
        <item m="1" x="1179"/>
        <item m="1" x="1498"/>
        <item m="1" x="1362"/>
        <item m="1" x="837"/>
        <item m="1" x="3000"/>
        <item m="1" x="2554"/>
        <item m="1" x="2503"/>
        <item m="1" x="951"/>
        <item m="1" x="1023"/>
        <item m="1" x="784"/>
        <item m="1" x="2522"/>
        <item m="1" x="1955"/>
        <item m="1" x="1380"/>
        <item m="1" x="1393"/>
        <item m="1" x="1385"/>
        <item m="1" x="1410"/>
        <item m="1" x="2791"/>
        <item m="1" x="1493"/>
        <item m="1" x="2517"/>
        <item m="1" x="1920"/>
        <item m="1" x="1904"/>
        <item m="1" x="1557"/>
        <item m="1" x="2477"/>
        <item m="1" x="1367"/>
        <item m="1" x="1483"/>
        <item m="1" x="573"/>
        <item m="1" x="1113"/>
        <item m="1" x="1500"/>
        <item m="1" x="1541"/>
        <item m="1" x="1462"/>
        <item m="1" x="1452"/>
        <item m="1" x="1450"/>
        <item m="1" x="599"/>
        <item m="1" x="1477"/>
        <item m="1" x="2483"/>
        <item m="1" x="1912"/>
        <item m="1" x="1469"/>
        <item m="1" x="719"/>
        <item m="1" x="1903"/>
        <item m="1" x="1566"/>
        <item m="1" x="1519"/>
        <item m="1" x="1478"/>
        <item m="1" x="2012"/>
        <item m="1" x="3027"/>
        <item m="1" x="2100"/>
        <item m="1" x="1507"/>
        <item m="1" x="3019"/>
        <item m="1" x="1443"/>
        <item m="1" x="917"/>
        <item m="1" x="1089"/>
        <item m="1" x="2515"/>
        <item m="1" x="1772"/>
        <item m="1" x="1554"/>
        <item m="1" x="2986"/>
        <item m="1" x="1464"/>
        <item m="1" x="2190"/>
        <item m="1" x="1468"/>
        <item m="1" x="2523"/>
        <item m="1" x="1446"/>
        <item m="1" x="2319"/>
        <item m="1" x="555"/>
        <item m="1" x="2528"/>
        <item m="1" x="2321"/>
        <item m="1" x="2317"/>
        <item m="1" x="2532"/>
        <item m="1" x="2261"/>
        <item m="1" x="2369"/>
        <item m="1" x="2408"/>
        <item m="1" x="1442"/>
        <item m="1" x="2403"/>
        <item m="1" x="2479"/>
        <item m="1" x="2473"/>
        <item m="1" x="1789"/>
        <item m="1" x="1787"/>
        <item m="1" x="2272"/>
        <item m="1" x="416"/>
        <item m="1" x="2470"/>
        <item m="1" x="2683"/>
        <item m="1" x="530"/>
        <item m="1" x="544"/>
        <item m="1" x="411"/>
        <item m="1" x="1019"/>
        <item m="1" x="1441"/>
        <item m="1" x="561"/>
        <item m="1" x="401"/>
        <item m="1" x="550"/>
        <item m="1" x="1445"/>
        <item m="1" x="2489"/>
        <item m="1" x="407"/>
        <item m="1" x="2482"/>
        <item m="1" x="535"/>
        <item m="1" x="403"/>
        <item m="1" x="2362"/>
        <item m="1" x="2399"/>
        <item m="1" x="1793"/>
        <item m="1" x="2433"/>
        <item m="1" x="2519"/>
        <item m="1" x="419"/>
        <item m="1" x="1205"/>
        <item m="1" x="1040"/>
        <item m="1" x="540"/>
        <item m="1" x="1212"/>
        <item m="1" x="2672"/>
        <item m="1" x="2676"/>
        <item m="1" x="1202"/>
        <item m="1" x="582"/>
        <item m="1" x="534"/>
        <item m="1" x="2481"/>
        <item m="1" x="547"/>
        <item m="1" x="652"/>
        <item m="1" x="2232"/>
        <item m="1" x="1862"/>
        <item m="1" x="2088"/>
        <item m="1" x="1146"/>
        <item m="1" x="805"/>
        <item m="1" x="1208"/>
        <item m="1" x="1148"/>
        <item m="1" x="1459"/>
        <item m="1" x="1972"/>
        <item m="1" x="2770"/>
        <item m="1" x="952"/>
        <item m="1" x="1077"/>
        <item m="1" x="2573"/>
        <item m="1" x="2415"/>
        <item m="1" x="2861"/>
        <item m="1" x="2271"/>
        <item m="1" x="2296"/>
        <item m="1" x="385"/>
        <item m="1" x="858"/>
        <item m="1" x="877"/>
        <item m="1" x="878"/>
        <item m="1" x="1615"/>
        <item m="1" x="2354"/>
        <item m="1" x="2896"/>
        <item m="1" x="2009"/>
        <item m="1" x="2764"/>
        <item m="1" x="2940"/>
        <item m="1" x="1748"/>
        <item m="1" x="1782"/>
        <item m="1" x="1784"/>
        <item m="1" x="2343"/>
        <item m="1" x="2001"/>
        <item m="1" x="2004"/>
        <item m="1" x="2336"/>
        <item m="1" x="2339"/>
        <item m="1" x="2341"/>
        <item m="1" x="1896"/>
        <item m="1" x="2617"/>
        <item m="1" x="2270"/>
        <item m="1" x="2471"/>
        <item m="1" x="2370"/>
        <item m="1" x="2363"/>
        <item m="1" x="2379"/>
        <item m="1" x="2937"/>
        <item x="9"/>
        <item m="1" x="1764"/>
        <item m="1" x="2382"/>
        <item m="1" x="2266"/>
        <item m="1" x="2331"/>
        <item m="1" x="2334"/>
        <item m="1" x="2338"/>
        <item m="1" x="2359"/>
        <item m="1" x="2367"/>
        <item m="1" x="2376"/>
        <item m="1" x="2935"/>
        <item m="1" x="2761"/>
        <item m="1" x="2875"/>
        <item m="1" x="2873"/>
        <item m="1" x="1908"/>
        <item m="1" x="673"/>
        <item m="1" x="2221"/>
        <item m="1" x="1767"/>
        <item m="1" x="527"/>
        <item m="1" x="2306"/>
        <item m="1" x="1929"/>
        <item m="1" x="2029"/>
        <item m="1" x="2562"/>
        <item m="1" x="2289"/>
        <item m="1" x="344"/>
        <item m="1" x="2756"/>
        <item m="1" x="874"/>
        <item m="1" x="2093"/>
        <item m="1" x="2934"/>
        <item m="1" x="2747"/>
        <item m="1" x="2752"/>
        <item m="1" x="735"/>
        <item m="1" x="2269"/>
        <item m="1" x="2071"/>
        <item m="1" x="2445"/>
        <item m="1" x="1082"/>
        <item m="1" x="772"/>
        <item m="1" x="1774"/>
        <item m="1" x="2742"/>
        <item m="1" x="2735"/>
        <item m="1" x="2738"/>
        <item x="7"/>
        <item m="1" x="861"/>
        <item m="1" x="2711"/>
        <item m="1" x="2973"/>
        <item m="1" x="1216"/>
        <item m="1" x="2018"/>
        <item m="1" x="1383"/>
        <item m="1" x="957"/>
        <item m="1" x="532"/>
        <item m="1" x="1069"/>
        <item m="1" x="1756"/>
        <item m="1" x="2659"/>
        <item m="1" x="2662"/>
        <item m="1" x="2275"/>
        <item m="1" x="2194"/>
        <item m="1" x="1079"/>
        <item m="1" x="1047"/>
        <item m="1" x="1053"/>
        <item m="1" x="1041"/>
        <item m="1" x="1044"/>
        <item m="1" x="1016"/>
        <item m="1" x="649"/>
        <item m="1" x="1570"/>
        <item m="1" x="377"/>
        <item m="1" x="1214"/>
        <item m="1" x="1471"/>
        <item m="1" x="2509"/>
        <item m="1" x="381"/>
        <item m="1" x="2031"/>
        <item m="1" x="959"/>
        <item m="1" x="2230"/>
        <item m="1" x="584"/>
        <item m="1" x="2389"/>
        <item m="1" x="1052"/>
        <item m="1" x="2668"/>
        <item m="1" x="2090"/>
        <item m="1" x="2974"/>
        <item m="1" x="2890"/>
        <item m="1" x="2892"/>
        <item m="1" x="1501"/>
        <item m="1" x="1523"/>
        <item m="1" x="2667"/>
        <item m="1" x="2032"/>
        <item m="1" x="1944"/>
        <item m="1" x="2264"/>
        <item m="1" x="493"/>
        <item m="1" x="745"/>
        <item m="1" x="2831"/>
        <item m="1" x="1510"/>
        <item m="1" x="2567"/>
        <item m="1" x="1397"/>
        <item m="1" x="954"/>
        <item m="1" x="2259"/>
        <item m="1" x="801"/>
        <item m="1" x="2616"/>
        <item m="1" x="1614"/>
        <item m="1" x="1309"/>
        <item m="1" x="848"/>
        <item m="1" x="2352"/>
        <item m="1" x="2741"/>
        <item m="1" x="1609"/>
        <item m="1" x="2966"/>
        <item m="1" x="2268"/>
        <item m="1" x="786"/>
        <item m="1" x="2446"/>
        <item m="1" x="2971"/>
        <item m="1" x="1852"/>
        <item m="1" x="351"/>
        <item m="1" x="1849"/>
        <item m="1" x="1431"/>
        <item m="1" x="2808"/>
        <item m="1" x="2613"/>
        <item m="1" x="1074"/>
        <item m="1" x="2817"/>
        <item m="1" x="1779"/>
        <item m="1" x="2566"/>
        <item m="1" x="466"/>
        <item m="1" x="1611"/>
        <item m="1" x="1652"/>
        <item m="1" x="1636"/>
        <item m="1" x="2841"/>
        <item m="1" x="2811"/>
        <item m="1" x="2734"/>
        <item m="1" x="1651"/>
        <item m="1" x="1832"/>
        <item m="1" x="1048"/>
        <item m="1" x="603"/>
        <item m="1" x="855"/>
        <item m="1" x="2285"/>
        <item m="1" x="598"/>
        <item m="1" x="2802"/>
        <item m="1" x="3025"/>
        <item m="1" x="1694"/>
        <item m="1" x="2815"/>
        <item m="1" x="601"/>
        <item m="1" x="2745"/>
        <item m="1" x="2796"/>
        <item m="1" x="2281"/>
        <item m="1" x="737"/>
        <item m="1" x="2442"/>
        <item m="1" x="1643"/>
        <item m="1" x="1273"/>
        <item m="1" x="1882"/>
        <item m="1" x="595"/>
        <item m="1" x="597"/>
        <item m="1" x="1619"/>
        <item m="1" x="2304"/>
        <item m="1" x="1648"/>
        <item m="1" x="2095"/>
        <item m="1" x="1111"/>
        <item m="1" x="596"/>
        <item m="1" x="2666"/>
        <item m="1" x="1627"/>
        <item m="1" x="1626"/>
        <item m="1" x="2300"/>
        <item m="1" x="1616"/>
        <item m="1" x="600"/>
        <item m="1" x="2468"/>
        <item m="1" x="1894"/>
        <item m="1" x="2716"/>
        <item m="1" x="1622"/>
        <item m="1" x="1630"/>
        <item m="1" x="2277"/>
        <item m="1" x="2123"/>
        <item m="1" x="1639"/>
        <item m="1" x="1621"/>
        <item m="1" x="420"/>
        <item m="1" x="592"/>
        <item m="1" x="1045"/>
        <item m="1" x="1067"/>
        <item m="1" x="1341"/>
        <item m="1" x="405"/>
        <item m="1" x="409"/>
        <item m="1" x="412"/>
        <item m="1" x="418"/>
        <item m="1" x="1063"/>
        <item m="1" x="415"/>
        <item m="1" x="2461"/>
        <item m="1" x="373"/>
        <item m="1" x="1345"/>
        <item m="1" x="787"/>
        <item m="1" x="790"/>
        <item m="1" x="797"/>
        <item m="1" x="802"/>
        <item m="1" x="1678"/>
        <item m="1" x="1679"/>
        <item m="1" x="1034"/>
        <item m="1" x="1038"/>
        <item m="1" x="1550"/>
        <item m="1" x="1674"/>
        <item m="1" x="2540"/>
        <item m="1" x="1092"/>
        <item m="1" x="2290"/>
        <item m="1" x="752"/>
        <item m="1" x="2257"/>
        <item m="1" x="2826"/>
        <item m="1" x="1755"/>
        <item m="1" x="1978"/>
        <item m="1" x="2298"/>
        <item m="1" x="2418"/>
        <item m="1" x="417"/>
        <item m="1" x="1661"/>
        <item m="1" x="1711"/>
        <item m="1" x="393"/>
        <item m="1" x="545"/>
        <item m="1" x="1506"/>
        <item m="1" x="2801"/>
        <item m="1" x="1677"/>
        <item m="1" x="447"/>
        <item m="1" x="2608"/>
        <item m="1" x="1190"/>
        <item m="1" x="843"/>
        <item m="1" x="1112"/>
        <item m="1" x="1670"/>
        <item m="1" x="976"/>
        <item m="1" x="1974"/>
        <item m="1" x="1168"/>
        <item m="1" x="1749"/>
        <item m="1" x="1211"/>
        <item m="1" x="831"/>
        <item m="1" x="813"/>
        <item m="1" x="1064"/>
        <item m="1" x="1425"/>
        <item m="1" x="2413"/>
        <item m="1" x="1702"/>
        <item m="1" x="442"/>
        <item m="1" x="1136"/>
        <item m="1" x="2563"/>
        <item m="1" x="2963"/>
        <item m="1" x="923"/>
        <item m="1" x="2698"/>
        <item m="1" x="2549"/>
        <item m="1" x="2097"/>
        <item m="1" x="2526"/>
        <item m="1" x="1992"/>
        <item m="1" x="524"/>
        <item m="1" x="1672"/>
        <item m="1" x="1269"/>
        <item m="1" x="793"/>
        <item m="1" x="2104"/>
        <item m="1" x="1224"/>
        <item m="1" x="3038"/>
        <item m="1" x="2691"/>
        <item m="1" x="2694"/>
        <item m="1" x="2969"/>
        <item m="1" x="981"/>
        <item m="1" x="2426"/>
        <item m="1" x="810"/>
        <item m="1" x="2434"/>
        <item m="1" x="3028"/>
        <item m="1" x="1103"/>
        <item m="1" x="1093"/>
        <item m="1" x="2447"/>
        <item m="1" x="1734"/>
        <item m="1" x="2176"/>
        <item m="1" x="1003"/>
        <item m="1" x="444"/>
        <item m="1" x="1753"/>
        <item m="1" x="2142"/>
        <item m="1" x="2132"/>
        <item m="1" x="809"/>
        <item m="1" x="1122"/>
        <item m="1" x="568"/>
        <item m="1" x="3037"/>
        <item m="1" x="342"/>
        <item m="1" x="2202"/>
        <item m="1" x="438"/>
        <item m="1" x="2977"/>
        <item m="1" x="337"/>
        <item m="1" x="2444"/>
        <item m="1" x="2452"/>
        <item m="1" x="2161"/>
        <item m="1" x="857"/>
        <item m="1" x="375"/>
        <item m="1" x="369"/>
        <item m="1" x="359"/>
        <item m="1" x="2174"/>
        <item m="1" x="1001"/>
        <item m="1" x="441"/>
        <item m="1" x="2380"/>
        <item m="1" x="1663"/>
        <item m="1" x="2879"/>
        <item m="1" x="2948"/>
        <item m="1" x="1090"/>
        <item m="1" x="2431"/>
        <item m="1" x="1061"/>
        <item m="1" x="2450"/>
        <item m="1" x="2939"/>
        <item m="1" x="2177"/>
        <item m="1" x="2944"/>
        <item m="1" x="2178"/>
        <item m="1" x="2952"/>
        <item m="1" x="876"/>
        <item m="1" x="1292"/>
        <item m="1" x="2145"/>
        <item m="1" x="2424"/>
        <item m="1" x="2149"/>
        <item m="1" x="1078"/>
        <item m="1" x="2941"/>
        <item m="1" x="2372"/>
        <item m="1" x="2955"/>
        <item m="1" x="1487"/>
        <item m="1" x="1236"/>
        <item m="1" x="2490"/>
        <item m="1" x="2484"/>
        <item m="1" x="2395"/>
        <item m="1" x="1021"/>
        <item m="1" x="1027"/>
        <item m="1" x="1257"/>
        <item m="1" x="2387"/>
        <item m="1" x="2234"/>
        <item m="1" x="2151"/>
        <item m="1" x="2674"/>
        <item m="1" x="378"/>
        <item m="1" x="2908"/>
        <item m="1" x="354"/>
        <item m="1" x="2164"/>
        <item m="1" x="1022"/>
        <item m="1" x="2229"/>
        <item m="1" x="3014"/>
        <item m="1" x="3023"/>
        <item m="1" x="1088"/>
        <item m="1" x="1073"/>
        <item m="1" x="1037"/>
        <item m="1" x="1024"/>
        <item m="1" x="1511"/>
        <item m="1" x="366"/>
        <item m="1" x="1033"/>
        <item m="1" x="440"/>
        <item m="1" x="520"/>
        <item m="1" x="517"/>
        <item m="1" x="998"/>
        <item m="1" x="1727"/>
        <item m="1" x="2157"/>
        <item m="1" x="2156"/>
        <item m="1" x="2846"/>
        <item m="1" x="1723"/>
        <item m="1" x="2165"/>
        <item m="1" x="1100"/>
        <item m="1" x="339"/>
        <item m="1" x="3041"/>
        <item m="1" x="995"/>
        <item m="1" x="2120"/>
        <item m="1" x="1005"/>
        <item m="1" x="2170"/>
        <item m="1" x="2192"/>
        <item m="1" x="815"/>
        <item m="1" x="2637"/>
        <item m="1" x="2172"/>
        <item m="1" x="2496"/>
        <item m="1" x="2168"/>
        <item m="1" x="2127"/>
        <item m="1" x="1099"/>
        <item m="1" x="2163"/>
        <item m="1" x="2173"/>
        <item m="1" x="2386"/>
        <item m="1" x="1301"/>
        <item m="1" x="864"/>
        <item m="1" x="2627"/>
        <item m="1" x="2500"/>
        <item m="1" x="2438"/>
        <item m="1" x="1028"/>
        <item m="1" x="2391"/>
        <item m="1" x="3033"/>
        <item m="1" x="1086"/>
        <item m="1" x="2263"/>
        <item m="1" x="766"/>
        <item m="1" x="2400"/>
        <item m="1" x="812"/>
        <item m="1" x="2938"/>
        <item m="1" x="2153"/>
        <item m="1" x="2967"/>
        <item m="1" x="823"/>
        <item m="1" x="2137"/>
        <item m="1" x="820"/>
        <item m="1" x="1083"/>
        <item m="1" x="1725"/>
        <item m="1" x="1434"/>
        <item m="1" x="2356"/>
        <item m="1" x="2047"/>
        <item m="1" x="3017"/>
        <item m="1" x="2155"/>
        <item m="1" x="796"/>
        <item m="1" x="2957"/>
        <item m="1" x="2548"/>
        <item m="1" x="2511"/>
        <item m="1" x="2878"/>
        <item m="1" x="2315"/>
        <item m="1" x="2102"/>
        <item m="1" x="839"/>
        <item m="1" x="1447"/>
        <item m="1" x="2374"/>
        <item m="1" x="821"/>
        <item m="1" x="1827"/>
        <item m="1" x="2778"/>
        <item m="1" x="1407"/>
        <item m="1" x="1218"/>
        <item m="1" x="1342"/>
        <item m="1" x="920"/>
        <item m="1" x="3010"/>
        <item m="1" x="1538"/>
        <item m="1" x="2943"/>
        <item m="1" x="454"/>
        <item m="1" x="1157"/>
        <item m="1" x="2968"/>
        <item m="1" x="2962"/>
        <item m="1" x="2959"/>
        <item m="1" x="2936"/>
        <item m="1" x="1583"/>
        <item m="1" x="2972"/>
        <item m="1" x="1018"/>
        <item m="1" x="569"/>
        <item m="1" x="1590"/>
        <item m="1" x="996"/>
        <item m="1" x="1865"/>
        <item m="1" x="3006"/>
        <item m="1" x="3003"/>
        <item m="1" x="2602"/>
        <item m="1" x="2421"/>
        <item m="1" x="1495"/>
        <item m="1" x="2722"/>
        <item m="1" x="2726"/>
        <item m="1" x="829"/>
        <item m="1" x="897"/>
        <item m="1" x="1829"/>
        <item m="1" x="2998"/>
        <item m="1" x="1835"/>
        <item m="1" x="2041"/>
        <item m="1" x="984"/>
        <item m="1" x="1641"/>
        <item m="1" x="800"/>
        <item m="1" x="2312"/>
        <item m="1" x="1274"/>
        <item m="1" x="2247"/>
        <item m="1" x="895"/>
        <item m="1" x="3042"/>
        <item m="1" x="1159"/>
        <item m="1" x="997"/>
        <item m="1" x="1603"/>
        <item m="1" x="445"/>
        <item m="1" x="2630"/>
        <item m="1" x="1790"/>
        <item m="1" x="1545"/>
        <item m="1" x="1792"/>
        <item m="1" x="556"/>
        <item m="1" x="2625"/>
        <item m="1" x="1586"/>
        <item m="1" x="2704"/>
        <item m="1" x="2970"/>
        <item m="1" x="902"/>
        <item m="1" x="1144"/>
        <item m="1" x="1032"/>
        <item m="1" x="962"/>
        <item m="1" x="1054"/>
        <item m="1" x="2182"/>
        <item m="1" x="2961"/>
        <item m="1" x="1951"/>
        <item m="1" x="1688"/>
        <item m="1" x="1809"/>
        <item m="1" x="402"/>
        <item m="1" x="2904"/>
        <item m="1" x="2869"/>
        <item m="1" x="2657"/>
        <item m="1" x="2942"/>
        <item m="1" x="615"/>
        <item m="1" x="1363"/>
        <item m="1" x="865"/>
        <item m="1" x="2883"/>
        <item m="1" x="2520"/>
        <item m="1" x="1294"/>
        <item m="1" x="991"/>
        <item m="1" x="562"/>
        <item m="1" x="2205"/>
        <item m="1" x="1400"/>
        <item m="1" x="2618"/>
        <item m="1" x="619"/>
        <item m="1" x="2911"/>
        <item m="1" x="903"/>
        <item m="1" x="2125"/>
        <item m="1" x="1369"/>
        <item m="1" x="694"/>
        <item m="1" x="1930"/>
        <item m="1" x="591"/>
        <item m="1" x="1548"/>
        <item x="0"/>
        <item x="1"/>
        <item x="2"/>
        <item x="3"/>
        <item x="5"/>
        <item x="8"/>
        <item x="10"/>
        <item x="12"/>
        <item x="13"/>
        <item x="14"/>
        <item x="15"/>
        <item x="16"/>
        <item x="17"/>
        <item x="20"/>
        <item x="23"/>
        <item x="25"/>
        <item x="28"/>
        <item x="32"/>
        <item x="33"/>
        <item x="34"/>
        <item x="11"/>
        <item x="36"/>
        <item x="43"/>
        <item x="4"/>
        <item x="48"/>
        <item x="49"/>
        <item x="50"/>
        <item x="52"/>
        <item x="53"/>
        <item x="54"/>
        <item x="55"/>
        <item x="56"/>
        <item x="57"/>
        <item x="61"/>
        <item x="63"/>
        <item x="64"/>
        <item x="65"/>
        <item x="66"/>
        <item x="47"/>
        <item x="70"/>
        <item x="77"/>
        <item x="78"/>
        <item x="60"/>
        <item x="83"/>
        <item x="84"/>
        <item x="91"/>
        <item x="92"/>
        <item x="93"/>
        <item x="94"/>
        <item x="97"/>
        <item x="102"/>
        <item x="103"/>
        <item x="104"/>
        <item x="105"/>
        <item x="112"/>
        <item x="113"/>
        <item x="114"/>
        <item x="115"/>
        <item x="138"/>
        <item x="139"/>
        <item x="140"/>
        <item x="141"/>
        <item x="142"/>
        <item x="143"/>
        <item x="151"/>
        <item x="152"/>
        <item x="153"/>
        <item x="154"/>
        <item x="155"/>
        <item x="156"/>
        <item x="168"/>
        <item x="169"/>
        <item x="170"/>
        <item x="171"/>
        <item x="116"/>
        <item x="123"/>
        <item x="172"/>
        <item x="173"/>
        <item x="174"/>
        <item x="176"/>
        <item x="177"/>
        <item x="178"/>
        <item x="158"/>
        <item x="179"/>
        <item x="136"/>
        <item x="180"/>
        <item x="181"/>
        <item x="182"/>
        <item x="183"/>
        <item x="185"/>
        <item x="186"/>
        <item x="187"/>
        <item x="188"/>
        <item x="189"/>
        <item x="190"/>
        <item x="124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19"/>
        <item x="268"/>
        <item x="269"/>
        <item x="270"/>
        <item x="271"/>
        <item x="272"/>
        <item x="273"/>
        <item x="274"/>
        <item x="275"/>
        <item x="276"/>
        <item x="277"/>
        <item x="86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6"/>
        <item x="18"/>
        <item x="21"/>
        <item x="22"/>
        <item x="24"/>
        <item x="26"/>
        <item x="27"/>
        <item x="29"/>
        <item x="30"/>
        <item x="31"/>
        <item x="35"/>
        <item x="37"/>
        <item x="38"/>
        <item x="39"/>
        <item x="40"/>
        <item x="41"/>
        <item x="42"/>
        <item x="44"/>
        <item x="45"/>
        <item x="46"/>
        <item x="51"/>
        <item x="58"/>
        <item x="59"/>
        <item x="62"/>
        <item x="67"/>
        <item x="68"/>
        <item x="69"/>
        <item x="71"/>
        <item x="72"/>
        <item x="73"/>
        <item x="74"/>
        <item x="75"/>
        <item x="76"/>
        <item x="79"/>
        <item x="80"/>
        <item x="81"/>
        <item x="82"/>
        <item x="85"/>
        <item x="87"/>
        <item x="88"/>
        <item x="89"/>
        <item x="90"/>
        <item x="95"/>
        <item x="96"/>
        <item x="98"/>
        <item x="99"/>
        <item x="100"/>
        <item x="101"/>
        <item x="106"/>
        <item x="107"/>
        <item x="108"/>
        <item x="109"/>
        <item x="110"/>
        <item x="111"/>
        <item x="117"/>
        <item x="118"/>
        <item x="119"/>
        <item x="120"/>
        <item x="121"/>
        <item x="122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44"/>
        <item x="145"/>
        <item x="146"/>
        <item x="147"/>
        <item x="148"/>
        <item x="149"/>
        <item x="150"/>
        <item x="157"/>
        <item x="159"/>
        <item x="160"/>
        <item x="161"/>
        <item x="162"/>
        <item x="163"/>
        <item x="164"/>
        <item x="165"/>
        <item x="166"/>
        <item x="167"/>
        <item x="175"/>
        <item m="1" x="452"/>
        <item m="1" x="459"/>
        <item m="1" x="2316"/>
        <item m="1" x="2160"/>
        <item m="1" x="1786"/>
        <item m="1" x="1255"/>
        <item m="1" x="1801"/>
        <item m="1" x="2026"/>
        <item m="1" x="2211"/>
        <item m="1" x="1130"/>
        <item m="1" x="1351"/>
        <item m="1" x="1745"/>
        <item m="1" x="1375"/>
        <item m="1" x="2282"/>
        <item m="1" x="433"/>
        <item m="1" x="1293"/>
        <item m="1" x="2206"/>
        <item m="1" x="336"/>
        <item m="1" x="1167"/>
        <item m="1" x="610"/>
        <item m="1" x="1600"/>
        <item m="1" x="3018"/>
        <item m="1" x="654"/>
        <item m="1" x="2708"/>
        <item m="1" x="1295"/>
        <item m="1" x="2117"/>
        <item m="1" x="1197"/>
        <item m="1" x="627"/>
        <item m="1" x="2059"/>
        <item m="1" x="661"/>
        <item m="1" x="1354"/>
        <item m="1" x="2322"/>
        <item m="1" x="1463"/>
        <item m="1" x="2213"/>
        <item m="1" x="2727"/>
        <item m="1" x="669"/>
        <item m="1" x="1339"/>
        <item m="1" x="2309"/>
        <item m="1" x="1314"/>
        <item m="1" x="2559"/>
        <item m="1" x="2651"/>
        <item m="1" x="2929"/>
        <item m="1" x="2844"/>
        <item m="1" x="1185"/>
        <item m="1" x="376"/>
        <item m="1" x="1530"/>
        <item m="1" x="335"/>
        <item m="1" x="1316"/>
        <item m="1" x="1763"/>
        <item m="1" x="852"/>
        <item m="1" x="580"/>
        <item m="1" x="2106"/>
        <item m="1" x="498"/>
        <item m="1" x="2759"/>
        <item m="1" x="2794"/>
        <item m="1" x="2042"/>
        <item m="1" x="389"/>
        <item m="1" x="2025"/>
        <item m="1" x="2814"/>
        <item m="1" x="918"/>
        <item m="1" x="2126"/>
        <item m="1" x="844"/>
        <item m="1" x="685"/>
        <item m="1" x="1118"/>
        <item m="1" x="2840"/>
        <item m="1" x="1766"/>
        <item m="1" x="1697"/>
        <item m="1" x="2774"/>
        <item m="1" x="2443"/>
        <item m="1" x="2555"/>
        <item m="1" x="2632"/>
        <item m="1" x="2705"/>
        <item m="1" x="2437"/>
        <item m="1" x="1984"/>
        <item m="1" x="2027"/>
        <item m="1" x="761"/>
        <item m="1" x="2793"/>
        <item m="1" x="799"/>
        <item m="1" x="1675"/>
        <item m="1" x="2679"/>
        <item m="1" x="2307"/>
        <item m="1" x="2769"/>
        <item m="1" x="742"/>
        <item m="1" x="842"/>
        <item m="1" x="400"/>
        <item m="1" x="602"/>
        <item m="1" x="2440"/>
        <item m="1" x="921"/>
        <item m="1" x="2696"/>
        <item m="1" x="690"/>
        <item m="1" x="1777"/>
        <item m="1" x="2768"/>
        <item m="1" x="1147"/>
        <item m="1" x="1693"/>
        <item m="1" x="360"/>
        <item m="1" x="1802"/>
        <item m="1" x="1162"/>
        <item m="1" x="395"/>
        <item m="1" x="2688"/>
        <item m="1" x="2675"/>
        <item m="1" x="847"/>
        <item m="1" x="1350"/>
        <item m="1" x="2717"/>
        <item m="1" x="1287"/>
        <item m="1" x="1681"/>
        <item m="1" x="2639"/>
        <item m="1" x="1898"/>
        <item m="1" x="1924"/>
        <item m="1" x="2713"/>
        <item m="1" x="2181"/>
        <item m="1" x="1433"/>
        <item m="1" x="2621"/>
        <item m="1" x="1634"/>
        <item m="1" x="467"/>
        <item m="1" x="2113"/>
        <item m="1" x="2927"/>
        <item m="1" x="2777"/>
        <item m="1" x="1666"/>
        <item m="1" x="2746"/>
        <item m="1" x="392"/>
        <item m="1" x="2710"/>
        <item m="1" x="629"/>
        <item m="1" x="2701"/>
        <item m="1" x="371"/>
        <item m="1" x="2681"/>
        <item m="1" x="2423"/>
        <item m="1" x="2916"/>
        <item m="1" x="2740"/>
        <item m="1" x="1923"/>
        <item m="1" x="632"/>
        <item m="1" x="1686"/>
        <item m="1" x="564"/>
        <item m="1" x="2960"/>
        <item m="1" x="2210"/>
        <item m="1" x="2398"/>
        <item m="1" x="1068"/>
        <item m="1" x="370"/>
        <item m="1" x="3011"/>
        <item m="1" x="1075"/>
        <item m="1" x="1806"/>
        <item m="1" x="2328"/>
        <item m="1" x="3026"/>
        <item m="1" x="3021"/>
        <item m="1" x="2725"/>
        <item m="1" x="1841"/>
        <item m="1" x="2697"/>
        <item m="1" x="1195"/>
        <item m="1" x="2314"/>
        <item m="1" x="2390"/>
        <item m="1" x="886"/>
        <item m="1" x="2159"/>
        <item m="1" x="2719"/>
        <item m="1" x="1878"/>
        <item m="1" x="2950"/>
        <item m="1" x="2428"/>
        <item m="1" x="514"/>
        <item m="1" x="365"/>
        <item m="1" x="1825"/>
        <item m="1" x="361"/>
        <item m="1" x="851"/>
        <item m="1" x="2956"/>
        <item m="1" x="1833"/>
        <item m="1" x="1139"/>
        <item m="1" x="1573"/>
        <item m="1" x="1969"/>
        <item m="1" x="2894"/>
        <item m="1" x="2930"/>
        <item m="1" x="1039"/>
        <item m="1" x="2571"/>
        <item m="1" x="958"/>
        <item m="1" x="1020"/>
        <item m="1" x="2715"/>
        <item m="1" x="1476"/>
        <item m="1" x="2699"/>
        <item m="1" x="1014"/>
        <item m="1" x="2405"/>
        <item m="1" x="2411"/>
        <item m="1" x="1465"/>
        <item m="1" x="1810"/>
        <item m="1" x="1617"/>
        <item m="1" x="1565"/>
        <item m="1" x="525"/>
        <item m="1" x="2909"/>
        <item m="1" x="2898"/>
        <item m="1" x="1117"/>
        <item m="1" x="2459"/>
        <item m="1" x="3013"/>
        <item m="1" x="3008"/>
        <item m="1" x="2999"/>
        <item m="1" x="1357"/>
        <item m="1" x="2620"/>
        <item m="1" x="894"/>
        <item m="1" x="887"/>
        <item m="1" x="2422"/>
        <item m="1" x="2427"/>
        <item m="1" x="1030"/>
        <item m="1" x="1850"/>
        <item m="1" x="2366"/>
        <item m="1" x="626"/>
        <item m="1" x="1330"/>
        <item m="1" x="2175"/>
        <item m="1" x="622"/>
        <item m="1" x="1874"/>
        <item m="1" x="1389"/>
        <item m="1" x="767"/>
        <item m="1" x="2187"/>
        <item m="1" x="2690"/>
        <item m="1" x="1315"/>
        <item m="1" x="2978"/>
        <item m="1" x="884"/>
        <item m="1" x="2096"/>
        <item m="1" x="2518"/>
        <item m="1" x="1589"/>
        <item m="1" x="1114"/>
        <item m="1" x="1568"/>
        <item m="1" x="2429"/>
        <item m="1" x="2547"/>
        <item m="1" x="2997"/>
        <item m="1" x="806"/>
        <item m="1" x="2070"/>
        <item m="1" x="1760"/>
        <item m="1" x="2279"/>
        <item m="1" x="2197"/>
        <item m="1" x="1126"/>
        <item m="1" x="2513"/>
        <item m="1" x="352"/>
        <item m="1" x="1640"/>
        <item m="1" x="1999"/>
        <item m="1" x="677"/>
        <item m="1" x="1853"/>
        <item m="1" x="2054"/>
        <item m="1" x="1740"/>
        <item m="1" x="2262"/>
        <item m="1" x="1035"/>
        <item m="1" x="2749"/>
        <item m="1" x="1173"/>
        <item m="1" x="807"/>
        <item m="1" x="1056"/>
        <item m="1" x="656"/>
        <item m="1" x="1481"/>
        <item m="1" x="609"/>
        <item m="1" x="1494"/>
        <item m="1" x="1499"/>
        <item m="1" x="988"/>
        <item m="1" x="482"/>
        <item m="1" x="715"/>
        <item m="1" x="1095"/>
        <item m="1" x="795"/>
        <item m="1" x="727"/>
        <item m="1" x="1848"/>
        <item m="1" x="803"/>
        <item m="1" x="1883"/>
        <item m="1" x="2409"/>
        <item m="1" x="1606"/>
        <item m="1" x="2721"/>
        <item m="1" x="2201"/>
        <item m="1" x="2007"/>
        <item m="1" x="2487"/>
        <item m="1" x="1348"/>
        <item m="1" x="1730"/>
        <item m="1" x="345"/>
        <item m="1" x="2931"/>
        <item m="1" x="1926"/>
        <item m="1" x="1398"/>
        <item m="1" x="577"/>
        <item m="1" x="575"/>
        <item m="1" x="926"/>
        <item m="1" x="1349"/>
        <item m="1" x="1738"/>
        <item m="1" x="780"/>
        <item m="1" x="2089"/>
        <item m="1" x="1291"/>
        <item m="1" x="382"/>
        <item m="1" x="1470"/>
        <item m="1" x="2016"/>
        <item m="1" x="1668"/>
        <item m="1" x="763"/>
        <item m="1" x="2587"/>
        <item m="1" x="2707"/>
        <item m="1" x="2586"/>
        <item m="1" x="579"/>
        <item m="1" x="817"/>
        <item m="1" x="2064"/>
        <item m="1" x="2654"/>
        <item m="1" x="1591"/>
        <item m="1" x="2882"/>
        <item m="1" x="906"/>
        <item m="1" x="421"/>
        <item m="1" x="2301"/>
        <item m="1" x="2185"/>
        <item m="1" x="2860"/>
        <item m="1" x="1448"/>
        <item m="1" x="2207"/>
        <item m="1" x="1839"/>
        <item m="1" x="1171"/>
        <item m="1" x="1466"/>
        <item m="1" x="2947"/>
        <item m="1" x="578"/>
        <item m="1" x="1901"/>
        <item m="1" x="2237"/>
        <item m="1" x="2212"/>
        <item m="1" x="1973"/>
        <item m="1" x="1598"/>
        <item m="1" x="2847"/>
        <item m="1" x="2215"/>
        <item m="1" x="2055"/>
        <item m="1" x="2585"/>
        <item m="1" x="1036"/>
        <item m="1" x="1888"/>
        <item m="1" x="733"/>
        <item m="1" x="1080"/>
        <item m="1" x="394"/>
        <item m="1" x="1593"/>
        <item m="1" x="1660"/>
        <item m="1" x="967"/>
        <item m="1" x="1411"/>
        <item m="1" x="1279"/>
        <item m="1" x="2945"/>
        <item m="1" x="1312"/>
        <item m="1" x="2327"/>
        <item m="1" x="1537"/>
        <item m="1" x="1788"/>
        <item m="1" x="2921"/>
        <item m="1" x="2144"/>
        <item m="1" x="653"/>
        <item m="1" x="1741"/>
        <item m="1" x="511"/>
        <item m="1" x="1644"/>
        <item m="1" x="1424"/>
        <item m="1" x="724"/>
        <item m="1" x="2543"/>
        <item m="1" x="2730"/>
        <item m="1" x="1108"/>
        <item m="1" x="1310"/>
        <item m="1" x="2105"/>
        <item m="1" x="1731"/>
        <item m="1" x="867"/>
        <item m="1" x="526"/>
        <item m="1" x="426"/>
        <item m="1" x="1805"/>
        <item m="1" x="647"/>
        <item m="1" x="2670"/>
        <item m="1" x="866"/>
        <item m="1" x="1065"/>
        <item m="1" x="551"/>
        <item m="1" x="2186"/>
        <item m="1" x="1564"/>
        <item m="1" x="502"/>
        <item m="1" x="2217"/>
        <item m="1" x="1186"/>
        <item m="1" x="1527"/>
        <item m="1" x="2720"/>
        <item m="1" x="2220"/>
        <item m="1" x="1376"/>
        <item m="1" x="720"/>
        <item m="1" x="1386"/>
        <item m="1" x="1436"/>
        <item m="1" x="862"/>
        <item m="1" x="430"/>
        <item m="1" x="2925"/>
        <item m="1" x="1824"/>
        <item m="1" x="1571"/>
        <item m="1" x="374"/>
        <item m="1" x="3007"/>
        <item m="1" x="818"/>
        <item m="1" x="651"/>
        <item m="1" x="2949"/>
        <item m="1" x="554"/>
        <item m="1" x="2056"/>
        <item m="1" x="2799"/>
        <item m="1" x="2040"/>
        <item m="1" x="2492"/>
        <item m="1" x="1808"/>
        <item m="1" x="882"/>
        <item m="1" x="2061"/>
        <item m="1" x="428"/>
        <item m="1" x="1771"/>
        <item m="1" x="2923"/>
        <item m="1" x="908"/>
        <item m="1" x="838"/>
        <item m="1" x="2823"/>
        <item m="1" x="2692"/>
        <item m="1" x="432"/>
        <item m="1" x="457"/>
        <item m="1" x="1325"/>
        <item m="1" x="1733"/>
        <item m="1" x="2171"/>
        <item m="1" x="2193"/>
        <item m="1" x="2196"/>
        <item m="1" x="1604"/>
        <item m="1" x="883"/>
        <item m="1" x="2658"/>
        <item m="1" x="2924"/>
        <item m="1" x="2166"/>
        <item m="1" x="2233"/>
        <item m="1" x="565"/>
        <item m="1" x="2953"/>
        <item m="1" x="570"/>
        <item m="1" x="2589"/>
        <item m="1" x="836"/>
        <item m="1" x="841"/>
        <item m="1" x="2655"/>
        <item m="1" x="1676"/>
        <item m="1" x="2152"/>
        <item m="1" x="1887"/>
        <item m="1" x="3029"/>
        <item m="1" x="1277"/>
        <item m="1" x="1899"/>
        <item m="1" x="2864"/>
        <item m="1" x="2287"/>
        <item m="1" x="2199"/>
        <item m="1" x="1192"/>
        <item m="1" x="383"/>
        <item m="1" x="2677"/>
        <item m="1" x="666"/>
        <item m="1" x="2839"/>
        <item m="1" x="469"/>
        <item m="1" x="2086"/>
        <item m="1" x="3012"/>
        <item m="1" x="1936"/>
        <item m="1" x="3031"/>
        <item m="1" x="2358"/>
        <item m="1" x="757"/>
        <item m="1" x="1176"/>
        <item m="1" x="794"/>
        <item m="1" x="760"/>
        <item m="1" x="3022"/>
        <item m="1" x="2661"/>
        <item m="1" x="367"/>
        <item m="1" x="1927"/>
        <item m="1" x="828"/>
        <item m="1" x="2665"/>
        <item m="1" x="833"/>
        <item m="1" x="443"/>
        <item m="1" x="1893"/>
        <item m="1" x="2466"/>
        <item m="1" x="2462"/>
        <item m="1" x="1283"/>
        <item m="1" x="1758"/>
        <item m="1" x="2347"/>
        <item m="1" x="2169"/>
        <item m="1" x="1267"/>
        <item m="1" x="1278"/>
        <item m="1" x="406"/>
        <item m="1" x="413"/>
        <item m="1" x="1885"/>
        <item m="1" x="368"/>
        <item m="1" x="1196"/>
        <item m="1" x="358"/>
        <item m="1" x="2351"/>
        <item m="1" x="2098"/>
        <item m="1" x="1551"/>
        <item m="1" x="1555"/>
        <item m="1" x="2669"/>
        <item m="1" x="1172"/>
        <item m="1" x="2245"/>
        <item m="1" x="2989"/>
        <item m="1" x="2789"/>
        <item m="1" x="2907"/>
        <item m="1" x="2877"/>
        <item m="1" x="1536"/>
        <item m="1" x="826"/>
        <item m="1" x="1460"/>
        <item m="1" x="1970"/>
        <item m="1" x="1877"/>
        <item m="1" x="355"/>
        <item m="1" x="2060"/>
        <item m="1" x="2122"/>
        <item m="1" x="2964"/>
        <item m="1" x="1525"/>
        <item m="1" x="1097"/>
        <item m="1" x="2255"/>
        <item m="1" x="424"/>
        <item m="1" x="1967"/>
        <item m="1" x="718"/>
        <item m="1" x="2256"/>
        <item m="1" x="2868"/>
        <item m="1" x="2365"/>
        <item m="1" x="2057"/>
        <item m="1" x="607"/>
        <item m="1" x="1971"/>
        <item m="1" x="1107"/>
        <item m="1" x="422"/>
        <item m="1" x="2784"/>
        <item m="1" x="1125"/>
        <item m="1" x="2553"/>
        <item m="1" x="3034"/>
        <item m="1" x="712"/>
        <item m="1" x="2251"/>
        <item m="1" x="1559"/>
        <item m="1" x="2162"/>
        <item m="1" x="494"/>
        <item m="1" x="2037"/>
        <item m="1" x="860"/>
        <item m="1" x="587"/>
        <item m="1" x="1657"/>
        <item m="1" x="1975"/>
        <item m="1" x="2568"/>
        <item m="1" x="333"/>
        <item m="1" x="523"/>
        <item m="1" x="1454"/>
        <item m="1" x="362"/>
        <item m="1" x="2069"/>
        <item m="1" x="478"/>
        <item m="1" x="2833"/>
        <item m="1" x="2063"/>
        <item m="1" x="507"/>
        <item m="1" x="497"/>
        <item m="1" x="425"/>
        <item m="1" x="529"/>
        <item m="1" x="1872"/>
        <item m="1" x="1871"/>
        <item m="1" x="1120"/>
        <item m="1" x="2788"/>
        <item m="1" x="965"/>
        <item m="1" x="2569"/>
        <item m="1" x="2051"/>
        <item m="1" x="2951"/>
        <item m="1" x="2167"/>
        <item m="1" x="2499"/>
        <item m="1" x="348"/>
        <item m="1" x="1181"/>
        <item m="1" x="1873"/>
        <item m="1" x="808"/>
        <item m="1" x="2610"/>
        <item m="1" x="1170"/>
        <item m="1" x="1128"/>
        <item m="1" x="2058"/>
        <item m="1" x="1031"/>
        <item m="1" x="2066"/>
        <item m="1" x="1572"/>
        <item m="1" x="1867"/>
        <item m="1" x="506"/>
        <item m="1" x="2985"/>
        <item m="1" x="2404"/>
        <item m="1" x="2119"/>
        <item m="1" x="533"/>
        <item m="1" x="349"/>
        <item m="1" x="1356"/>
        <item m="1" x="2015"/>
        <item m="1" x="2800"/>
        <item m="1" x="210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0"/>
        <item m="1" x="6"/>
        <item m="1" x="5"/>
        <item x="1"/>
        <item m="1" x="3"/>
        <item m="1" x="4"/>
        <item m="1" x="7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 " axis="axisRow" compact="0" outline="0" showAll="0" defaultSubtotal="0">
      <items count="29">
        <item m="1" x="17"/>
        <item m="1" x="12"/>
        <item m="1" x="24"/>
        <item m="1" x="27"/>
        <item m="1" x="6"/>
        <item m="1" x="8"/>
        <item m="1" x="19"/>
        <item m="1" x="3"/>
        <item m="1" x="7"/>
        <item m="1" x="13"/>
        <item m="1" x="26"/>
        <item m="1" x="2"/>
        <item m="1" x="5"/>
        <item m="1" x="10"/>
        <item m="1" x="15"/>
        <item m="1" x="16"/>
        <item m="1" x="20"/>
        <item m="1" x="28"/>
        <item m="1" x="25"/>
        <item m="1" x="4"/>
        <item m="1" x="14"/>
        <item m="1" x="18"/>
        <item m="1" x="22"/>
        <item m="1" x="9"/>
        <item m="1" x="11"/>
        <item m="1" x="21"/>
        <item m="1" x="2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m="1" x="8"/>
        <item m="1" x="9"/>
        <item m="1" x="12"/>
        <item m="1" x="4"/>
        <item x="3"/>
        <item m="1" x="7"/>
        <item m="1" x="5"/>
        <item x="1"/>
        <item m="1" x="11"/>
        <item m="1" x="10"/>
        <item m="1"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4"/>
        <item m="1" x="2"/>
        <item m="1" x="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8">
        <item m="1" x="17"/>
        <item m="1" x="7"/>
        <item m="1" x="13"/>
        <item m="1" x="5"/>
        <item m="1" x="11"/>
        <item m="1" x="3"/>
        <item m="1" x="9"/>
        <item m="1" x="16"/>
        <item m="1" x="15"/>
        <item m="1" x="6"/>
        <item m="1" x="12"/>
        <item m="1" x="10"/>
        <item m="1" x="2"/>
        <item m="1" x="8"/>
        <item m="1" x="14"/>
        <item m="1" x="4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6"/>
    <field x="25"/>
    <field x="27"/>
    <field x="16"/>
    <field x="7"/>
  </rowFields>
  <rowItems count="339">
    <i>
      <x v="4"/>
      <x/>
      <x v="17"/>
      <x v="28"/>
      <x v="86"/>
    </i>
    <i r="4">
      <x v="1692"/>
    </i>
    <i r="4">
      <x v="1733"/>
    </i>
    <i r="4">
      <x v="2177"/>
    </i>
    <i r="4">
      <x v="2178"/>
    </i>
    <i r="4">
      <x v="2179"/>
    </i>
    <i r="4">
      <x v="2180"/>
    </i>
    <i r="4">
      <x v="2181"/>
    </i>
    <i r="4">
      <x v="2182"/>
    </i>
    <i r="4">
      <x v="2183"/>
    </i>
    <i r="4">
      <x v="2184"/>
    </i>
    <i r="4">
      <x v="2185"/>
    </i>
    <i r="4">
      <x v="2186"/>
    </i>
    <i r="4">
      <x v="2187"/>
    </i>
    <i r="4">
      <x v="2188"/>
    </i>
    <i r="4">
      <x v="2189"/>
    </i>
    <i r="4">
      <x v="2190"/>
    </i>
    <i r="4">
      <x v="2191"/>
    </i>
    <i r="4">
      <x v="2192"/>
    </i>
    <i r="4">
      <x v="2193"/>
    </i>
    <i r="4">
      <x v="2194"/>
    </i>
    <i r="4">
      <x v="2195"/>
    </i>
    <i r="4">
      <x v="2196"/>
    </i>
    <i r="4">
      <x v="2197"/>
    </i>
    <i r="4">
      <x v="2198"/>
    </i>
    <i r="4">
      <x v="2199"/>
    </i>
    <i r="4">
      <x v="2200"/>
    </i>
    <i r="4">
      <x v="2201"/>
    </i>
    <i r="4">
      <x v="2202"/>
    </i>
    <i r="4">
      <x v="2203"/>
    </i>
    <i r="4">
      <x v="2204"/>
    </i>
    <i r="4">
      <x v="2205"/>
    </i>
    <i r="4">
      <x v="2206"/>
    </i>
    <i r="4">
      <x v="2207"/>
    </i>
    <i r="4">
      <x v="2208"/>
    </i>
    <i r="4">
      <x v="2209"/>
    </i>
    <i r="4">
      <x v="2210"/>
    </i>
    <i r="4">
      <x v="2211"/>
    </i>
    <i r="4">
      <x v="2212"/>
    </i>
    <i r="4">
      <x v="2213"/>
    </i>
    <i r="4">
      <x v="2214"/>
    </i>
    <i r="4">
      <x v="2215"/>
    </i>
    <i r="4">
      <x v="2216"/>
    </i>
    <i r="4">
      <x v="2217"/>
    </i>
    <i r="4">
      <x v="2218"/>
    </i>
    <i r="4">
      <x v="2219"/>
    </i>
    <i r="4">
      <x v="2220"/>
    </i>
    <i r="4">
      <x v="2221"/>
    </i>
    <i r="4">
      <x v="2222"/>
    </i>
    <i r="4">
      <x v="2223"/>
    </i>
    <i r="4">
      <x v="2224"/>
    </i>
    <i r="4">
      <x v="2225"/>
    </i>
    <i r="4">
      <x v="2226"/>
    </i>
    <i r="4">
      <x v="2227"/>
    </i>
    <i r="4">
      <x v="2228"/>
    </i>
    <i r="4">
      <x v="2229"/>
    </i>
    <i r="4">
      <x v="2230"/>
    </i>
    <i r="4">
      <x v="2231"/>
    </i>
    <i r="4">
      <x v="2232"/>
    </i>
    <i r="4">
      <x v="2233"/>
    </i>
    <i r="4">
      <x v="2234"/>
    </i>
    <i r="4">
      <x v="2235"/>
    </i>
    <i r="4">
      <x v="2236"/>
    </i>
    <i r="4">
      <x v="2237"/>
    </i>
    <i r="4">
      <x v="2238"/>
    </i>
    <i r="4">
      <x v="2239"/>
    </i>
    <i r="4">
      <x v="2240"/>
    </i>
    <i r="4">
      <x v="2241"/>
    </i>
    <i r="4">
      <x v="2242"/>
    </i>
    <i r="4">
      <x v="2243"/>
    </i>
    <i r="4">
      <x v="2244"/>
    </i>
    <i r="4">
      <x v="2245"/>
    </i>
    <i r="4">
      <x v="2246"/>
    </i>
    <i r="4">
      <x v="2247"/>
    </i>
    <i r="4">
      <x v="2248"/>
    </i>
    <i r="4">
      <x v="2249"/>
    </i>
    <i r="4">
      <x v="2250"/>
    </i>
    <i r="4">
      <x v="2251"/>
    </i>
    <i r="4">
      <x v="2252"/>
    </i>
    <i r="4">
      <x v="2253"/>
    </i>
    <i r="4">
      <x v="2254"/>
    </i>
    <i r="4">
      <x v="2255"/>
    </i>
    <i r="4">
      <x v="2256"/>
    </i>
    <i r="4">
      <x v="2257"/>
    </i>
    <i r="4">
      <x v="2258"/>
    </i>
    <i r="4">
      <x v="2259"/>
    </i>
    <i r="4">
      <x v="2260"/>
    </i>
    <i r="4">
      <x v="2261"/>
    </i>
    <i r="4">
      <x v="2262"/>
    </i>
    <i r="4">
      <x v="2263"/>
    </i>
    <i r="4">
      <x v="2264"/>
    </i>
    <i r="4">
      <x v="2265"/>
    </i>
    <i r="4">
      <x v="2266"/>
    </i>
    <i r="4">
      <x v="2267"/>
    </i>
    <i r="4">
      <x v="2268"/>
    </i>
    <i r="4">
      <x v="2269"/>
    </i>
    <i r="4">
      <x v="2270"/>
    </i>
    <i r="4">
      <x v="2271"/>
    </i>
    <i r="4">
      <x v="2272"/>
    </i>
    <i r="4">
      <x v="2273"/>
    </i>
    <i r="4">
      <x v="2274"/>
    </i>
    <i r="4">
      <x v="2275"/>
    </i>
    <i r="4">
      <x v="2276"/>
    </i>
    <i r="4">
      <x v="2277"/>
    </i>
    <i r="4">
      <x v="2278"/>
    </i>
    <i r="4">
      <x v="2279"/>
    </i>
    <i r="4">
      <x v="2280"/>
    </i>
    <i r="4">
      <x v="2281"/>
    </i>
    <i r="4">
      <x v="2282"/>
    </i>
    <i r="4">
      <x v="2283"/>
    </i>
    <i r="4">
      <x v="2284"/>
    </i>
    <i r="4">
      <x v="2285"/>
    </i>
    <i r="4">
      <x v="2286"/>
    </i>
    <i r="4">
      <x v="2287"/>
    </i>
    <i r="4">
      <x v="2288"/>
    </i>
    <i r="4">
      <x v="2289"/>
    </i>
    <i r="4">
      <x v="2290"/>
    </i>
    <i r="4">
      <x v="2291"/>
    </i>
    <i r="4">
      <x v="2292"/>
    </i>
    <i r="4">
      <x v="2293"/>
    </i>
    <i r="4">
      <x v="2294"/>
    </i>
    <i r="4">
      <x v="2295"/>
    </i>
    <i r="4">
      <x v="2296"/>
    </i>
    <i r="4">
      <x v="2297"/>
    </i>
    <i r="4">
      <x v="2298"/>
    </i>
    <i r="4">
      <x v="2299"/>
    </i>
    <i r="4">
      <x v="2300"/>
    </i>
    <i r="4">
      <x v="2301"/>
    </i>
    <i r="4">
      <x v="2302"/>
    </i>
    <i r="4">
      <x v="2303"/>
    </i>
    <i r="4">
      <x v="2304"/>
    </i>
    <i r="4">
      <x v="2305"/>
    </i>
    <i r="4">
      <x v="2306"/>
    </i>
    <i r="4">
      <x v="2307"/>
    </i>
    <i r="4">
      <x v="2308"/>
    </i>
    <i r="4">
      <x v="2309"/>
    </i>
    <i r="4">
      <x v="2310"/>
    </i>
    <i r="4">
      <x v="2311"/>
    </i>
    <i r="4">
      <x v="2312"/>
    </i>
    <i r="4">
      <x v="2313"/>
    </i>
    <i r="4">
      <x v="2314"/>
    </i>
    <i r="4">
      <x v="2315"/>
    </i>
    <i r="4">
      <x v="2316"/>
    </i>
    <i r="4">
      <x v="2317"/>
    </i>
    <i r="4">
      <x v="2318"/>
    </i>
    <i r="4">
      <x v="2319"/>
    </i>
    <i r="4">
      <x v="2320"/>
    </i>
    <i r="4">
      <x v="2321"/>
    </i>
    <i r="4">
      <x v="2322"/>
    </i>
    <i r="4">
      <x v="2323"/>
    </i>
    <i r="4">
      <x v="2324"/>
    </i>
    <i r="4">
      <x v="2325"/>
    </i>
    <i r="4">
      <x v="2326"/>
    </i>
    <i r="4">
      <x v="2327"/>
    </i>
    <i r="4">
      <x v="2328"/>
    </i>
    <i r="4">
      <x v="2329"/>
    </i>
    <i r="4">
      <x v="2330"/>
    </i>
    <i r="4">
      <x v="2331"/>
    </i>
    <i r="4">
      <x v="2332"/>
    </i>
    <i r="4">
      <x v="2333"/>
    </i>
    <i r="4">
      <x v="2334"/>
    </i>
    <i r="4">
      <x v="2335"/>
    </i>
    <i r="4">
      <x v="2336"/>
    </i>
    <i r="4">
      <x v="2337"/>
    </i>
    <i r="4">
      <x v="2338"/>
    </i>
    <i r="4">
      <x v="2339"/>
    </i>
    <i r="4">
      <x v="2340"/>
    </i>
    <i r="4">
      <x v="2341"/>
    </i>
    <i r="4">
      <x v="2342"/>
    </i>
    <i r="4">
      <x v="2343"/>
    </i>
    <i r="4">
      <x v="2344"/>
    </i>
    <i r="4">
      <x v="2345"/>
    </i>
    <i r="4">
      <x v="2346"/>
    </i>
    <i r="4">
      <x v="2350"/>
    </i>
    <i r="4">
      <x v="2361"/>
    </i>
    <i r="4">
      <x v="2410"/>
    </i>
    <i r="4">
      <x v="2411"/>
    </i>
    <i r="4">
      <x v="2412"/>
    </i>
    <i r="4">
      <x v="2413"/>
    </i>
    <i r="4">
      <x v="2414"/>
    </i>
    <i r="4">
      <x v="2415"/>
    </i>
    <i r="4">
      <x v="2416"/>
    </i>
    <i r="4">
      <x v="2417"/>
    </i>
    <i r="4">
      <x v="2418"/>
    </i>
    <i r="4">
      <x v="2419"/>
    </i>
    <i r="4">
      <x v="2420"/>
    </i>
    <i r="4">
      <x v="2421"/>
    </i>
    <i r="4">
      <x v="2422"/>
    </i>
    <i r="4">
      <x v="2423"/>
    </i>
    <i r="4">
      <x v="2424"/>
    </i>
    <i r="4">
      <x v="2425"/>
    </i>
    <i r="4">
      <x v="2426"/>
    </i>
    <i r="4">
      <x v="2427"/>
    </i>
    <i r="4">
      <x v="2428"/>
    </i>
    <i r="4">
      <x v="2429"/>
    </i>
    <i r="4">
      <x v="2430"/>
    </i>
    <i r="4">
      <x v="2431"/>
    </i>
    <i r="4">
      <x v="2432"/>
    </i>
    <i r="4">
      <x v="2433"/>
    </i>
    <i r="4">
      <x v="2434"/>
    </i>
    <i r="4">
      <x v="2435"/>
    </i>
    <i r="4">
      <x v="2436"/>
    </i>
    <i r="4">
      <x v="2437"/>
    </i>
    <i r="4">
      <x v="2438"/>
    </i>
    <i r="4">
      <x v="2439"/>
    </i>
    <i r="4">
      <x v="2440"/>
    </i>
    <i r="4">
      <x v="2441"/>
    </i>
    <i r="4">
      <x v="2442"/>
    </i>
    <i r="4">
      <x v="2443"/>
    </i>
    <i r="4">
      <x v="2444"/>
    </i>
    <i r="4">
      <x v="2445"/>
    </i>
    <i r="4">
      <x v="2446"/>
    </i>
    <i r="4">
      <x v="2447"/>
    </i>
    <i r="4">
      <x v="2448"/>
    </i>
    <i r="4">
      <x v="2449"/>
    </i>
    <i r="4">
      <x v="2450"/>
    </i>
    <i r="4">
      <x v="2451"/>
    </i>
    <i r="4">
      <x v="2452"/>
    </i>
    <i r="4">
      <x v="2453"/>
    </i>
    <i r="4">
      <x v="2454"/>
    </i>
    <i r="4">
      <x v="2455"/>
    </i>
    <i r="4">
      <x v="2456"/>
    </i>
    <i r="4">
      <x v="2457"/>
    </i>
    <i r="4">
      <x v="2458"/>
    </i>
    <i r="4">
      <x v="2459"/>
    </i>
    <i r="4">
      <x v="2460"/>
    </i>
    <i r="4">
      <x v="2461"/>
    </i>
    <i r="4">
      <x v="2462"/>
    </i>
    <i r="4">
      <x v="2463"/>
    </i>
    <i r="4">
      <x v="2464"/>
    </i>
    <i r="4">
      <x v="2465"/>
    </i>
    <i r="4">
      <x v="2466"/>
    </i>
    <i r="4">
      <x v="2467"/>
    </i>
    <i r="4">
      <x v="2468"/>
    </i>
    <i r="4">
      <x v="2469"/>
    </i>
    <i r="4">
      <x v="2470"/>
    </i>
    <i r="4">
      <x v="2471"/>
    </i>
    <i r="4">
      <x v="2472"/>
    </i>
    <i r="4">
      <x v="2473"/>
    </i>
    <i r="4">
      <x v="2474"/>
    </i>
    <i r="4">
      <x v="2475"/>
    </i>
    <i r="4">
      <x v="2476"/>
    </i>
    <i r="4">
      <x v="2477"/>
    </i>
    <i r="4">
      <x v="2478"/>
    </i>
    <i r="4">
      <x v="2479"/>
    </i>
    <i r="4">
      <x v="2480"/>
    </i>
    <i r="4">
      <x v="2481"/>
    </i>
    <i r="4">
      <x v="2482"/>
    </i>
    <i r="4">
      <x v="2483"/>
    </i>
    <i r="4">
      <x v="2484"/>
    </i>
    <i r="4">
      <x v="2485"/>
    </i>
    <i r="4">
      <x v="2486"/>
    </i>
    <i r="4">
      <x v="2487"/>
    </i>
    <i r="4">
      <x v="2488"/>
    </i>
    <i r="4">
      <x v="2489"/>
    </i>
    <i r="4">
      <x v="2490"/>
    </i>
    <i r="4">
      <x v="2491"/>
    </i>
    <i r="4">
      <x v="2492"/>
    </i>
    <i r="4">
      <x v="2493"/>
    </i>
    <i r="4">
      <x v="2494"/>
    </i>
    <i r="4">
      <x v="2495"/>
    </i>
    <i r="4">
      <x v="2496"/>
    </i>
    <i r="4">
      <x v="2497"/>
    </i>
    <i r="4">
      <x v="2498"/>
    </i>
    <i r="4">
      <x v="2499"/>
    </i>
    <i r="4">
      <x v="2500"/>
    </i>
    <i r="4">
      <x v="2501"/>
    </i>
    <i r="1">
      <x v="5"/>
      <x v="17"/>
      <x v="28"/>
      <x v="2222"/>
    </i>
    <i r="4">
      <x v="2226"/>
    </i>
    <i r="4">
      <x v="2373"/>
    </i>
    <i r="4">
      <x v="2374"/>
    </i>
    <i r="4">
      <x v="2377"/>
    </i>
    <i r="4">
      <x v="2378"/>
    </i>
    <i r="4">
      <x v="2381"/>
    </i>
    <i r="4">
      <x v="2382"/>
    </i>
    <i r="4">
      <x v="2391"/>
    </i>
    <i r="4">
      <x v="2393"/>
    </i>
    <i r="4">
      <x v="2394"/>
    </i>
    <i r="4">
      <x v="2400"/>
    </i>
    <i r="4">
      <x v="2404"/>
    </i>
    <i r="4">
      <x v="2405"/>
    </i>
    <i r="4">
      <x v="2408"/>
    </i>
    <i r="1">
      <x v="8"/>
      <x v="17"/>
      <x v="28"/>
      <x v="2178"/>
    </i>
    <i r="4">
      <x v="2293"/>
    </i>
    <i r="4">
      <x v="2347"/>
    </i>
    <i r="4">
      <x v="2348"/>
    </i>
    <i r="4">
      <x v="2349"/>
    </i>
    <i r="4">
      <x v="2350"/>
    </i>
    <i r="4">
      <x v="2351"/>
    </i>
    <i r="4">
      <x v="2352"/>
    </i>
    <i r="4">
      <x v="2353"/>
    </i>
    <i r="4">
      <x v="2354"/>
    </i>
    <i r="4">
      <x v="2355"/>
    </i>
    <i r="4">
      <x v="2356"/>
    </i>
    <i r="4">
      <x v="2357"/>
    </i>
    <i r="4">
      <x v="2358"/>
    </i>
    <i r="4">
      <x v="2359"/>
    </i>
    <i r="4">
      <x v="2360"/>
    </i>
    <i r="4">
      <x v="2361"/>
    </i>
    <i r="4">
      <x v="2362"/>
    </i>
    <i r="4">
      <x v="2363"/>
    </i>
    <i r="4">
      <x v="2364"/>
    </i>
    <i r="4">
      <x v="2365"/>
    </i>
    <i r="4">
      <x v="2366"/>
    </i>
    <i r="4">
      <x v="2367"/>
    </i>
    <i r="4">
      <x v="2368"/>
    </i>
    <i r="4">
      <x v="2369"/>
    </i>
    <i r="1">
      <x v="12"/>
      <x v="17"/>
      <x v="28"/>
      <x v="2200"/>
    </i>
    <i r="4">
      <x v="2216"/>
    </i>
    <i r="4">
      <x v="2221"/>
    </i>
    <i r="4">
      <x v="2232"/>
    </i>
    <i r="4">
      <x v="2242"/>
    </i>
    <i r="4">
      <x v="2370"/>
    </i>
    <i r="4">
      <x v="2371"/>
    </i>
    <i r="4">
      <x v="2372"/>
    </i>
    <i r="4">
      <x v="2375"/>
    </i>
    <i r="4">
      <x v="2376"/>
    </i>
    <i r="4">
      <x v="2379"/>
    </i>
    <i r="4">
      <x v="2380"/>
    </i>
    <i r="4">
      <x v="2383"/>
    </i>
    <i r="4">
      <x v="2384"/>
    </i>
    <i r="4">
      <x v="2385"/>
    </i>
    <i r="4">
      <x v="2386"/>
    </i>
    <i r="4">
      <x v="2387"/>
    </i>
    <i r="4">
      <x v="2388"/>
    </i>
    <i r="4">
      <x v="2389"/>
    </i>
    <i r="4">
      <x v="2390"/>
    </i>
    <i r="4">
      <x v="2392"/>
    </i>
    <i r="4">
      <x v="2395"/>
    </i>
    <i r="4">
      <x v="2396"/>
    </i>
    <i r="4">
      <x v="2397"/>
    </i>
    <i r="4">
      <x v="2398"/>
    </i>
    <i r="4">
      <x v="2399"/>
    </i>
    <i r="4">
      <x v="2401"/>
    </i>
    <i r="4">
      <x v="2402"/>
    </i>
    <i r="4">
      <x v="2403"/>
    </i>
    <i r="4">
      <x v="2406"/>
    </i>
    <i r="4">
      <x v="2407"/>
    </i>
    <i r="4">
      <x v="2409"/>
    </i>
  </rowItems>
  <colItems count="1">
    <i/>
  </colItems>
  <dataFields count="1">
    <dataField name="Cantidad" fld="9" baseField="7" baseItem="981" numFmtId="49"/>
  </dataFields>
  <formats count="235">
    <format dxfId="331">
      <pivotArea dataOnly="0" labelOnly="1" outline="0" fieldPosition="0">
        <references count="3">
          <reference field="25" count="1" selected="0">
            <x v="1"/>
          </reference>
          <reference field="26" count="1" selected="0">
            <x v="1"/>
          </reference>
          <reference field="27" count="0"/>
        </references>
      </pivotArea>
    </format>
    <format dxfId="330">
      <pivotArea type="all" dataOnly="0" outline="0" fieldPosition="0"/>
    </format>
    <format dxfId="329">
      <pivotArea outline="0" collapsedLevelsAreSubtotals="1" fieldPosition="0"/>
    </format>
    <format dxfId="328">
      <pivotArea field="26" type="button" dataOnly="0" labelOnly="1" outline="0" axis="axisRow" fieldPosition="0"/>
    </format>
    <format dxfId="327">
      <pivotArea field="25" type="button" dataOnly="0" labelOnly="1" outline="0" axis="axisRow" fieldPosition="1"/>
    </format>
    <format dxfId="326">
      <pivotArea field="27" type="button" dataOnly="0" labelOnly="1" outline="0" axis="axisRow" fieldPosition="2"/>
    </format>
    <format dxfId="325">
      <pivotArea field="7" type="button" dataOnly="0" labelOnly="1" outline="0" axis="axisRow" fieldPosition="4"/>
    </format>
    <format dxfId="324">
      <pivotArea dataOnly="0" labelOnly="1" outline="0" axis="axisValues" fieldPosition="0"/>
    </format>
    <format dxfId="323">
      <pivotArea dataOnly="0" labelOnly="1" outline="0" fieldPosition="0">
        <references count="1">
          <reference field="26" count="0"/>
        </references>
      </pivotArea>
    </format>
    <format dxfId="322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321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320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319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318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317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316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315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4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3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2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1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0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9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8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7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6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5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4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3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2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1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0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9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8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7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6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5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4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3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2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1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0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89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88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87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86">
      <pivotArea dataOnly="0" labelOnly="1" outline="0" axis="axisValues" fieldPosition="0"/>
    </format>
    <format dxfId="285">
      <pivotArea type="all" dataOnly="0" outline="0" fieldPosition="0"/>
    </format>
    <format dxfId="284">
      <pivotArea outline="0" collapsedLevelsAreSubtotals="1" fieldPosition="0"/>
    </format>
    <format dxfId="283">
      <pivotArea field="26" type="button" dataOnly="0" labelOnly="1" outline="0" axis="axisRow" fieldPosition="0"/>
    </format>
    <format dxfId="282">
      <pivotArea field="25" type="button" dataOnly="0" labelOnly="1" outline="0" axis="axisRow" fieldPosition="1"/>
    </format>
    <format dxfId="281">
      <pivotArea field="27" type="button" dataOnly="0" labelOnly="1" outline="0" axis="axisRow" fieldPosition="2"/>
    </format>
    <format dxfId="280">
      <pivotArea field="7" type="button" dataOnly="0" labelOnly="1" outline="0" axis="axisRow" fieldPosition="4"/>
    </format>
    <format dxfId="279">
      <pivotArea dataOnly="0" labelOnly="1" outline="0" axis="axisValues" fieldPosition="0"/>
    </format>
    <format dxfId="278">
      <pivotArea dataOnly="0" labelOnly="1" outline="0" fieldPosition="0">
        <references count="1">
          <reference field="26" count="0"/>
        </references>
      </pivotArea>
    </format>
    <format dxfId="277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76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75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74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73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72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71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70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9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8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7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6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5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4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3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2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1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0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9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8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7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6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5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4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3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2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1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0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9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8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7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6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5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44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43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42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41">
      <pivotArea dataOnly="0" labelOnly="1" outline="0" axis="axisValues" fieldPosition="0"/>
    </format>
    <format dxfId="240">
      <pivotArea type="all" dataOnly="0" outline="0" fieldPosition="0"/>
    </format>
    <format dxfId="239">
      <pivotArea outline="0" collapsedLevelsAreSubtotals="1" fieldPosition="0"/>
    </format>
    <format dxfId="238">
      <pivotArea field="26" type="button" dataOnly="0" labelOnly="1" outline="0" axis="axisRow" fieldPosition="0"/>
    </format>
    <format dxfId="237">
      <pivotArea field="25" type="button" dataOnly="0" labelOnly="1" outline="0" axis="axisRow" fieldPosition="1"/>
    </format>
    <format dxfId="236">
      <pivotArea field="27" type="button" dataOnly="0" labelOnly="1" outline="0" axis="axisRow" fieldPosition="2"/>
    </format>
    <format dxfId="235">
      <pivotArea field="7" type="button" dataOnly="0" labelOnly="1" outline="0" axis="axisRow" fieldPosition="4"/>
    </format>
    <format dxfId="234">
      <pivotArea dataOnly="0" labelOnly="1" outline="0" axis="axisValues" fieldPosition="0"/>
    </format>
    <format dxfId="233">
      <pivotArea dataOnly="0" labelOnly="1" outline="0" fieldPosition="0">
        <references count="1">
          <reference field="26" count="0"/>
        </references>
      </pivotArea>
    </format>
    <format dxfId="232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31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30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29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28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27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26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25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4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3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2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1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0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9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8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7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6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5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4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3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2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1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0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9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8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7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6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5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4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3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2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1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0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99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98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97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96">
      <pivotArea dataOnly="0" labelOnly="1" outline="0" axis="axisValues" fieldPosition="0"/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26" type="button" dataOnly="0" labelOnly="1" outline="0" axis="axisRow" fieldPosition="0"/>
    </format>
    <format dxfId="192">
      <pivotArea field="25" type="button" dataOnly="0" labelOnly="1" outline="0" axis="axisRow" fieldPosition="1"/>
    </format>
    <format dxfId="191">
      <pivotArea field="27" type="button" dataOnly="0" labelOnly="1" outline="0" axis="axisRow" fieldPosition="2"/>
    </format>
    <format dxfId="190">
      <pivotArea field="7" type="button" dataOnly="0" labelOnly="1" outline="0" axis="axisRow" fieldPosition="4"/>
    </format>
    <format dxfId="189">
      <pivotArea dataOnly="0" labelOnly="1" outline="0" axis="axisValues" fieldPosition="0"/>
    </format>
    <format dxfId="188">
      <pivotArea dataOnly="0" labelOnly="1" outline="0" fieldPosition="0">
        <references count="1">
          <reference field="26" count="0"/>
        </references>
      </pivotArea>
    </format>
    <format dxfId="187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186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185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84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83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82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181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180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9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8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7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6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5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4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3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2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1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0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9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8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7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6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5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4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3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2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1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0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9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8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7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6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5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54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53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52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51">
      <pivotArea dataOnly="0" labelOnly="1" outline="0" axis="axisValues" fieldPosition="0"/>
    </format>
    <format dxfId="150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49">
      <pivotArea dataOnly="0" labelOnly="1" outline="0" fieldPosition="0">
        <references count="1">
          <reference field="26" count="0"/>
        </references>
      </pivotArea>
    </format>
    <format dxfId="148">
      <pivotArea dataOnly="0" labelOnly="1" outline="0" fieldPosition="0">
        <references count="1">
          <reference field="26" count="0"/>
        </references>
      </pivotArea>
    </format>
    <format dxfId="147">
      <pivotArea outline="0" collapsedLevelsAreSubtotals="1" fieldPosition="0"/>
    </format>
    <format dxfId="146">
      <pivotArea dataOnly="0" labelOnly="1" outline="0" fieldPosition="0">
        <references count="1">
          <reference field="26" count="0"/>
        </references>
      </pivotArea>
    </format>
    <format dxfId="145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44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43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42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41">
      <pivotArea outline="0" collapsedLevelsAreSubtotals="1" fieldPosition="0"/>
    </format>
    <format dxfId="140">
      <pivotArea dataOnly="0" labelOnly="1" outline="0" fieldPosition="0">
        <references count="1">
          <reference field="26" count="0"/>
        </references>
      </pivotArea>
    </format>
    <format dxfId="139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38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37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36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35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34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33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32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31">
      <pivotArea type="all" dataOnly="0" outline="0" fieldPosition="0"/>
    </format>
    <format dxfId="130">
      <pivotArea outline="0" collapsedLevelsAreSubtotals="1" fieldPosition="0"/>
    </format>
    <format dxfId="129">
      <pivotArea field="26" type="button" dataOnly="0" labelOnly="1" outline="0" axis="axisRow" fieldPosition="0"/>
    </format>
    <format dxfId="128">
      <pivotArea field="25" type="button" dataOnly="0" labelOnly="1" outline="0" axis="axisRow" fieldPosition="1"/>
    </format>
    <format dxfId="127">
      <pivotArea field="27" type="button" dataOnly="0" labelOnly="1" outline="0" axis="axisRow" fieldPosition="2"/>
    </format>
    <format dxfId="126">
      <pivotArea field="16" type="button" dataOnly="0" labelOnly="1" outline="0" axis="axisRow" fieldPosition="3"/>
    </format>
    <format dxfId="125">
      <pivotArea field="7" type="button" dataOnly="0" labelOnly="1" outline="0" axis="axisRow" fieldPosition="4"/>
    </format>
    <format dxfId="124">
      <pivotArea dataOnly="0" labelOnly="1" outline="0" axis="axisValues" fieldPosition="0"/>
    </format>
    <format dxfId="123">
      <pivotArea dataOnly="0" labelOnly="1" outline="0" fieldPosition="0">
        <references count="1">
          <reference field="26" count="0"/>
        </references>
      </pivotArea>
    </format>
    <format dxfId="122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21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20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19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18">
      <pivotArea dataOnly="0" labelOnly="1" outline="0" axis="axisValues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26" type="button" dataOnly="0" labelOnly="1" outline="0" axis="axisRow" fieldPosition="0"/>
    </format>
    <format dxfId="114">
      <pivotArea field="25" type="button" dataOnly="0" labelOnly="1" outline="0" axis="axisRow" fieldPosition="1"/>
    </format>
    <format dxfId="113">
      <pivotArea field="27" type="button" dataOnly="0" labelOnly="1" outline="0" axis="axisRow" fieldPosition="2"/>
    </format>
    <format dxfId="112">
      <pivotArea field="16" type="button" dataOnly="0" labelOnly="1" outline="0" axis="axisRow" fieldPosition="3"/>
    </format>
    <format dxfId="111">
      <pivotArea field="7" type="button" dataOnly="0" labelOnly="1" outline="0" axis="axisRow" fieldPosition="4"/>
    </format>
    <format dxfId="110">
      <pivotArea dataOnly="0" labelOnly="1" outline="0" axis="axisValues" fieldPosition="0"/>
    </format>
    <format dxfId="109">
      <pivotArea dataOnly="0" labelOnly="1" outline="0" fieldPosition="0">
        <references count="1">
          <reference field="26" count="0"/>
        </references>
      </pivotArea>
    </format>
    <format dxfId="108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07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06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05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04">
      <pivotArea dataOnly="0" labelOnly="1" outline="0" axis="axisValues" fieldPosition="0"/>
    </format>
    <format dxfId="103">
      <pivotArea field="26" type="button" dataOnly="0" labelOnly="1" outline="0" axis="axisRow" fieldPosition="0"/>
    </format>
    <format dxfId="102">
      <pivotArea field="25" type="button" dataOnly="0" labelOnly="1" outline="0" axis="axisRow" fieldPosition="1"/>
    </format>
    <format dxfId="101">
      <pivotArea field="27" type="button" dataOnly="0" labelOnly="1" outline="0" axis="axisRow" fieldPosition="2"/>
    </format>
    <format dxfId="100">
      <pivotArea field="16" type="button" dataOnly="0" labelOnly="1" outline="0" axis="axisRow" fieldPosition="3"/>
    </format>
    <format dxfId="99">
      <pivotArea field="7" type="button" dataOnly="0" labelOnly="1" outline="0" axis="axisRow" fieldPosition="4"/>
    </format>
    <format dxfId="98">
      <pivotArea dataOnly="0" labelOnly="1" outline="0" axis="axisValues" fieldPosition="0"/>
    </format>
    <format dxfId="97">
      <pivotArea dataOnly="0" labelOnly="1" outline="0" axis="axisValues" fieldPosition="0"/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Dinámica13" cacheId="3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Ubic." fld="2" subtotal="count" baseField="1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">
    <format dxfId="88">
      <pivotArea dataOnly="0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3" showRowHeaders="1" showColHeaders="1" showRowStripes="0" showColStripes="0" showLastColumn="1"/>
  <rowHierarchiesUsage count="2">
    <rowHierarchyUsage hierarchyUsage="0"/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Dinámica15" cacheId="3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P1:Q3" firstHeaderRow="1" firstDataRow="1" firstDataCol="2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formats count="2">
    <format dxfId="90">
      <pivotArea dataOnly="0" labelOnly="1" outline="0" axis="axisValues" fieldPosition="0"/>
    </format>
    <format dxfId="89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Dinámica14" cacheId="32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</pivotField>
    <pivotField dataField="1" compact="0" outline="0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Recuento distinto de Ubic.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2">
    <format dxfId="92">
      <pivotArea dataOnly="0" labelOnly="1" outline="0" axis="axisValues" fieldPosition="0"/>
    </format>
    <format dxfId="91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TablaDinámica17" cacheId="4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H3" firstHeaderRow="1" firstDataRow="1" firstDataCol="1"/>
  <pivotFields count="1">
    <pivotField axis="axisRow" compact="0" allDrilled="1" outline="0" showAll="0" dataSourceSort="1" defaultSubtotal="0" defaultAttributeDrillState="1">
      <items count="1">
        <item x="0"/>
      </items>
    </pivotField>
  </pivotFields>
  <rowFields count="1">
    <field x="0"/>
  </rowFields>
  <rowItems count="2">
    <i>
      <x/>
    </i>
    <i t="grand">
      <x/>
    </i>
  </rowItems>
  <formats count="2">
    <format dxfId="84">
      <pivotArea dataOnly="0" labelOnly="1" outline="0" axis="axisValues" fieldPosition="0"/>
    </format>
    <format dxfId="83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TablaDinámica16" cacheId="4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Diferencia" fld="2" baseField="0" baseItem="0"/>
  </dataFields>
  <formats count="1">
    <format dxfId="85">
      <pivotArea dataOnly="0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2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9000000}" name="TablaDinámica19" cacheId="4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Total Codigo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4">
    <format dxfId="63">
      <pivotArea dataOnly="0" labelOnly="1" outline="0" axis="axisValues" fieldPosition="0"/>
    </format>
    <format dxfId="62">
      <pivotArea dataOnly="0" labelOnly="1" outline="0" axis="axisValues" fieldPosition="0"/>
    </format>
    <format dxfId="61">
      <pivotArea field="0" type="button" dataOnly="0" labelOnly="1" outline="0" axis="axisRow" fieldPosition="0"/>
    </format>
    <format dxfId="60">
      <pivotArea dataOnly="0" labelOnly="1" outline="0" axis="axisValues" fieldPosition="0"/>
    </format>
    <format dxfId="59">
      <pivotArea dataOnly="0" labelOnly="1" outline="0" axis="axisValues" fieldPosition="0"/>
    </format>
    <format dxfId="58">
      <pivotArea field="0" type="button" dataOnly="0" labelOnly="1" outline="0" axis="axisRow" fieldPosition="0"/>
    </format>
    <format dxfId="57">
      <pivotArea dataOnly="0" labelOnly="1" outline="0" axis="axisValues" fieldPosition="0"/>
    </format>
    <format dxfId="56">
      <pivotArea dataOnly="0" labelOnly="1" outline="0" axis="axisValues" fieldPosition="0"/>
    </format>
    <format dxfId="55">
      <pivotArea field="0" type="button" dataOnly="0" labelOnly="1" outline="0" axis="axisRow" fieldPosition="0"/>
    </format>
    <format dxfId="54">
      <pivotArea dataOnly="0" labelOnly="1" outline="0" axis="axisValues" fieldPosition="0"/>
    </format>
    <format dxfId="53">
      <pivotArea dataOnly="0" labelOnly="1" outline="0" axis="axisValues" fieldPosition="0"/>
    </format>
    <format dxfId="52">
      <pivotArea field="0" type="button" dataOnly="0" labelOnly="1" outline="0" axis="axisRow" fieldPosition="0"/>
    </format>
    <format dxfId="51">
      <pivotArea dataOnly="0" labelOnly="1" outline="0" axis="axisValues" fieldPosition="0"/>
    </format>
    <format dxfId="50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 caption="Total Codigo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8000000}" name="TablaDinámica18" cacheId="5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Codigo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7">
    <format dxfId="80">
      <pivotArea dataOnly="0" outline="0" axis="axisValues" fieldPosition="0"/>
    </format>
    <format dxfId="79">
      <pivotArea field="0" type="button" dataOnly="0" labelOnly="1" outline="0" axis="axisRow" fieldPosition="0"/>
    </format>
    <format dxfId="78">
      <pivotArea field="1" type="button" dataOnly="0" labelOnly="1" outline="0" axis="axisRow" fieldPosition="1"/>
    </format>
    <format dxfId="77">
      <pivotArea dataOnly="0" labelOnly="1" outline="0" axis="axisValues" fieldPosition="0"/>
    </format>
    <format dxfId="76">
      <pivotArea dataOnly="0" labelOnly="1" outline="0" axis="axisValues" fieldPosition="0"/>
    </format>
    <format dxfId="75">
      <pivotArea field="0" type="button" dataOnly="0" labelOnly="1" outline="0" axis="axisRow" fieldPosition="0"/>
    </format>
    <format dxfId="74">
      <pivotArea field="1" type="button" dataOnly="0" labelOnly="1" outline="0" axis="axisRow" fieldPosition="1"/>
    </format>
    <format dxfId="73">
      <pivotArea dataOnly="0" labelOnly="1" outline="0" axis="axisValues" fieldPosition="0"/>
    </format>
    <format dxfId="72">
      <pivotArea dataOnly="0" labelOnly="1" outline="0" axis="axisValues" fieldPosition="0"/>
    </format>
    <format dxfId="71">
      <pivotArea field="0" type="button" dataOnly="0" labelOnly="1" outline="0" axis="axisRow" fieldPosition="0"/>
    </format>
    <format dxfId="70">
      <pivotArea field="1" type="button" dataOnly="0" labelOnly="1" outline="0" axis="axisRow" fieldPosition="1"/>
    </format>
    <format dxfId="69">
      <pivotArea dataOnly="0" labelOnly="1" outline="0" axis="axisValues" fieldPosition="0"/>
    </format>
    <format dxfId="68">
      <pivotArea dataOnly="0" labelOnly="1" outline="0" axis="axisValues" fieldPosition="0"/>
    </format>
    <format dxfId="67">
      <pivotArea field="0" type="button" dataOnly="0" labelOnly="1" outline="0" axis="axisRow" fieldPosition="0"/>
    </format>
    <format dxfId="66">
      <pivotArea field="1" type="button" dataOnly="0" labelOnly="1" outline="0" axis="axisRow" fieldPosition="1"/>
    </format>
    <format dxfId="65">
      <pivotArea dataOnly="0" labelOnly="1" outline="0" axis="axisValues" fieldPosition="0"/>
    </format>
    <format dxfId="64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B000000}" name="TablaDinámica21" cacheId="56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uma de VALORIZADO STOCK" fld="1" baseField="0" baseItem="0"/>
  </dataFields>
  <formats count="2">
    <format dxfId="30">
      <pivotArea dataOnly="0" labelOnly="1" outline="0" axis="axisValues" fieldPosition="0"/>
    </format>
    <format dxfId="29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A000000}" name="TablaDinámica20" cacheId="5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Valorizado Diferencia" fld="2" baseField="0" baseItem="0"/>
  </dataFields>
  <formats count="17">
    <format dxfId="47">
      <pivotArea dataOnly="0" outline="0" axis="axisValues" fieldPosition="0"/>
    </format>
    <format dxfId="46">
      <pivotArea field="0" type="button" dataOnly="0" labelOnly="1" outline="0" axis="axisRow" fieldPosition="0"/>
    </format>
    <format dxfId="45">
      <pivotArea field="1" type="button" dataOnly="0" labelOnly="1" outline="0" axis="axisRow" fieldPosition="1"/>
    </format>
    <format dxfId="44">
      <pivotArea dataOnly="0" labelOnly="1" outline="0" axis="axisValues" fieldPosition="0"/>
    </format>
    <format dxfId="43">
      <pivotArea dataOnly="0" labelOnly="1" outline="0" axis="axisValues" fieldPosition="0"/>
    </format>
    <format dxfId="42">
      <pivotArea field="0" type="button" dataOnly="0" labelOnly="1" outline="0" axis="axisRow" fieldPosition="0"/>
    </format>
    <format dxfId="41">
      <pivotArea field="1" type="button" dataOnly="0" labelOnly="1" outline="0" axis="axisRow" fieldPosition="1"/>
    </format>
    <format dxfId="40">
      <pivotArea dataOnly="0" labelOnly="1" outline="0" axis="axisValues" fieldPosition="0"/>
    </format>
    <format dxfId="39">
      <pivotArea dataOnly="0" labelOnly="1" outline="0" axis="axisValues" fieldPosition="0"/>
    </format>
    <format dxfId="38">
      <pivotArea field="0" type="button" dataOnly="0" labelOnly="1" outline="0" axis="axisRow" fieldPosition="0"/>
    </format>
    <format dxfId="37">
      <pivotArea field="1" type="button" dataOnly="0" labelOnly="1" outline="0" axis="axisRow" fieldPosition="1"/>
    </format>
    <format dxfId="36">
      <pivotArea dataOnly="0" labelOnly="1" outline="0" axis="axisValues" fieldPosition="0"/>
    </format>
    <format dxfId="35">
      <pivotArea dataOnly="0" labelOnly="1" outline="0" axis="axisValues" fieldPosition="0"/>
    </format>
    <format dxfId="34">
      <pivotArea field="0" type="button" dataOnly="0" labelOnly="1" outline="0" axis="axisRow" fieldPosition="0"/>
    </format>
    <format dxfId="33">
      <pivotArea field="1" type="button" dataOnly="0" labelOnly="1" outline="0" axis="axisRow" fieldPosition="1"/>
    </format>
    <format dxfId="32">
      <pivotArea dataOnly="0" labelOnly="1" outline="0" axis="axisValues" fieldPosition="0"/>
    </format>
    <format dxfId="31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Z" xr10:uid="{00000000-0013-0000-FFFF-FFFF01000000}" sourceName="Z">
  <pivotTables>
    <pivotTable tabId="2" name="Tabla dinámica1"/>
  </pivotTables>
  <data>
    <tabular pivotCacheId="1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" xr10:uid="{00000000-0013-0000-FFFF-FFFF02000000}" sourceName="R">
  <pivotTables>
    <pivotTable tabId="2" name="Tabla dinámica1"/>
  </pivotTables>
  <data>
    <tabular pivotCacheId="1">
      <items count="33">
        <i x="0" s="1"/>
        <i x="16" s="1" nd="1"/>
        <i x="5" s="1" nd="1"/>
        <i x="18" s="1" nd="1"/>
        <i x="31" s="1" nd="1"/>
        <i x="2" s="1" nd="1"/>
        <i x="6" s="1" nd="1"/>
        <i x="11" s="1" nd="1"/>
        <i x="19" s="1" nd="1"/>
        <i x="22" s="1" nd="1"/>
        <i x="25" s="1" nd="1"/>
        <i x="28" s="1" nd="1"/>
        <i x="1" s="1" nd="1"/>
        <i x="3" s="1" nd="1"/>
        <i x="4" s="1" nd="1"/>
        <i x="7" s="1" nd="1"/>
        <i x="8" s="1" nd="1"/>
        <i x="9" s="1" nd="1"/>
        <i x="10" s="1" nd="1"/>
        <i x="12" s="1" nd="1"/>
        <i x="14" s="1" nd="1"/>
        <i x="15" s="1" nd="1"/>
        <i x="17" s="1" nd="1"/>
        <i x="20" s="1" nd="1"/>
        <i x="21" s="1" nd="1"/>
        <i x="23" s="1" nd="1"/>
        <i x="24" s="1" nd="1"/>
        <i x="26" s="1" nd="1"/>
        <i x="27" s="1" nd="1"/>
        <i x="29" s="1" nd="1"/>
        <i x="30" s="1" nd="1"/>
        <i x="32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" xr10:uid="{00000000-0013-0000-FFFF-FFFF03000000}" sourceName="N">
  <pivotTables>
    <pivotTable tabId="2" name="Tabla dinámica1"/>
  </pivotTables>
  <data>
    <tabular pivotCacheId="1">
      <items count="9">
        <i x="0" s="1"/>
        <i x="2"/>
        <i x="1"/>
        <i x="8" nd="1"/>
        <i x="3" nd="1"/>
        <i x="4" nd="1"/>
        <i x="5" nd="1"/>
        <i x="6" nd="1"/>
        <i x="7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ado" xr10:uid="{00000000-0013-0000-FFFF-FFFF04000000}" sourceName="Lado">
  <pivotTables>
    <pivotTable tabId="2" name="Tabla dinámica1"/>
  </pivotTables>
  <data>
    <tabular pivotCacheId="1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" xr10:uid="{00000000-0013-0000-FFFF-FFFF05000000}" sourceName="Almacen">
  <pivotTables>
    <pivotTable tabId="12" name="Tabla texto"/>
  </pivotTables>
  <data>
    <tabular pivotCacheId="1">
      <items count="13">
        <i x="0" s="1"/>
        <i x="1" s="1"/>
        <i x="3" s="1"/>
        <i x="2" s="1"/>
        <i x="7" s="1" nd="1"/>
        <i x="11" s="1" nd="1"/>
        <i x="8" s="1" nd="1"/>
        <i x="9" s="1" nd="1"/>
        <i x="12" s="1" nd="1"/>
        <i x="10" s="1" nd="1"/>
        <i x="6" s="1" nd="1"/>
        <i x="4" s="1" nd="1"/>
        <i x="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1" xr10:uid="{00000000-0013-0000-FFFF-FFFF06000000}" sourceName="Almacen">
  <pivotTables>
    <pivotTable tabId="13" name="TablaDinámica2"/>
  </pivotTables>
  <data>
    <tabular pivotCacheId="1">
      <items count="13">
        <i x="0" s="1"/>
        <i x="1" s="1"/>
        <i x="3" s="1"/>
        <i x="2" s="1"/>
        <i x="7" s="1" nd="1"/>
        <i x="11" s="1" nd="1"/>
        <i x="8" s="1" nd="1"/>
        <i x="9" s="1" nd="1"/>
        <i x="12" s="1" nd="1"/>
        <i x="10" s="1" nd="1"/>
        <i x="6" s="1" nd="1"/>
        <i x="4" s="1" nd="1"/>
        <i x="5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inea" xr10:uid="{00000000-0013-0000-FFFF-FFFF07000000}" sourceName="Linea">
  <pivotTables>
    <pivotTable tabId="12" name="Tabla texto"/>
  </pivotTables>
  <data>
    <tabular pivotCacheId="1">
      <items count="8">
        <i x="0" s="1"/>
        <i x="1" s="1"/>
        <i x="6" s="1" nd="1"/>
        <i x="5" s="1" nd="1"/>
        <i x="3" s="1" nd="1"/>
        <i x="4" s="1" nd="1"/>
        <i x="7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" xr10:uid="{00000000-0014-0000-FFFF-FFFF01000000}" cache="SegmentaciónDeDatos_Z" caption="Z" columnCount="3" rowHeight="118800"/>
  <slicer name="R" xr10:uid="{00000000-0014-0000-FFFF-FFFF02000000}" cache="SegmentaciónDeDatos_R" caption="R" columnCount="6" rowHeight="118800"/>
  <slicer name="N" xr10:uid="{00000000-0014-0000-FFFF-FFFF03000000}" cache="SegmentaciónDeDatos_N" caption="N" columnCount="4" rowHeight="118800"/>
  <slicer name="Lado" xr10:uid="{00000000-0014-0000-FFFF-FFFF04000000}" cache="SegmentaciónDeDatos_Lado" caption="Lado" style="SlicerStyleLight6" rowHeight="1188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 1" xr10:uid="{00000000-0014-0000-FFFF-FFFF05000000}" cache="SegmentaciónDeDatos_Almacen1" caption="Almacen" columnCount="3" style="SlicerStyleDark1" rowHeight="22542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" xr10:uid="{00000000-0014-0000-FFFF-FFFF06000000}" cache="SegmentaciónDeDatos_Almacen" caption="Almacen" columnCount="3" style="SlicerStyleDark2" rowHeight="225425"/>
  <slicer name="Linea" xr10:uid="{00000000-0014-0000-FFFF-FFFF07000000}" cache="SegmentaciónDeDatos_Linea" caption="Linea" style="SlicerStyleLight2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INV" displayName="TABLAINV" ref="A8:AB430" totalsRowShown="0" headerRowDxfId="378" dataDxfId="0">
  <sortState xmlns:xlrd2="http://schemas.microsoft.com/office/spreadsheetml/2017/richdata2" ref="A9:AB386">
    <sortCondition ref="D9:D386"/>
    <sortCondition ref="E9:E386"/>
    <sortCondition ref="F9:F386"/>
    <sortCondition ref="G9:G386"/>
  </sortState>
  <tableColumns count="28">
    <tableColumn id="1" xr3:uid="{00000000-0010-0000-0000-000001000000}" name="Z&amp;R" dataDxfId="28">
      <calculatedColumnFormula>D9&amp;E9</calculatedColumnFormula>
    </tableColumn>
    <tableColumn id="7" xr3:uid="{00000000-0010-0000-0000-000007000000}" name="&amp;&amp;7" dataDxfId="27">
      <calculatedColumnFormula>IF(TABLAINV[[#This Row],[Z]]="","",D9&amp;"."&amp;TEXT(E9,"000")&amp;"."&amp;TEXT(F9,"000")&amp;"."&amp;TEXT(G9,"000"))</calculatedColumnFormula>
    </tableColumn>
    <tableColumn id="6" xr3:uid="{00000000-0010-0000-0000-000006000000}" name="Codificacion" dataDxfId="26"/>
    <tableColumn id="8" xr3:uid="{00000000-0010-0000-0000-000008000000}" name="Z" dataDxfId="25"/>
    <tableColumn id="9" xr3:uid="{00000000-0010-0000-0000-000009000000}" name="R" dataDxfId="24"/>
    <tableColumn id="10" xr3:uid="{00000000-0010-0000-0000-00000A000000}" name="C" dataDxfId="23"/>
    <tableColumn id="11" xr3:uid="{00000000-0010-0000-0000-00000B000000}" name="N" dataDxfId="22"/>
    <tableColumn id="12" xr3:uid="{00000000-0010-0000-0000-00000C000000}" name="Codigo" dataDxfId="21"/>
    <tableColumn id="13" xr3:uid="{00000000-0010-0000-0000-00000D000000}" name="Descripcion" dataDxfId="20"/>
    <tableColumn id="14" xr3:uid="{00000000-0010-0000-0000-00000E000000}" name="Conteo Físico" dataDxfId="19"/>
    <tableColumn id="15" xr3:uid="{00000000-0010-0000-0000-00000F000000}" name="Codigo Estado" dataDxfId="18"/>
    <tableColumn id="16" xr3:uid="{00000000-0010-0000-0000-000010000000}" name="Factor" dataDxfId="17"/>
    <tableColumn id="17" xr3:uid="{00000000-0010-0000-0000-000011000000}" name="UM Ubic." dataDxfId="16"/>
    <tableColumn id="30" xr3:uid="{00000000-0010-0000-0000-00001E000000}" name="Linea" dataDxfId="15"/>
    <tableColumn id="19" xr3:uid="{00000000-0010-0000-0000-000013000000}" name="Cant. UND" dataDxfId="14"/>
    <tableColumn id="20" xr3:uid="{00000000-0010-0000-0000-000014000000}" name="Cant. CJ" dataDxfId="13"/>
    <tableColumn id="5" xr3:uid="{00000000-0010-0000-0000-000005000000}" name="Reconteo Dinet" dataDxfId="12"/>
    <tableColumn id="21" xr3:uid="{00000000-0010-0000-0000-000015000000}" name="Validación Cencosud" dataDxfId="11"/>
    <tableColumn id="22" xr3:uid="{00000000-0010-0000-0000-000016000000}" name="Diferencia" dataDxfId="10">
      <calculatedColumnFormula>TABLAINV[[#This Row],[Conteo Físico]]-TABLAINV[[#This Row],[Cant. UND]]</calculatedColumnFormula>
    </tableColumn>
    <tableColumn id="2" xr3:uid="{00000000-0010-0000-0000-000002000000}" name="Status 0" dataDxfId="9">
      <calculatedColumnFormula>IFERROR(IF(TABLAINV[[#This Row],[Conteo Físico]]&gt;TABLAINV[[#This Row],[Cant. UND]],"SOBRANTE",IF(TABLAINV[[#This Row],[Conteo Físico]]&lt;TABLAINV[[#This Row],[Cant. UND]],"FALTANTE","CUADRADO")),"")</calculatedColumnFormula>
    </tableColumn>
    <tableColumn id="23" xr3:uid="{00000000-0010-0000-0000-000017000000}" name="Status 1" dataDxfId="8">
      <calculatedColumnFormula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calculatedColumnFormula>
    </tableColumn>
    <tableColumn id="24" xr3:uid="{00000000-0010-0000-0000-000018000000}" name="Lado" dataDxfId="7">
      <calculatedColumnFormula>IFERROR(IF(MOD(TABLAINV[[#This Row],[C]],2)=0,"PAR","IMPAR"),"Zona")</calculatedColumnFormula>
    </tableColumn>
    <tableColumn id="29" xr3:uid="{00000000-0010-0000-0000-00001D000000}" name="PMV" dataDxfId="6"/>
    <tableColumn id="4" xr3:uid="{00000000-0010-0000-0000-000004000000}" name="VALORIZADO STOCK" dataDxfId="5">
      <calculatedColumnFormula>IFERROR(IF(TABLAINV[[#This Row],[Cant. UND]]=0,TABLAINV[[#This Row],[PMV]]*TABLAINV[[#This Row],[Conteo Físico]],TABLAINV[[#This Row],[PMV]]*TABLAINV[[#This Row],[Cant. UND]]),0)</calculatedColumnFormula>
    </tableColumn>
    <tableColumn id="3" xr3:uid="{00000000-0010-0000-0000-000003000000}" name="Valorizado Diferencia" dataDxfId="4">
      <calculatedColumnFormula>IFERROR(ABS(TABLAINV[[#This Row],[PMV]]*TABLAINV[[#This Row],[Diferencia]]),0)</calculatedColumnFormula>
    </tableColumn>
    <tableColumn id="25" xr3:uid="{00000000-0010-0000-0000-000019000000}" name="Almacen" dataDxfId="3">
      <calculatedColumnFormula>IFERROR(VLOOKUP(TABLAINV[[#This Row],[Codigo Estado]],unds!O:P,2,0),"PEND.")</calculatedColumnFormula>
    </tableColumn>
    <tableColumn id="26" xr3:uid="{00000000-0010-0000-0000-00001A000000}" name="Centro" dataDxfId="2">
      <calculatedColumnFormula>$AA$1</calculatedColumnFormula>
    </tableColumn>
    <tableColumn id="27" xr3:uid="{00000000-0010-0000-0000-00001B000000}" name="Fecha" dataDxfId="1">
      <calculatedColumnFormula>TODAY()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microsoft.com/office/2007/relationships/slicer" Target="../slicers/slicer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4" Type="http://schemas.microsoft.com/office/2007/relationships/slicer" Target="../slicers/slicer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B050"/>
    <pageSetUpPr fitToPage="1"/>
  </sheetPr>
  <dimension ref="A1:AQ430"/>
  <sheetViews>
    <sheetView showGridLines="0" tabSelected="1" view="pageBreakPreview" zoomScale="70" zoomScaleNormal="100" zoomScaleSheetLayoutView="70" workbookViewId="0">
      <pane ySplit="8" topLeftCell="A387" activePane="bottomLeft" state="frozen"/>
      <selection activeCell="D20" sqref="D20"/>
      <selection pane="bottomLeft" activeCell="K395" sqref="K395"/>
    </sheetView>
  </sheetViews>
  <sheetFormatPr baseColWidth="10" defaultColWidth="11.42578125" defaultRowHeight="15" customHeight="1" x14ac:dyDescent="0.2"/>
  <cols>
    <col min="1" max="1" width="8.42578125" style="134" bestFit="1" customWidth="1"/>
    <col min="2" max="2" width="3" style="134" customWidth="1"/>
    <col min="3" max="3" width="12.28515625" style="134" bestFit="1" customWidth="1"/>
    <col min="4" max="4" width="4" style="15" bestFit="1" customWidth="1"/>
    <col min="5" max="6" width="4.28515625" style="15" bestFit="1" customWidth="1"/>
    <col min="7" max="7" width="2.28515625" style="15" bestFit="1" customWidth="1"/>
    <col min="8" max="8" width="11.5703125" style="15" bestFit="1" customWidth="1"/>
    <col min="9" max="9" width="47.140625" style="15" bestFit="1" customWidth="1"/>
    <col min="10" max="10" width="13.28515625" style="135" bestFit="1" customWidth="1"/>
    <col min="11" max="11" width="9.7109375" style="15" bestFit="1" customWidth="1"/>
    <col min="12" max="12" width="6.7109375" style="15" bestFit="1" customWidth="1"/>
    <col min="13" max="13" width="9" style="136" customWidth="1"/>
    <col min="14" max="14" width="12.28515625" style="15" bestFit="1" customWidth="1"/>
    <col min="15" max="15" width="7.7109375" style="15" customWidth="1"/>
    <col min="16" max="16" width="5.7109375" style="14" customWidth="1"/>
    <col min="17" max="17" width="9.5703125" style="14" customWidth="1"/>
    <col min="18" max="18" width="10.7109375" style="14" customWidth="1"/>
    <col min="19" max="19" width="14.85546875" style="14" bestFit="1" customWidth="1"/>
    <col min="20" max="20" width="11.28515625" style="14" customWidth="1"/>
    <col min="21" max="21" width="11.28515625" style="14" bestFit="1" customWidth="1"/>
    <col min="22" max="23" width="8.85546875" style="14" bestFit="1" customWidth="1"/>
    <col min="24" max="24" width="15" style="14" customWidth="1"/>
    <col min="25" max="25" width="13" style="14" customWidth="1"/>
    <col min="26" max="26" width="11.7109375" style="14" hidden="1" customWidth="1"/>
    <col min="27" max="27" width="10.140625" style="14" hidden="1" customWidth="1"/>
    <col min="28" max="28" width="9.28515625" style="14" hidden="1" customWidth="1"/>
    <col min="29" max="29" width="10.140625" style="14" bestFit="1" customWidth="1"/>
    <col min="30" max="16384" width="11.42578125" style="14"/>
  </cols>
  <sheetData>
    <row r="1" spans="1:43" s="1" customFormat="1" ht="18" customHeight="1" x14ac:dyDescent="0.3">
      <c r="E1" s="32"/>
      <c r="F1" s="32"/>
      <c r="G1" s="32"/>
      <c r="H1" s="81">
        <f ca="1">NOW()</f>
        <v>45827.211385763891</v>
      </c>
      <c r="I1" s="105" t="s">
        <v>5</v>
      </c>
      <c r="J1" s="34"/>
      <c r="K1"/>
      <c r="L1" s="32"/>
      <c r="M1" s="39"/>
      <c r="N1" s="120"/>
      <c r="O1" s="120"/>
      <c r="P1" s="120"/>
      <c r="Q1" s="121"/>
      <c r="R1" s="122"/>
      <c r="S1" s="124">
        <v>7</v>
      </c>
      <c r="T1" s="6"/>
      <c r="AA1" s="4" t="s">
        <v>90</v>
      </c>
      <c r="AD1" s="31" t="s">
        <v>1</v>
      </c>
      <c r="AE1" s="31" t="s">
        <v>6</v>
      </c>
      <c r="AF1" s="31" t="s">
        <v>3</v>
      </c>
      <c r="AH1" s="67" t="s">
        <v>1</v>
      </c>
      <c r="AI1" s="67" t="s">
        <v>6</v>
      </c>
      <c r="AJ1" s="67" t="s">
        <v>3</v>
      </c>
      <c r="AK1"/>
      <c r="AL1"/>
      <c r="AM1"/>
      <c r="AN1"/>
      <c r="AO1"/>
      <c r="AP1"/>
      <c r="AQ1"/>
    </row>
    <row r="2" spans="1:43" s="1" customFormat="1" x14ac:dyDescent="0.25">
      <c r="E2" s="33"/>
      <c r="F2" s="33"/>
      <c r="G2" s="33"/>
      <c r="H2" s="33"/>
      <c r="I2" s="141">
        <f ca="1">NOW()</f>
        <v>45827.211385763891</v>
      </c>
      <c r="J2" s="141"/>
      <c r="K2" s="141"/>
      <c r="L2" s="141"/>
      <c r="M2" s="39"/>
      <c r="N2" s="120"/>
      <c r="O2" s="120"/>
      <c r="P2" s="120"/>
      <c r="Q2" s="120"/>
      <c r="R2" s="120"/>
      <c r="S2" s="7"/>
      <c r="T2" s="6"/>
      <c r="AD2" s="66" t="s">
        <v>96</v>
      </c>
      <c r="AE2" s="66" t="s">
        <v>471</v>
      </c>
      <c r="AF2" s="66">
        <v>1</v>
      </c>
      <c r="AH2" s="66" t="s">
        <v>96</v>
      </c>
      <c r="AI2" s="66" t="s">
        <v>7</v>
      </c>
      <c r="AJ2" s="66">
        <v>1</v>
      </c>
      <c r="AL2"/>
      <c r="AM2"/>
      <c r="AN2"/>
      <c r="AO2"/>
      <c r="AP2"/>
      <c r="AQ2"/>
    </row>
    <row r="3" spans="1:43" s="1" customFormat="1" ht="12.75" x14ac:dyDescent="0.2">
      <c r="D3" s="8"/>
      <c r="E3" s="9"/>
      <c r="F3" s="88"/>
      <c r="G3" s="88"/>
      <c r="H3" s="15"/>
      <c r="I3" s="89"/>
      <c r="J3" s="123"/>
      <c r="K3" s="127"/>
      <c r="L3" s="127"/>
      <c r="M3" s="90"/>
      <c r="N3" s="91"/>
      <c r="O3" s="9"/>
      <c r="P3" s="6"/>
      <c r="Q3" s="6"/>
      <c r="R3" s="6"/>
      <c r="S3" s="6"/>
      <c r="T3" s="6"/>
      <c r="AD3" s="66" t="s">
        <v>96</v>
      </c>
      <c r="AE3" s="66" t="s">
        <v>7</v>
      </c>
      <c r="AF3" s="66">
        <v>1</v>
      </c>
    </row>
    <row r="4" spans="1:43" s="1" customFormat="1" ht="12.75" x14ac:dyDescent="0.2">
      <c r="D4" s="9"/>
      <c r="E4" s="11"/>
      <c r="F4" s="142" t="s">
        <v>105</v>
      </c>
      <c r="G4" s="142"/>
      <c r="H4" s="142"/>
      <c r="I4" s="142"/>
      <c r="J4" s="140" t="s">
        <v>101</v>
      </c>
      <c r="K4" s="140"/>
      <c r="L4" s="140"/>
      <c r="M4" s="140" t="s">
        <v>102</v>
      </c>
      <c r="N4" s="140"/>
      <c r="O4" s="126"/>
      <c r="P4" s="126"/>
      <c r="Q4" s="126"/>
      <c r="R4" s="125"/>
      <c r="S4" s="6"/>
      <c r="T4" s="6"/>
      <c r="AD4"/>
      <c r="AE4"/>
      <c r="AF4"/>
    </row>
    <row r="5" spans="1:43" s="1" customFormat="1" ht="12.75" x14ac:dyDescent="0.2">
      <c r="D5" s="9"/>
      <c r="E5" s="11"/>
      <c r="F5" s="138"/>
      <c r="G5" s="138"/>
      <c r="H5" s="137"/>
      <c r="I5" s="139"/>
      <c r="J5" s="92"/>
      <c r="K5" s="118"/>
      <c r="L5" s="128"/>
      <c r="N5" s="93"/>
      <c r="O5" s="93"/>
      <c r="P5" s="119"/>
      <c r="S5" s="6"/>
      <c r="T5" s="6"/>
      <c r="AD5"/>
      <c r="AE5"/>
      <c r="AF5"/>
    </row>
    <row r="6" spans="1:43" s="1" customFormat="1" ht="12.75" x14ac:dyDescent="0.2">
      <c r="D6" s="9"/>
      <c r="E6" s="11"/>
      <c r="F6" s="142" t="s">
        <v>104</v>
      </c>
      <c r="G6" s="142"/>
      <c r="H6" s="142"/>
      <c r="I6" s="142"/>
      <c r="J6" s="140" t="s">
        <v>106</v>
      </c>
      <c r="K6" s="140"/>
      <c r="L6" s="140"/>
      <c r="M6" s="140" t="s">
        <v>103</v>
      </c>
      <c r="N6" s="140"/>
      <c r="O6" s="126"/>
      <c r="P6" s="126"/>
      <c r="Q6" s="126"/>
      <c r="R6" s="126"/>
      <c r="S6" s="6"/>
      <c r="T6" s="6"/>
      <c r="AD6"/>
      <c r="AE6"/>
      <c r="AF6"/>
    </row>
    <row r="7" spans="1:43" s="1" customFormat="1" ht="12.75" x14ac:dyDescent="0.2">
      <c r="A7" s="4"/>
      <c r="B7" s="4"/>
      <c r="C7" s="4"/>
      <c r="D7" s="6"/>
      <c r="E7" s="9"/>
      <c r="F7" s="9"/>
      <c r="G7" s="9"/>
      <c r="H7" s="5"/>
      <c r="I7" s="13"/>
      <c r="J7" s="10"/>
      <c r="K7" s="9"/>
      <c r="L7" s="9"/>
      <c r="M7" s="8"/>
      <c r="N7" s="12"/>
      <c r="O7" s="9"/>
      <c r="P7" s="6"/>
      <c r="Q7" s="6"/>
      <c r="R7" s="6"/>
      <c r="S7" s="6"/>
      <c r="T7" s="6"/>
      <c r="AD7"/>
      <c r="AE7"/>
      <c r="AF7"/>
    </row>
    <row r="8" spans="1:43" ht="36" customHeight="1" x14ac:dyDescent="0.2">
      <c r="A8" s="20" t="s">
        <v>8</v>
      </c>
      <c r="B8" s="20" t="s">
        <v>9</v>
      </c>
      <c r="C8" s="86" t="s">
        <v>10</v>
      </c>
      <c r="D8" s="84" t="s">
        <v>0</v>
      </c>
      <c r="E8" s="84" t="s">
        <v>1</v>
      </c>
      <c r="F8" s="84" t="s">
        <v>2</v>
      </c>
      <c r="G8" s="84" t="s">
        <v>3</v>
      </c>
      <c r="H8" s="85" t="s">
        <v>11</v>
      </c>
      <c r="I8" s="86" t="s">
        <v>12</v>
      </c>
      <c r="J8" s="84" t="s">
        <v>13</v>
      </c>
      <c r="K8" s="86" t="s">
        <v>14</v>
      </c>
      <c r="L8" s="86" t="s">
        <v>15</v>
      </c>
      <c r="M8" s="86" t="s">
        <v>16</v>
      </c>
      <c r="N8" s="86" t="s">
        <v>17</v>
      </c>
      <c r="O8" s="84" t="s">
        <v>94</v>
      </c>
      <c r="P8" s="86" t="s">
        <v>93</v>
      </c>
      <c r="Q8" s="86" t="s">
        <v>18</v>
      </c>
      <c r="R8" s="86" t="s">
        <v>19</v>
      </c>
      <c r="S8" s="2" t="s">
        <v>20</v>
      </c>
      <c r="T8" s="2" t="s">
        <v>21</v>
      </c>
      <c r="U8" s="2" t="s">
        <v>22</v>
      </c>
      <c r="V8" s="3" t="s">
        <v>6</v>
      </c>
      <c r="W8" s="3" t="s">
        <v>23</v>
      </c>
      <c r="X8" s="3" t="s">
        <v>24</v>
      </c>
      <c r="Y8" s="3" t="s">
        <v>25</v>
      </c>
      <c r="Z8" s="96" t="s">
        <v>26</v>
      </c>
      <c r="AA8" s="96" t="s">
        <v>27</v>
      </c>
      <c r="AB8" s="96" t="s">
        <v>28</v>
      </c>
      <c r="AC8" s="1"/>
      <c r="AD8"/>
      <c r="AE8"/>
      <c r="AF8"/>
    </row>
    <row r="9" spans="1:43" ht="15" customHeight="1" x14ac:dyDescent="0.2">
      <c r="A9" s="159" t="str">
        <f t="shared" ref="A9" si="0">D9&amp;E9</f>
        <v>MRC01</v>
      </c>
      <c r="B9" s="160" t="str">
        <f>IF(TABLAINV[[#This Row],[Z]]="","",D9&amp;"."&amp;TEXT(E9,"000")&amp;"."&amp;TEXT(F9,"000")&amp;"."&amp;TEXT(G9,"000"))</f>
        <v>MR.C01.001.001</v>
      </c>
      <c r="C9" s="161"/>
      <c r="D9" s="162" t="s">
        <v>95</v>
      </c>
      <c r="E9" s="162" t="s">
        <v>96</v>
      </c>
      <c r="F9" s="162">
        <v>1</v>
      </c>
      <c r="G9" s="162">
        <v>1</v>
      </c>
      <c r="H9" s="162">
        <v>396035001</v>
      </c>
      <c r="I9" s="162" t="s">
        <v>97</v>
      </c>
      <c r="J9" s="161">
        <v>24</v>
      </c>
      <c r="K9" s="162" t="s">
        <v>64</v>
      </c>
      <c r="L9" s="163" t="s">
        <v>98</v>
      </c>
      <c r="M9" s="162" t="s">
        <v>99</v>
      </c>
      <c r="N9" s="161" t="s">
        <v>91</v>
      </c>
      <c r="O9" s="161">
        <v>24</v>
      </c>
      <c r="P9" s="163">
        <v>24</v>
      </c>
      <c r="Q9" s="163"/>
      <c r="R9" s="162"/>
      <c r="S9" s="164">
        <f>TABLAINV[[#This Row],[Conteo Físico]]-TABLAINV[[#This Row],[Cant. UND]]</f>
        <v>0</v>
      </c>
      <c r="T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" s="165" t="str">
        <f>IFERROR(IF(MOD(TABLAINV[[#This Row],[C]],2)=0,"PAR","IMPAR"),"Zona")</f>
        <v>IMPAR</v>
      </c>
      <c r="W9" s="166"/>
      <c r="X9" s="167">
        <f>IFERROR(IF(TABLAINV[[#This Row],[Cant. UND]]=0,TABLAINV[[#This Row],[PMV]]*TABLAINV[[#This Row],[Conteo Físico]],TABLAINV[[#This Row],[PMV]]*TABLAINV[[#This Row],[Cant. UND]]),0)</f>
        <v>0</v>
      </c>
      <c r="Y9" s="167">
        <f>IFERROR(ABS(TABLAINV[[#This Row],[PMV]]*TABLAINV[[#This Row],[Diferencia]]),0)</f>
        <v>0</v>
      </c>
      <c r="Z9" s="168">
        <f>IFERROR(VLOOKUP(TABLAINV[[#This Row],[Codigo Estado]],unds!O:P,2,0),"PEND.")</f>
        <v>2001</v>
      </c>
      <c r="AA9" s="168" t="str">
        <f t="shared" ref="AA9" si="1">$AA$1</f>
        <v>CD09</v>
      </c>
      <c r="AB9" s="169">
        <f t="shared" ref="AB9" ca="1" si="2">TODAY()</f>
        <v>45827</v>
      </c>
      <c r="AC9" s="1"/>
      <c r="AD9" s="1"/>
      <c r="AE9" s="1"/>
      <c r="AF9" s="1"/>
    </row>
    <row r="10" spans="1:43" ht="15" customHeight="1" x14ac:dyDescent="0.2">
      <c r="A10" s="170" t="str">
        <f t="shared" ref="A10:A73" si="3">D10&amp;E10</f>
        <v>MRC01</v>
      </c>
      <c r="B10" s="160" t="str">
        <f>IF(TABLAINV[[#This Row],[Z]]="","",D10&amp;"."&amp;TEXT(E10,"000")&amp;"."&amp;TEXT(F10,"000")&amp;"."&amp;TEXT(G10,"000"))</f>
        <v>MR.C01.001.001</v>
      </c>
      <c r="C10" s="161"/>
      <c r="D10" s="162" t="s">
        <v>95</v>
      </c>
      <c r="E10" s="162" t="s">
        <v>96</v>
      </c>
      <c r="F10" s="162">
        <v>1</v>
      </c>
      <c r="G10" s="162">
        <v>1</v>
      </c>
      <c r="H10" s="162">
        <v>973054</v>
      </c>
      <c r="I10" s="162" t="s">
        <v>107</v>
      </c>
      <c r="J10" s="171">
        <v>1</v>
      </c>
      <c r="K10" s="162" t="s">
        <v>64</v>
      </c>
      <c r="L10" s="163" t="s">
        <v>108</v>
      </c>
      <c r="M10" s="162" t="s">
        <v>99</v>
      </c>
      <c r="N10" s="161" t="s">
        <v>91</v>
      </c>
      <c r="O10" s="161">
        <v>1</v>
      </c>
      <c r="P10" s="163">
        <v>1</v>
      </c>
      <c r="Q10" s="163"/>
      <c r="R10" s="162"/>
      <c r="S10" s="164">
        <f>TABLAINV[[#This Row],[Conteo Físico]]-TABLAINV[[#This Row],[Cant. UND]]</f>
        <v>0</v>
      </c>
      <c r="T1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" s="165" t="str">
        <f>IFERROR(IF(MOD(TABLAINV[[#This Row],[C]],2)=0,"PAR","IMPAR"),"Zona")</f>
        <v>IMPAR</v>
      </c>
      <c r="W10" s="166"/>
      <c r="X10" s="167">
        <f>IFERROR(IF(TABLAINV[[#This Row],[Cant. UND]]=0,TABLAINV[[#This Row],[PMV]]*TABLAINV[[#This Row],[Conteo Físico]],TABLAINV[[#This Row],[PMV]]*TABLAINV[[#This Row],[Cant. UND]]),0)</f>
        <v>0</v>
      </c>
      <c r="Y10" s="167">
        <f>IFERROR(ABS(TABLAINV[[#This Row],[PMV]]*TABLAINV[[#This Row],[Diferencia]]),0)</f>
        <v>0</v>
      </c>
      <c r="Z10" s="168">
        <f>IFERROR(VLOOKUP(TABLAINV[[#This Row],[Codigo Estado]],unds!O:P,2,0),"PEND.")</f>
        <v>2001</v>
      </c>
      <c r="AA10" s="168" t="str">
        <f t="shared" ref="AA10:AA73" si="4">$AA$1</f>
        <v>CD09</v>
      </c>
      <c r="AB10" s="169">
        <f t="shared" ref="AB10:AB73" ca="1" si="5">TODAY()</f>
        <v>45827</v>
      </c>
      <c r="AC10" s="1"/>
      <c r="AD10" s="1"/>
      <c r="AE10" s="1"/>
      <c r="AF10" s="1"/>
    </row>
    <row r="11" spans="1:43" ht="15" customHeight="1" x14ac:dyDescent="0.2">
      <c r="A11" s="170" t="str">
        <f t="shared" si="3"/>
        <v>MRC01</v>
      </c>
      <c r="B11" s="160" t="str">
        <f>IF(TABLAINV[[#This Row],[Z]]="","",D11&amp;"."&amp;TEXT(E11,"000")&amp;"."&amp;TEXT(F11,"000")&amp;"."&amp;TEXT(G11,"000"))</f>
        <v>MR.C01.001.003</v>
      </c>
      <c r="C11" s="161"/>
      <c r="D11" s="162" t="s">
        <v>95</v>
      </c>
      <c r="E11" s="162" t="s">
        <v>96</v>
      </c>
      <c r="F11" s="162">
        <v>1</v>
      </c>
      <c r="G11" s="162">
        <v>3</v>
      </c>
      <c r="H11" s="162">
        <v>3283</v>
      </c>
      <c r="I11" s="162" t="s">
        <v>109</v>
      </c>
      <c r="J11" s="171">
        <v>12</v>
      </c>
      <c r="K11" s="162" t="s">
        <v>64</v>
      </c>
      <c r="L11" s="163" t="s">
        <v>110</v>
      </c>
      <c r="M11" s="162" t="s">
        <v>111</v>
      </c>
      <c r="N11" s="161" t="s">
        <v>91</v>
      </c>
      <c r="O11" s="161">
        <v>12</v>
      </c>
      <c r="P11" s="163">
        <v>12</v>
      </c>
      <c r="Q11" s="163"/>
      <c r="R11" s="162"/>
      <c r="S11" s="164">
        <f>TABLAINV[[#This Row],[Conteo Físico]]-TABLAINV[[#This Row],[Cant. UND]]</f>
        <v>0</v>
      </c>
      <c r="T1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" s="165" t="str">
        <f>IFERROR(IF(MOD(TABLAINV[[#This Row],[C]],2)=0,"PAR","IMPAR"),"Zona")</f>
        <v>IMPAR</v>
      </c>
      <c r="W11" s="166"/>
      <c r="X11" s="167">
        <f>IFERROR(IF(TABLAINV[[#This Row],[Cant. UND]]=0,TABLAINV[[#This Row],[PMV]]*TABLAINV[[#This Row],[Conteo Físico]],TABLAINV[[#This Row],[PMV]]*TABLAINV[[#This Row],[Cant. UND]]),0)</f>
        <v>0</v>
      </c>
      <c r="Y11" s="167">
        <f>IFERROR(ABS(TABLAINV[[#This Row],[PMV]]*TABLAINV[[#This Row],[Diferencia]]),0)</f>
        <v>0</v>
      </c>
      <c r="Z11" s="168">
        <f>IFERROR(VLOOKUP(TABLAINV[[#This Row],[Codigo Estado]],unds!O:P,2,0),"PEND.")</f>
        <v>2001</v>
      </c>
      <c r="AA11" s="168" t="str">
        <f t="shared" si="4"/>
        <v>CD09</v>
      </c>
      <c r="AB11" s="169">
        <f t="shared" ca="1" si="5"/>
        <v>45827</v>
      </c>
      <c r="AC11" s="1"/>
      <c r="AD11" s="1"/>
      <c r="AE11" s="1"/>
      <c r="AF11" s="1"/>
    </row>
    <row r="12" spans="1:43" ht="15" customHeight="1" x14ac:dyDescent="0.2">
      <c r="A12" s="170" t="str">
        <f t="shared" si="3"/>
        <v>MRC01</v>
      </c>
      <c r="B12" s="160" t="str">
        <f>IF(TABLAINV[[#This Row],[Z]]="","",D12&amp;"."&amp;TEXT(E12,"000")&amp;"."&amp;TEXT(F12,"000")&amp;"."&amp;TEXT(G12,"000"))</f>
        <v>MR.C01.001.003</v>
      </c>
      <c r="C12" s="161"/>
      <c r="D12" s="162" t="s">
        <v>95</v>
      </c>
      <c r="E12" s="162" t="s">
        <v>96</v>
      </c>
      <c r="F12" s="162">
        <v>1</v>
      </c>
      <c r="G12" s="162">
        <v>3</v>
      </c>
      <c r="H12" s="162">
        <v>974465</v>
      </c>
      <c r="I12" s="162" t="s">
        <v>112</v>
      </c>
      <c r="J12" s="171">
        <v>72</v>
      </c>
      <c r="K12" s="162" t="s">
        <v>64</v>
      </c>
      <c r="L12" s="163" t="s">
        <v>113</v>
      </c>
      <c r="M12" s="162" t="s">
        <v>99</v>
      </c>
      <c r="N12" s="161" t="s">
        <v>91</v>
      </c>
      <c r="O12" s="161">
        <v>72</v>
      </c>
      <c r="P12" s="163">
        <v>72</v>
      </c>
      <c r="Q12" s="163"/>
      <c r="R12" s="162"/>
      <c r="S12" s="164">
        <f>TABLAINV[[#This Row],[Conteo Físico]]-TABLAINV[[#This Row],[Cant. UND]]</f>
        <v>0</v>
      </c>
      <c r="T1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" s="165" t="str">
        <f>IFERROR(IF(MOD(TABLAINV[[#This Row],[C]],2)=0,"PAR","IMPAR"),"Zona")</f>
        <v>IMPAR</v>
      </c>
      <c r="W12" s="166"/>
      <c r="X12" s="167">
        <f>IFERROR(IF(TABLAINV[[#This Row],[Cant. UND]]=0,TABLAINV[[#This Row],[PMV]]*TABLAINV[[#This Row],[Conteo Físico]],TABLAINV[[#This Row],[PMV]]*TABLAINV[[#This Row],[Cant. UND]]),0)</f>
        <v>0</v>
      </c>
      <c r="Y12" s="167">
        <f>IFERROR(ABS(TABLAINV[[#This Row],[PMV]]*TABLAINV[[#This Row],[Diferencia]]),0)</f>
        <v>0</v>
      </c>
      <c r="Z12" s="168">
        <f>IFERROR(VLOOKUP(TABLAINV[[#This Row],[Codigo Estado]],unds!O:P,2,0),"PEND.")</f>
        <v>2001</v>
      </c>
      <c r="AA12" s="168" t="str">
        <f t="shared" si="4"/>
        <v>CD09</v>
      </c>
      <c r="AB12" s="169">
        <f t="shared" ca="1" si="5"/>
        <v>45827</v>
      </c>
      <c r="AC12" s="1"/>
      <c r="AD12" s="1"/>
      <c r="AE12" s="1"/>
      <c r="AF12" s="1"/>
    </row>
    <row r="13" spans="1:43" ht="15" customHeight="1" x14ac:dyDescent="0.2">
      <c r="A13" s="170" t="str">
        <f t="shared" si="3"/>
        <v>MRC01</v>
      </c>
      <c r="B13" s="160" t="str">
        <f>IF(TABLAINV[[#This Row],[Z]]="","",D13&amp;"."&amp;TEXT(E13,"000")&amp;"."&amp;TEXT(F13,"000")&amp;"."&amp;TEXT(G13,"000"))</f>
        <v>MR.C01.002.002</v>
      </c>
      <c r="C13" s="161"/>
      <c r="D13" s="162" t="s">
        <v>95</v>
      </c>
      <c r="E13" s="162" t="s">
        <v>96</v>
      </c>
      <c r="F13" s="162">
        <v>2</v>
      </c>
      <c r="G13" s="162">
        <v>2</v>
      </c>
      <c r="H13" s="162">
        <v>317947</v>
      </c>
      <c r="I13" s="162" t="s">
        <v>114</v>
      </c>
      <c r="J13" s="171">
        <v>10</v>
      </c>
      <c r="K13" s="162" t="s">
        <v>64</v>
      </c>
      <c r="L13" s="163" t="s">
        <v>115</v>
      </c>
      <c r="M13" s="162" t="s">
        <v>99</v>
      </c>
      <c r="N13" s="161" t="s">
        <v>91</v>
      </c>
      <c r="O13" s="161">
        <v>10</v>
      </c>
      <c r="P13" s="163">
        <v>10</v>
      </c>
      <c r="Q13" s="163"/>
      <c r="R13" s="162"/>
      <c r="S13" s="164">
        <f>TABLAINV[[#This Row],[Conteo Físico]]-TABLAINV[[#This Row],[Cant. UND]]</f>
        <v>0</v>
      </c>
      <c r="T1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" s="165" t="str">
        <f>IFERROR(IF(MOD(TABLAINV[[#This Row],[C]],2)=0,"PAR","IMPAR"),"Zona")</f>
        <v>PAR</v>
      </c>
      <c r="W13" s="166"/>
      <c r="X13" s="167">
        <f>IFERROR(IF(TABLAINV[[#This Row],[Cant. UND]]=0,TABLAINV[[#This Row],[PMV]]*TABLAINV[[#This Row],[Conteo Físico]],TABLAINV[[#This Row],[PMV]]*TABLAINV[[#This Row],[Cant. UND]]),0)</f>
        <v>0</v>
      </c>
      <c r="Y13" s="167">
        <f>IFERROR(ABS(TABLAINV[[#This Row],[PMV]]*TABLAINV[[#This Row],[Diferencia]]),0)</f>
        <v>0</v>
      </c>
      <c r="Z13" s="168">
        <f>IFERROR(VLOOKUP(TABLAINV[[#This Row],[Codigo Estado]],unds!O:P,2,0),"PEND.")</f>
        <v>2001</v>
      </c>
      <c r="AA13" s="168" t="str">
        <f t="shared" si="4"/>
        <v>CD09</v>
      </c>
      <c r="AB13" s="169">
        <f t="shared" ca="1" si="5"/>
        <v>45827</v>
      </c>
      <c r="AC13" s="1"/>
      <c r="AD13" s="1"/>
      <c r="AE13" s="1"/>
      <c r="AF13" s="1"/>
    </row>
    <row r="14" spans="1:43" ht="15" customHeight="1" x14ac:dyDescent="0.2">
      <c r="A14" s="170" t="str">
        <f t="shared" si="3"/>
        <v>MRC01</v>
      </c>
      <c r="B14" s="160" t="str">
        <f>IF(TABLAINV[[#This Row],[Z]]="","",D14&amp;"."&amp;TEXT(E14,"000")&amp;"."&amp;TEXT(F14,"000")&amp;"."&amp;TEXT(G14,"000"))</f>
        <v>MR.C01.003.002</v>
      </c>
      <c r="C14" s="161"/>
      <c r="D14" s="162" t="s">
        <v>95</v>
      </c>
      <c r="E14" s="162" t="s">
        <v>96</v>
      </c>
      <c r="F14" s="162">
        <v>3</v>
      </c>
      <c r="G14" s="162">
        <v>2</v>
      </c>
      <c r="H14" s="162">
        <v>998918</v>
      </c>
      <c r="I14" s="162" t="s">
        <v>116</v>
      </c>
      <c r="J14" s="171">
        <v>2</v>
      </c>
      <c r="K14" s="162" t="s">
        <v>64</v>
      </c>
      <c r="L14" s="163" t="s">
        <v>117</v>
      </c>
      <c r="M14" s="162" t="s">
        <v>99</v>
      </c>
      <c r="N14" s="161" t="s">
        <v>91</v>
      </c>
      <c r="O14" s="161">
        <v>2</v>
      </c>
      <c r="P14" s="163">
        <v>2</v>
      </c>
      <c r="Q14" s="163"/>
      <c r="R14" s="162"/>
      <c r="S14" s="164">
        <f>TABLAINV[[#This Row],[Conteo Físico]]-TABLAINV[[#This Row],[Cant. UND]]</f>
        <v>0</v>
      </c>
      <c r="T1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" s="165" t="str">
        <f>IFERROR(IF(MOD(TABLAINV[[#This Row],[C]],2)=0,"PAR","IMPAR"),"Zona")</f>
        <v>IMPAR</v>
      </c>
      <c r="W14" s="166"/>
      <c r="X14" s="167">
        <f>IFERROR(IF(TABLAINV[[#This Row],[Cant. UND]]=0,TABLAINV[[#This Row],[PMV]]*TABLAINV[[#This Row],[Conteo Físico]],TABLAINV[[#This Row],[PMV]]*TABLAINV[[#This Row],[Cant. UND]]),0)</f>
        <v>0</v>
      </c>
      <c r="Y14" s="167">
        <f>IFERROR(ABS(TABLAINV[[#This Row],[PMV]]*TABLAINV[[#This Row],[Diferencia]]),0)</f>
        <v>0</v>
      </c>
      <c r="Z14" s="168">
        <f>IFERROR(VLOOKUP(TABLAINV[[#This Row],[Codigo Estado]],unds!O:P,2,0),"PEND.")</f>
        <v>2001</v>
      </c>
      <c r="AA14" s="168" t="str">
        <f t="shared" si="4"/>
        <v>CD09</v>
      </c>
      <c r="AB14" s="169">
        <f t="shared" ca="1" si="5"/>
        <v>45827</v>
      </c>
      <c r="AC14" s="1"/>
      <c r="AD14" s="1"/>
      <c r="AE14" s="1"/>
      <c r="AF14" s="1"/>
    </row>
    <row r="15" spans="1:43" ht="15" customHeight="1" x14ac:dyDescent="0.2">
      <c r="A15" s="170" t="str">
        <f t="shared" si="3"/>
        <v>MRC01</v>
      </c>
      <c r="B15" s="160" t="str">
        <f>IF(TABLAINV[[#This Row],[Z]]="","",D15&amp;"."&amp;TEXT(E15,"000")&amp;"."&amp;TEXT(F15,"000")&amp;"."&amp;TEXT(G15,"000"))</f>
        <v>MR.C01.004.002</v>
      </c>
      <c r="C15" s="161"/>
      <c r="D15" s="162" t="s">
        <v>95</v>
      </c>
      <c r="E15" s="162" t="s">
        <v>96</v>
      </c>
      <c r="F15" s="162">
        <v>4</v>
      </c>
      <c r="G15" s="162">
        <v>2</v>
      </c>
      <c r="H15" s="162">
        <v>70841001</v>
      </c>
      <c r="I15" s="162" t="s">
        <v>118</v>
      </c>
      <c r="J15" s="171">
        <v>72</v>
      </c>
      <c r="K15" s="162" t="s">
        <v>64</v>
      </c>
      <c r="L15" s="163" t="s">
        <v>115</v>
      </c>
      <c r="M15" s="162" t="s">
        <v>99</v>
      </c>
      <c r="N15" s="161" t="s">
        <v>91</v>
      </c>
      <c r="O15" s="161">
        <v>72</v>
      </c>
      <c r="P15" s="163">
        <v>72</v>
      </c>
      <c r="Q15" s="163"/>
      <c r="R15" s="162"/>
      <c r="S15" s="164">
        <f>TABLAINV[[#This Row],[Conteo Físico]]-TABLAINV[[#This Row],[Cant. UND]]</f>
        <v>0</v>
      </c>
      <c r="T1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" s="165" t="str">
        <f>IFERROR(IF(MOD(TABLAINV[[#This Row],[C]],2)=0,"PAR","IMPAR"),"Zona")</f>
        <v>PAR</v>
      </c>
      <c r="W15" s="166"/>
      <c r="X15" s="167">
        <f>IFERROR(IF(TABLAINV[[#This Row],[Cant. UND]]=0,TABLAINV[[#This Row],[PMV]]*TABLAINV[[#This Row],[Conteo Físico]],TABLAINV[[#This Row],[PMV]]*TABLAINV[[#This Row],[Cant. UND]]),0)</f>
        <v>0</v>
      </c>
      <c r="Y15" s="167">
        <f>IFERROR(ABS(TABLAINV[[#This Row],[PMV]]*TABLAINV[[#This Row],[Diferencia]]),0)</f>
        <v>0</v>
      </c>
      <c r="Z15" s="168">
        <f>IFERROR(VLOOKUP(TABLAINV[[#This Row],[Codigo Estado]],unds!O:P,2,0),"PEND.")</f>
        <v>2001</v>
      </c>
      <c r="AA15" s="168" t="str">
        <f t="shared" si="4"/>
        <v>CD09</v>
      </c>
      <c r="AB15" s="169">
        <f t="shared" ca="1" si="5"/>
        <v>45827</v>
      </c>
      <c r="AC15" s="1"/>
      <c r="AD15" s="1"/>
      <c r="AE15" s="1"/>
      <c r="AF15" s="1"/>
    </row>
    <row r="16" spans="1:43" ht="15" customHeight="1" x14ac:dyDescent="0.2">
      <c r="A16" s="170" t="str">
        <f t="shared" si="3"/>
        <v>MRC01</v>
      </c>
      <c r="B16" s="160" t="str">
        <f>IF(TABLAINV[[#This Row],[Z]]="","",D16&amp;"."&amp;TEXT(E16,"000")&amp;"."&amp;TEXT(F16,"000")&amp;"."&amp;TEXT(G16,"000"))</f>
        <v>MR.C01.005.002</v>
      </c>
      <c r="C16" s="161"/>
      <c r="D16" s="162" t="s">
        <v>95</v>
      </c>
      <c r="E16" s="162" t="s">
        <v>96</v>
      </c>
      <c r="F16" s="162">
        <v>5</v>
      </c>
      <c r="G16" s="162">
        <v>2</v>
      </c>
      <c r="H16" s="162">
        <v>974002</v>
      </c>
      <c r="I16" s="162" t="s">
        <v>119</v>
      </c>
      <c r="J16" s="171">
        <v>1</v>
      </c>
      <c r="K16" s="162" t="s">
        <v>64</v>
      </c>
      <c r="L16" s="163" t="s">
        <v>113</v>
      </c>
      <c r="M16" s="162" t="s">
        <v>99</v>
      </c>
      <c r="N16" s="161" t="s">
        <v>91</v>
      </c>
      <c r="O16" s="161">
        <v>1</v>
      </c>
      <c r="P16" s="163">
        <v>1</v>
      </c>
      <c r="Q16" s="163"/>
      <c r="R16" s="162"/>
      <c r="S16" s="164">
        <f>TABLAINV[[#This Row],[Conteo Físico]]-TABLAINV[[#This Row],[Cant. UND]]</f>
        <v>0</v>
      </c>
      <c r="T1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" s="165" t="str">
        <f>IFERROR(IF(MOD(TABLAINV[[#This Row],[C]],2)=0,"PAR","IMPAR"),"Zona")</f>
        <v>IMPAR</v>
      </c>
      <c r="W16" s="166"/>
      <c r="X16" s="167">
        <f>IFERROR(IF(TABLAINV[[#This Row],[Cant. UND]]=0,TABLAINV[[#This Row],[PMV]]*TABLAINV[[#This Row],[Conteo Físico]],TABLAINV[[#This Row],[PMV]]*TABLAINV[[#This Row],[Cant. UND]]),0)</f>
        <v>0</v>
      </c>
      <c r="Y16" s="167">
        <f>IFERROR(ABS(TABLAINV[[#This Row],[PMV]]*TABLAINV[[#This Row],[Diferencia]]),0)</f>
        <v>0</v>
      </c>
      <c r="Z16" s="168">
        <f>IFERROR(VLOOKUP(TABLAINV[[#This Row],[Codigo Estado]],unds!O:P,2,0),"PEND.")</f>
        <v>2001</v>
      </c>
      <c r="AA16" s="168" t="str">
        <f t="shared" si="4"/>
        <v>CD09</v>
      </c>
      <c r="AB16" s="169">
        <f t="shared" ca="1" si="5"/>
        <v>45827</v>
      </c>
      <c r="AC16" s="1"/>
      <c r="AD16" s="1"/>
      <c r="AE16" s="1"/>
      <c r="AF16" s="1"/>
    </row>
    <row r="17" spans="1:32" ht="15" customHeight="1" x14ac:dyDescent="0.2">
      <c r="A17" s="170" t="str">
        <f t="shared" si="3"/>
        <v>MRC01</v>
      </c>
      <c r="B17" s="160" t="str">
        <f>IF(TABLAINV[[#This Row],[Z]]="","",D17&amp;"."&amp;TEXT(E17,"000")&amp;"."&amp;TEXT(F17,"000")&amp;"."&amp;TEXT(G17,"000"))</f>
        <v>MR.C01.007.002</v>
      </c>
      <c r="C17" s="161"/>
      <c r="D17" s="162" t="s">
        <v>95</v>
      </c>
      <c r="E17" s="162" t="s">
        <v>96</v>
      </c>
      <c r="F17" s="162">
        <v>7</v>
      </c>
      <c r="G17" s="162">
        <v>2</v>
      </c>
      <c r="H17" s="162">
        <v>733867</v>
      </c>
      <c r="I17" s="162" t="s">
        <v>120</v>
      </c>
      <c r="J17" s="171">
        <v>1</v>
      </c>
      <c r="K17" s="162" t="s">
        <v>64</v>
      </c>
      <c r="L17" s="163" t="s">
        <v>113</v>
      </c>
      <c r="M17" s="162" t="s">
        <v>99</v>
      </c>
      <c r="N17" s="161" t="s">
        <v>91</v>
      </c>
      <c r="O17" s="161">
        <v>1</v>
      </c>
      <c r="P17" s="163">
        <v>1</v>
      </c>
      <c r="Q17" s="163"/>
      <c r="R17" s="162"/>
      <c r="S17" s="164">
        <f>TABLAINV[[#This Row],[Conteo Físico]]-TABLAINV[[#This Row],[Cant. UND]]</f>
        <v>0</v>
      </c>
      <c r="T1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" s="165" t="str">
        <f>IFERROR(IF(MOD(TABLAINV[[#This Row],[C]],2)=0,"PAR","IMPAR"),"Zona")</f>
        <v>IMPAR</v>
      </c>
      <c r="W17" s="166"/>
      <c r="X17" s="167">
        <f>IFERROR(IF(TABLAINV[[#This Row],[Cant. UND]]=0,TABLAINV[[#This Row],[PMV]]*TABLAINV[[#This Row],[Conteo Físico]],TABLAINV[[#This Row],[PMV]]*TABLAINV[[#This Row],[Cant. UND]]),0)</f>
        <v>0</v>
      </c>
      <c r="Y17" s="167">
        <f>IFERROR(ABS(TABLAINV[[#This Row],[PMV]]*TABLAINV[[#This Row],[Diferencia]]),0)</f>
        <v>0</v>
      </c>
      <c r="Z17" s="168">
        <f>IFERROR(VLOOKUP(TABLAINV[[#This Row],[Codigo Estado]],unds!O:P,2,0),"PEND.")</f>
        <v>2001</v>
      </c>
      <c r="AA17" s="168" t="str">
        <f t="shared" si="4"/>
        <v>CD09</v>
      </c>
      <c r="AB17" s="169">
        <f t="shared" ca="1" si="5"/>
        <v>45827</v>
      </c>
      <c r="AC17" s="1"/>
      <c r="AD17" s="1"/>
      <c r="AE17" s="1"/>
      <c r="AF17" s="1"/>
    </row>
    <row r="18" spans="1:32" ht="15" customHeight="1" x14ac:dyDescent="0.2">
      <c r="A18" s="170" t="str">
        <f t="shared" si="3"/>
        <v>MRC01</v>
      </c>
      <c r="B18" s="160" t="str">
        <f>IF(TABLAINV[[#This Row],[Z]]="","",D18&amp;"."&amp;TEXT(E18,"000")&amp;"."&amp;TEXT(F18,"000")&amp;"."&amp;TEXT(G18,"000"))</f>
        <v>MR.C01.008.002</v>
      </c>
      <c r="C18" s="161"/>
      <c r="D18" s="162" t="s">
        <v>95</v>
      </c>
      <c r="E18" s="162" t="s">
        <v>96</v>
      </c>
      <c r="F18" s="162">
        <v>8</v>
      </c>
      <c r="G18" s="162">
        <v>2</v>
      </c>
      <c r="H18" s="162">
        <v>973999</v>
      </c>
      <c r="I18" s="162" t="s">
        <v>121</v>
      </c>
      <c r="J18" s="171">
        <v>1</v>
      </c>
      <c r="K18" s="162" t="s">
        <v>64</v>
      </c>
      <c r="L18" s="163" t="s">
        <v>113</v>
      </c>
      <c r="M18" s="162" t="s">
        <v>99</v>
      </c>
      <c r="N18" s="161" t="s">
        <v>91</v>
      </c>
      <c r="O18" s="161">
        <v>1</v>
      </c>
      <c r="P18" s="163">
        <v>1</v>
      </c>
      <c r="Q18" s="163"/>
      <c r="R18" s="162"/>
      <c r="S18" s="164">
        <f>TABLAINV[[#This Row],[Conteo Físico]]-TABLAINV[[#This Row],[Cant. UND]]</f>
        <v>0</v>
      </c>
      <c r="T1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" s="165" t="str">
        <f>IFERROR(IF(MOD(TABLAINV[[#This Row],[C]],2)=0,"PAR","IMPAR"),"Zona")</f>
        <v>PAR</v>
      </c>
      <c r="W18" s="166"/>
      <c r="X18" s="167">
        <f>IFERROR(IF(TABLAINV[[#This Row],[Cant. UND]]=0,TABLAINV[[#This Row],[PMV]]*TABLAINV[[#This Row],[Conteo Físico]],TABLAINV[[#This Row],[PMV]]*TABLAINV[[#This Row],[Cant. UND]]),0)</f>
        <v>0</v>
      </c>
      <c r="Y18" s="167">
        <f>IFERROR(ABS(TABLAINV[[#This Row],[PMV]]*TABLAINV[[#This Row],[Diferencia]]),0)</f>
        <v>0</v>
      </c>
      <c r="Z18" s="168">
        <f>IFERROR(VLOOKUP(TABLAINV[[#This Row],[Codigo Estado]],unds!O:P,2,0),"PEND.")</f>
        <v>2001</v>
      </c>
      <c r="AA18" s="168" t="str">
        <f t="shared" si="4"/>
        <v>CD09</v>
      </c>
      <c r="AB18" s="169">
        <f t="shared" ca="1" si="5"/>
        <v>45827</v>
      </c>
      <c r="AC18" s="1"/>
      <c r="AD18" s="1"/>
      <c r="AE18" s="1"/>
      <c r="AF18" s="1"/>
    </row>
    <row r="19" spans="1:32" ht="15" customHeight="1" x14ac:dyDescent="0.2">
      <c r="A19" s="170" t="str">
        <f t="shared" si="3"/>
        <v>MRC01</v>
      </c>
      <c r="B19" s="160" t="str">
        <f>IF(TABLAINV[[#This Row],[Z]]="","",D19&amp;"."&amp;TEXT(E19,"000")&amp;"."&amp;TEXT(F19,"000")&amp;"."&amp;TEXT(G19,"000"))</f>
        <v>MR.C01.011.002</v>
      </c>
      <c r="C19" s="161"/>
      <c r="D19" s="162" t="s">
        <v>95</v>
      </c>
      <c r="E19" s="162" t="s">
        <v>96</v>
      </c>
      <c r="F19" s="162">
        <v>11</v>
      </c>
      <c r="G19" s="162">
        <v>2</v>
      </c>
      <c r="H19" s="162">
        <v>4247</v>
      </c>
      <c r="I19" s="162" t="s">
        <v>122</v>
      </c>
      <c r="J19" s="171">
        <v>9</v>
      </c>
      <c r="K19" s="162" t="s">
        <v>64</v>
      </c>
      <c r="L19" s="163" t="s">
        <v>123</v>
      </c>
      <c r="M19" s="162" t="s">
        <v>111</v>
      </c>
      <c r="N19" s="161" t="s">
        <v>91</v>
      </c>
      <c r="O19" s="161">
        <v>9</v>
      </c>
      <c r="P19" s="163">
        <v>9</v>
      </c>
      <c r="Q19" s="163"/>
      <c r="R19" s="162"/>
      <c r="S19" s="164">
        <f>TABLAINV[[#This Row],[Conteo Físico]]-TABLAINV[[#This Row],[Cant. UND]]</f>
        <v>0</v>
      </c>
      <c r="T1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" s="165" t="str">
        <f>IFERROR(IF(MOD(TABLAINV[[#This Row],[C]],2)=0,"PAR","IMPAR"),"Zona")</f>
        <v>IMPAR</v>
      </c>
      <c r="W19" s="166"/>
      <c r="X19" s="167">
        <f>IFERROR(IF(TABLAINV[[#This Row],[Cant. UND]]=0,TABLAINV[[#This Row],[PMV]]*TABLAINV[[#This Row],[Conteo Físico]],TABLAINV[[#This Row],[PMV]]*TABLAINV[[#This Row],[Cant. UND]]),0)</f>
        <v>0</v>
      </c>
      <c r="Y19" s="167">
        <f>IFERROR(ABS(TABLAINV[[#This Row],[PMV]]*TABLAINV[[#This Row],[Diferencia]]),0)</f>
        <v>0</v>
      </c>
      <c r="Z19" s="168">
        <f>IFERROR(VLOOKUP(TABLAINV[[#This Row],[Codigo Estado]],unds!O:P,2,0),"PEND.")</f>
        <v>2001</v>
      </c>
      <c r="AA19" s="168" t="str">
        <f t="shared" si="4"/>
        <v>CD09</v>
      </c>
      <c r="AB19" s="169">
        <f t="shared" ca="1" si="5"/>
        <v>45827</v>
      </c>
      <c r="AC19" s="1"/>
      <c r="AD19" s="1"/>
      <c r="AE19" s="1"/>
      <c r="AF19" s="1"/>
    </row>
    <row r="20" spans="1:32" ht="15" customHeight="1" x14ac:dyDescent="0.2">
      <c r="A20" s="170" t="str">
        <f t="shared" si="3"/>
        <v>MRC01</v>
      </c>
      <c r="B20" s="160" t="str">
        <f>IF(TABLAINV[[#This Row],[Z]]="","",D20&amp;"."&amp;TEXT(E20,"000")&amp;"."&amp;TEXT(F20,"000")&amp;"."&amp;TEXT(G20,"000"))</f>
        <v>MR.C01.014.001</v>
      </c>
      <c r="C20" s="161"/>
      <c r="D20" s="162" t="s">
        <v>95</v>
      </c>
      <c r="E20" s="162" t="s">
        <v>96</v>
      </c>
      <c r="F20" s="162">
        <v>14</v>
      </c>
      <c r="G20" s="162">
        <v>1</v>
      </c>
      <c r="H20" s="162">
        <v>112569</v>
      </c>
      <c r="I20" s="162" t="s">
        <v>124</v>
      </c>
      <c r="J20" s="171">
        <v>24</v>
      </c>
      <c r="K20" s="162" t="s">
        <v>64</v>
      </c>
      <c r="L20" s="163" t="s">
        <v>125</v>
      </c>
      <c r="M20" s="162" t="s">
        <v>99</v>
      </c>
      <c r="N20" s="161" t="s">
        <v>91</v>
      </c>
      <c r="O20" s="161">
        <v>24</v>
      </c>
      <c r="P20" s="163">
        <v>24</v>
      </c>
      <c r="Q20" s="163"/>
      <c r="R20" s="162"/>
      <c r="S20" s="164">
        <f>TABLAINV[[#This Row],[Conteo Físico]]-TABLAINV[[#This Row],[Cant. UND]]</f>
        <v>0</v>
      </c>
      <c r="T2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" s="165" t="str">
        <f>IFERROR(IF(MOD(TABLAINV[[#This Row],[C]],2)=0,"PAR","IMPAR"),"Zona")</f>
        <v>PAR</v>
      </c>
      <c r="W20" s="166"/>
      <c r="X20" s="167">
        <f>IFERROR(IF(TABLAINV[[#This Row],[Cant. UND]]=0,TABLAINV[[#This Row],[PMV]]*TABLAINV[[#This Row],[Conteo Físico]],TABLAINV[[#This Row],[PMV]]*TABLAINV[[#This Row],[Cant. UND]]),0)</f>
        <v>0</v>
      </c>
      <c r="Y20" s="167">
        <f>IFERROR(ABS(TABLAINV[[#This Row],[PMV]]*TABLAINV[[#This Row],[Diferencia]]),0)</f>
        <v>0</v>
      </c>
      <c r="Z20" s="168">
        <f>IFERROR(VLOOKUP(TABLAINV[[#This Row],[Codigo Estado]],unds!O:P,2,0),"PEND.")</f>
        <v>2001</v>
      </c>
      <c r="AA20" s="168" t="str">
        <f t="shared" si="4"/>
        <v>CD09</v>
      </c>
      <c r="AB20" s="169">
        <f t="shared" ca="1" si="5"/>
        <v>45827</v>
      </c>
      <c r="AC20" s="1"/>
      <c r="AD20" s="1"/>
      <c r="AE20" s="1"/>
      <c r="AF20" s="1"/>
    </row>
    <row r="21" spans="1:32" ht="15" customHeight="1" x14ac:dyDescent="0.2">
      <c r="A21" s="170" t="str">
        <f t="shared" si="3"/>
        <v>MRC01</v>
      </c>
      <c r="B21" s="160" t="str">
        <f>IF(TABLAINV[[#This Row],[Z]]="","",D21&amp;"."&amp;TEXT(E21,"000")&amp;"."&amp;TEXT(F21,"000")&amp;"."&amp;TEXT(G21,"000"))</f>
        <v>MR.C01.015.002</v>
      </c>
      <c r="C21" s="161"/>
      <c r="D21" s="162" t="s">
        <v>95</v>
      </c>
      <c r="E21" s="162" t="s">
        <v>96</v>
      </c>
      <c r="F21" s="162">
        <v>15</v>
      </c>
      <c r="G21" s="162">
        <v>2</v>
      </c>
      <c r="H21" s="162">
        <v>342607</v>
      </c>
      <c r="I21" s="162" t="s">
        <v>126</v>
      </c>
      <c r="J21" s="171">
        <v>1</v>
      </c>
      <c r="K21" s="162" t="s">
        <v>64</v>
      </c>
      <c r="L21" s="163" t="s">
        <v>113</v>
      </c>
      <c r="M21" s="162" t="s">
        <v>99</v>
      </c>
      <c r="N21" s="161" t="s">
        <v>91</v>
      </c>
      <c r="O21" s="161">
        <v>1</v>
      </c>
      <c r="P21" s="163">
        <v>1</v>
      </c>
      <c r="Q21" s="163"/>
      <c r="R21" s="162"/>
      <c r="S21" s="164">
        <f>TABLAINV[[#This Row],[Conteo Físico]]-TABLAINV[[#This Row],[Cant. UND]]</f>
        <v>0</v>
      </c>
      <c r="T2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" s="165" t="str">
        <f>IFERROR(IF(MOD(TABLAINV[[#This Row],[C]],2)=0,"PAR","IMPAR"),"Zona")</f>
        <v>IMPAR</v>
      </c>
      <c r="W21" s="166"/>
      <c r="X21" s="167">
        <f>IFERROR(IF(TABLAINV[[#This Row],[Cant. UND]]=0,TABLAINV[[#This Row],[PMV]]*TABLAINV[[#This Row],[Conteo Físico]],TABLAINV[[#This Row],[PMV]]*TABLAINV[[#This Row],[Cant. UND]]),0)</f>
        <v>0</v>
      </c>
      <c r="Y21" s="167">
        <f>IFERROR(ABS(TABLAINV[[#This Row],[PMV]]*TABLAINV[[#This Row],[Diferencia]]),0)</f>
        <v>0</v>
      </c>
      <c r="Z21" s="168">
        <f>IFERROR(VLOOKUP(TABLAINV[[#This Row],[Codigo Estado]],unds!O:P,2,0),"PEND.")</f>
        <v>2001</v>
      </c>
      <c r="AA21" s="168" t="str">
        <f t="shared" si="4"/>
        <v>CD09</v>
      </c>
      <c r="AB21" s="169">
        <f t="shared" ca="1" si="5"/>
        <v>45827</v>
      </c>
      <c r="AC21" s="1"/>
      <c r="AD21" s="1"/>
      <c r="AE21" s="1"/>
      <c r="AF21" s="1"/>
    </row>
    <row r="22" spans="1:32" ht="15" customHeight="1" x14ac:dyDescent="0.2">
      <c r="A22" s="170" t="str">
        <f t="shared" si="3"/>
        <v>MRC01</v>
      </c>
      <c r="B22" s="160" t="str">
        <f>IF(TABLAINV[[#This Row],[Z]]="","",D22&amp;"."&amp;TEXT(E22,"000")&amp;"."&amp;TEXT(F22,"000")&amp;"."&amp;TEXT(G22,"000"))</f>
        <v>MR.C01.015.002</v>
      </c>
      <c r="C22" s="161"/>
      <c r="D22" s="162" t="s">
        <v>95</v>
      </c>
      <c r="E22" s="162" t="s">
        <v>96</v>
      </c>
      <c r="F22" s="162">
        <v>15</v>
      </c>
      <c r="G22" s="162">
        <v>2</v>
      </c>
      <c r="H22" s="162">
        <v>56462002</v>
      </c>
      <c r="I22" s="162" t="s">
        <v>127</v>
      </c>
      <c r="J22" s="171">
        <v>12</v>
      </c>
      <c r="K22" s="162" t="s">
        <v>64</v>
      </c>
      <c r="L22" s="163" t="s">
        <v>115</v>
      </c>
      <c r="M22" s="162" t="s">
        <v>99</v>
      </c>
      <c r="N22" s="161" t="s">
        <v>91</v>
      </c>
      <c r="O22" s="161">
        <v>12</v>
      </c>
      <c r="P22" s="163">
        <v>12</v>
      </c>
      <c r="Q22" s="163"/>
      <c r="R22" s="162"/>
      <c r="S22" s="164">
        <f>TABLAINV[[#This Row],[Conteo Físico]]-TABLAINV[[#This Row],[Cant. UND]]</f>
        <v>0</v>
      </c>
      <c r="T2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" s="165" t="str">
        <f>IFERROR(IF(MOD(TABLAINV[[#This Row],[C]],2)=0,"PAR","IMPAR"),"Zona")</f>
        <v>IMPAR</v>
      </c>
      <c r="W22" s="166"/>
      <c r="X22" s="167">
        <f>IFERROR(IF(TABLAINV[[#This Row],[Cant. UND]]=0,TABLAINV[[#This Row],[PMV]]*TABLAINV[[#This Row],[Conteo Físico]],TABLAINV[[#This Row],[PMV]]*TABLAINV[[#This Row],[Cant. UND]]),0)</f>
        <v>0</v>
      </c>
      <c r="Y22" s="167">
        <f>IFERROR(ABS(TABLAINV[[#This Row],[PMV]]*TABLAINV[[#This Row],[Diferencia]]),0)</f>
        <v>0</v>
      </c>
      <c r="Z22" s="168">
        <f>IFERROR(VLOOKUP(TABLAINV[[#This Row],[Codigo Estado]],unds!O:P,2,0),"PEND.")</f>
        <v>2001</v>
      </c>
      <c r="AA22" s="168" t="str">
        <f t="shared" si="4"/>
        <v>CD09</v>
      </c>
      <c r="AB22" s="169">
        <f t="shared" ca="1" si="5"/>
        <v>45827</v>
      </c>
      <c r="AC22" s="1"/>
      <c r="AD22" s="1"/>
      <c r="AE22" s="1"/>
      <c r="AF22" s="1"/>
    </row>
    <row r="23" spans="1:32" ht="15" customHeight="1" x14ac:dyDescent="0.2">
      <c r="A23" s="170" t="str">
        <f t="shared" si="3"/>
        <v>MRC01</v>
      </c>
      <c r="B23" s="160" t="str">
        <f>IF(TABLAINV[[#This Row],[Z]]="","",D23&amp;"."&amp;TEXT(E23,"000")&amp;"."&amp;TEXT(F23,"000")&amp;"."&amp;TEXT(G23,"000"))</f>
        <v>MR.C01.027.002</v>
      </c>
      <c r="C23" s="161"/>
      <c r="D23" s="162" t="s">
        <v>95</v>
      </c>
      <c r="E23" s="162" t="s">
        <v>96</v>
      </c>
      <c r="F23" s="162">
        <v>27</v>
      </c>
      <c r="G23" s="162">
        <v>2</v>
      </c>
      <c r="H23" s="162">
        <v>353462001</v>
      </c>
      <c r="I23" s="162" t="s">
        <v>128</v>
      </c>
      <c r="J23" s="171">
        <v>6</v>
      </c>
      <c r="K23" s="162" t="s">
        <v>64</v>
      </c>
      <c r="L23" s="163" t="s">
        <v>115</v>
      </c>
      <c r="M23" s="162" t="s">
        <v>99</v>
      </c>
      <c r="N23" s="161" t="s">
        <v>91</v>
      </c>
      <c r="O23" s="161">
        <v>6</v>
      </c>
      <c r="P23" s="163">
        <v>6</v>
      </c>
      <c r="Q23" s="163"/>
      <c r="R23" s="162"/>
      <c r="S23" s="164">
        <f>TABLAINV[[#This Row],[Conteo Físico]]-TABLAINV[[#This Row],[Cant. UND]]</f>
        <v>0</v>
      </c>
      <c r="T2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" s="165" t="str">
        <f>IFERROR(IF(MOD(TABLAINV[[#This Row],[C]],2)=0,"PAR","IMPAR"),"Zona")</f>
        <v>IMPAR</v>
      </c>
      <c r="W23" s="166"/>
      <c r="X23" s="167">
        <f>IFERROR(IF(TABLAINV[[#This Row],[Cant. UND]]=0,TABLAINV[[#This Row],[PMV]]*TABLAINV[[#This Row],[Conteo Físico]],TABLAINV[[#This Row],[PMV]]*TABLAINV[[#This Row],[Cant. UND]]),0)</f>
        <v>0</v>
      </c>
      <c r="Y23" s="167">
        <f>IFERROR(ABS(TABLAINV[[#This Row],[PMV]]*TABLAINV[[#This Row],[Diferencia]]),0)</f>
        <v>0</v>
      </c>
      <c r="Z23" s="168">
        <f>IFERROR(VLOOKUP(TABLAINV[[#This Row],[Codigo Estado]],unds!O:P,2,0),"PEND.")</f>
        <v>2001</v>
      </c>
      <c r="AA23" s="168" t="str">
        <f t="shared" si="4"/>
        <v>CD09</v>
      </c>
      <c r="AB23" s="169">
        <f t="shared" ca="1" si="5"/>
        <v>45827</v>
      </c>
      <c r="AC23" s="1"/>
      <c r="AD23" s="1"/>
      <c r="AE23" s="1"/>
      <c r="AF23" s="1"/>
    </row>
    <row r="24" spans="1:32" ht="15" customHeight="1" x14ac:dyDescent="0.2">
      <c r="A24" s="170" t="str">
        <f t="shared" si="3"/>
        <v>MRC01</v>
      </c>
      <c r="B24" s="160" t="str">
        <f>IF(TABLAINV[[#This Row],[Z]]="","",D24&amp;"."&amp;TEXT(E24,"000")&amp;"."&amp;TEXT(F24,"000")&amp;"."&amp;TEXT(G24,"000"))</f>
        <v>MR.C01.035.001</v>
      </c>
      <c r="C24" s="161"/>
      <c r="D24" s="162" t="s">
        <v>95</v>
      </c>
      <c r="E24" s="162" t="s">
        <v>96</v>
      </c>
      <c r="F24" s="162">
        <v>35</v>
      </c>
      <c r="G24" s="162">
        <v>1</v>
      </c>
      <c r="H24" s="162">
        <v>913114</v>
      </c>
      <c r="I24" s="162" t="s">
        <v>129</v>
      </c>
      <c r="J24" s="171">
        <v>12</v>
      </c>
      <c r="K24" s="162" t="s">
        <v>64</v>
      </c>
      <c r="L24" s="163" t="s">
        <v>115</v>
      </c>
      <c r="M24" s="162" t="s">
        <v>99</v>
      </c>
      <c r="N24" s="161" t="s">
        <v>91</v>
      </c>
      <c r="O24" s="161">
        <v>12</v>
      </c>
      <c r="P24" s="163">
        <v>12</v>
      </c>
      <c r="Q24" s="163"/>
      <c r="R24" s="162"/>
      <c r="S24" s="164">
        <f>TABLAINV[[#This Row],[Conteo Físico]]-TABLAINV[[#This Row],[Cant. UND]]</f>
        <v>0</v>
      </c>
      <c r="T2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" s="165" t="str">
        <f>IFERROR(IF(MOD(TABLAINV[[#This Row],[C]],2)=0,"PAR","IMPAR"),"Zona")</f>
        <v>IMPAR</v>
      </c>
      <c r="W24" s="166"/>
      <c r="X24" s="167">
        <f>IFERROR(IF(TABLAINV[[#This Row],[Cant. UND]]=0,TABLAINV[[#This Row],[PMV]]*TABLAINV[[#This Row],[Conteo Físico]],TABLAINV[[#This Row],[PMV]]*TABLAINV[[#This Row],[Cant. UND]]),0)</f>
        <v>0</v>
      </c>
      <c r="Y24" s="167">
        <f>IFERROR(ABS(TABLAINV[[#This Row],[PMV]]*TABLAINV[[#This Row],[Diferencia]]),0)</f>
        <v>0</v>
      </c>
      <c r="Z24" s="168">
        <f>IFERROR(VLOOKUP(TABLAINV[[#This Row],[Codigo Estado]],unds!O:P,2,0),"PEND.")</f>
        <v>2001</v>
      </c>
      <c r="AA24" s="168" t="str">
        <f t="shared" si="4"/>
        <v>CD09</v>
      </c>
      <c r="AB24" s="169">
        <f t="shared" ca="1" si="5"/>
        <v>45827</v>
      </c>
      <c r="AC24" s="1"/>
      <c r="AD24" s="1"/>
      <c r="AE24" s="1"/>
      <c r="AF24" s="1"/>
    </row>
    <row r="25" spans="1:32" ht="15" customHeight="1" x14ac:dyDescent="0.2">
      <c r="A25" s="170" t="str">
        <f t="shared" si="3"/>
        <v>MRC01</v>
      </c>
      <c r="B25" s="160" t="str">
        <f>IF(TABLAINV[[#This Row],[Z]]="","",D25&amp;"."&amp;TEXT(E25,"000")&amp;"."&amp;TEXT(F25,"000")&amp;"."&amp;TEXT(G25,"000"))</f>
        <v>MR.C01.037.001</v>
      </c>
      <c r="C25" s="161"/>
      <c r="D25" s="162" t="s">
        <v>95</v>
      </c>
      <c r="E25" s="162" t="s">
        <v>96</v>
      </c>
      <c r="F25" s="162">
        <v>37</v>
      </c>
      <c r="G25" s="162">
        <v>1</v>
      </c>
      <c r="H25" s="162">
        <v>913115</v>
      </c>
      <c r="I25" s="162" t="s">
        <v>130</v>
      </c>
      <c r="J25" s="171">
        <v>60</v>
      </c>
      <c r="K25" s="162" t="s">
        <v>64</v>
      </c>
      <c r="L25" s="163" t="s">
        <v>115</v>
      </c>
      <c r="M25" s="162" t="s">
        <v>99</v>
      </c>
      <c r="N25" s="161" t="s">
        <v>91</v>
      </c>
      <c r="O25" s="161">
        <v>60</v>
      </c>
      <c r="P25" s="163">
        <v>60</v>
      </c>
      <c r="Q25" s="163"/>
      <c r="R25" s="162"/>
      <c r="S25" s="164">
        <f>TABLAINV[[#This Row],[Conteo Físico]]-TABLAINV[[#This Row],[Cant. UND]]</f>
        <v>0</v>
      </c>
      <c r="T2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" s="165" t="str">
        <f>IFERROR(IF(MOD(TABLAINV[[#This Row],[C]],2)=0,"PAR","IMPAR"),"Zona")</f>
        <v>IMPAR</v>
      </c>
      <c r="W25" s="166"/>
      <c r="X25" s="167">
        <f>IFERROR(IF(TABLAINV[[#This Row],[Cant. UND]]=0,TABLAINV[[#This Row],[PMV]]*TABLAINV[[#This Row],[Conteo Físico]],TABLAINV[[#This Row],[PMV]]*TABLAINV[[#This Row],[Cant. UND]]),0)</f>
        <v>0</v>
      </c>
      <c r="Y25" s="167">
        <f>IFERROR(ABS(TABLAINV[[#This Row],[PMV]]*TABLAINV[[#This Row],[Diferencia]]),0)</f>
        <v>0</v>
      </c>
      <c r="Z25" s="168">
        <f>IFERROR(VLOOKUP(TABLAINV[[#This Row],[Codigo Estado]],unds!O:P,2,0),"PEND.")</f>
        <v>2001</v>
      </c>
      <c r="AA25" s="168" t="str">
        <f t="shared" si="4"/>
        <v>CD09</v>
      </c>
      <c r="AB25" s="169">
        <f t="shared" ca="1" si="5"/>
        <v>45827</v>
      </c>
      <c r="AC25" s="1"/>
      <c r="AD25" s="1"/>
      <c r="AE25" s="1"/>
      <c r="AF25" s="1"/>
    </row>
    <row r="26" spans="1:32" ht="15" customHeight="1" x14ac:dyDescent="0.2">
      <c r="A26" s="170" t="str">
        <f t="shared" si="3"/>
        <v>MRC01</v>
      </c>
      <c r="B26" s="160" t="str">
        <f>IF(TABLAINV[[#This Row],[Z]]="","",D26&amp;"."&amp;TEXT(E26,"000")&amp;"."&amp;TEXT(F26,"000")&amp;"."&amp;TEXT(G26,"000"))</f>
        <v>MR.C01.037.002</v>
      </c>
      <c r="C26" s="161"/>
      <c r="D26" s="162" t="s">
        <v>95</v>
      </c>
      <c r="E26" s="162" t="s">
        <v>96</v>
      </c>
      <c r="F26" s="162">
        <v>37</v>
      </c>
      <c r="G26" s="162">
        <v>2</v>
      </c>
      <c r="H26" s="162">
        <v>317948</v>
      </c>
      <c r="I26" s="162" t="s">
        <v>131</v>
      </c>
      <c r="J26" s="171">
        <v>12</v>
      </c>
      <c r="K26" s="162" t="s">
        <v>64</v>
      </c>
      <c r="L26" s="163" t="s">
        <v>115</v>
      </c>
      <c r="M26" s="162" t="s">
        <v>99</v>
      </c>
      <c r="N26" s="161" t="s">
        <v>91</v>
      </c>
      <c r="O26" s="161">
        <v>12</v>
      </c>
      <c r="P26" s="163">
        <v>12</v>
      </c>
      <c r="Q26" s="163"/>
      <c r="R26" s="162"/>
      <c r="S26" s="164">
        <f>TABLAINV[[#This Row],[Conteo Físico]]-TABLAINV[[#This Row],[Cant. UND]]</f>
        <v>0</v>
      </c>
      <c r="T2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" s="165" t="str">
        <f>IFERROR(IF(MOD(TABLAINV[[#This Row],[C]],2)=0,"PAR","IMPAR"),"Zona")</f>
        <v>IMPAR</v>
      </c>
      <c r="W26" s="166"/>
      <c r="X26" s="167">
        <f>IFERROR(IF(TABLAINV[[#This Row],[Cant. UND]]=0,TABLAINV[[#This Row],[PMV]]*TABLAINV[[#This Row],[Conteo Físico]],TABLAINV[[#This Row],[PMV]]*TABLAINV[[#This Row],[Cant. UND]]),0)</f>
        <v>0</v>
      </c>
      <c r="Y26" s="167">
        <f>IFERROR(ABS(TABLAINV[[#This Row],[PMV]]*TABLAINV[[#This Row],[Diferencia]]),0)</f>
        <v>0</v>
      </c>
      <c r="Z26" s="168">
        <f>IFERROR(VLOOKUP(TABLAINV[[#This Row],[Codigo Estado]],unds!O:P,2,0),"PEND.")</f>
        <v>2001</v>
      </c>
      <c r="AA26" s="168" t="str">
        <f t="shared" si="4"/>
        <v>CD09</v>
      </c>
      <c r="AB26" s="169">
        <f t="shared" ca="1" si="5"/>
        <v>45827</v>
      </c>
      <c r="AC26" s="1"/>
      <c r="AD26" s="1"/>
      <c r="AE26" s="1"/>
      <c r="AF26" s="1"/>
    </row>
    <row r="27" spans="1:32" ht="15" customHeight="1" x14ac:dyDescent="0.2">
      <c r="A27" s="170" t="str">
        <f t="shared" si="3"/>
        <v>MRC01</v>
      </c>
      <c r="B27" s="160" t="str">
        <f>IF(TABLAINV[[#This Row],[Z]]="","",D27&amp;"."&amp;TEXT(E27,"000")&amp;"."&amp;TEXT(F27,"000")&amp;"."&amp;TEXT(G27,"000"))</f>
        <v>MR.C01.038.002</v>
      </c>
      <c r="C27" s="161"/>
      <c r="D27" s="162" t="s">
        <v>95</v>
      </c>
      <c r="E27" s="162" t="s">
        <v>96</v>
      </c>
      <c r="F27" s="162">
        <v>38</v>
      </c>
      <c r="G27" s="162">
        <v>2</v>
      </c>
      <c r="H27" s="162">
        <v>396035003</v>
      </c>
      <c r="I27" s="162" t="s">
        <v>132</v>
      </c>
      <c r="J27" s="171">
        <v>15</v>
      </c>
      <c r="K27" s="162" t="s">
        <v>64</v>
      </c>
      <c r="L27" s="163" t="s">
        <v>98</v>
      </c>
      <c r="M27" s="162" t="s">
        <v>99</v>
      </c>
      <c r="N27" s="161" t="s">
        <v>91</v>
      </c>
      <c r="O27" s="161">
        <v>15</v>
      </c>
      <c r="P27" s="163">
        <v>15</v>
      </c>
      <c r="Q27" s="163"/>
      <c r="R27" s="162"/>
      <c r="S27" s="164">
        <f>TABLAINV[[#This Row],[Conteo Físico]]-TABLAINV[[#This Row],[Cant. UND]]</f>
        <v>0</v>
      </c>
      <c r="T2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" s="165" t="str">
        <f>IFERROR(IF(MOD(TABLAINV[[#This Row],[C]],2)=0,"PAR","IMPAR"),"Zona")</f>
        <v>PAR</v>
      </c>
      <c r="W27" s="166"/>
      <c r="X27" s="167">
        <f>IFERROR(IF(TABLAINV[[#This Row],[Cant. UND]]=0,TABLAINV[[#This Row],[PMV]]*TABLAINV[[#This Row],[Conteo Físico]],TABLAINV[[#This Row],[PMV]]*TABLAINV[[#This Row],[Cant. UND]]),0)</f>
        <v>0</v>
      </c>
      <c r="Y27" s="167">
        <f>IFERROR(ABS(TABLAINV[[#This Row],[PMV]]*TABLAINV[[#This Row],[Diferencia]]),0)</f>
        <v>0</v>
      </c>
      <c r="Z27" s="168">
        <f>IFERROR(VLOOKUP(TABLAINV[[#This Row],[Codigo Estado]],unds!O:P,2,0),"PEND.")</f>
        <v>2001</v>
      </c>
      <c r="AA27" s="168" t="str">
        <f t="shared" si="4"/>
        <v>CD09</v>
      </c>
      <c r="AB27" s="169">
        <f t="shared" ca="1" si="5"/>
        <v>45827</v>
      </c>
      <c r="AC27" s="1"/>
      <c r="AD27" s="1"/>
      <c r="AE27" s="1"/>
      <c r="AF27" s="1"/>
    </row>
    <row r="28" spans="1:32" ht="15" customHeight="1" x14ac:dyDescent="0.2">
      <c r="A28" s="170" t="str">
        <f t="shared" si="3"/>
        <v>MRC01</v>
      </c>
      <c r="B28" s="160" t="str">
        <f>IF(TABLAINV[[#This Row],[Z]]="","",D28&amp;"."&amp;TEXT(E28,"000")&amp;"."&amp;TEXT(F28,"000")&amp;"."&amp;TEXT(G28,"000"))</f>
        <v>MR.C01.042.002</v>
      </c>
      <c r="C28" s="161"/>
      <c r="D28" s="162" t="s">
        <v>95</v>
      </c>
      <c r="E28" s="162" t="s">
        <v>96</v>
      </c>
      <c r="F28" s="162">
        <v>42</v>
      </c>
      <c r="G28" s="162">
        <v>2</v>
      </c>
      <c r="H28" s="162">
        <v>118644003</v>
      </c>
      <c r="I28" s="162" t="s">
        <v>133</v>
      </c>
      <c r="J28" s="171">
        <v>9</v>
      </c>
      <c r="K28" s="162" t="s">
        <v>64</v>
      </c>
      <c r="L28" s="163" t="s">
        <v>134</v>
      </c>
      <c r="M28" s="162" t="s">
        <v>135</v>
      </c>
      <c r="N28" s="161" t="s">
        <v>91</v>
      </c>
      <c r="O28" s="161">
        <v>9</v>
      </c>
      <c r="P28" s="163">
        <v>9</v>
      </c>
      <c r="Q28" s="163"/>
      <c r="R28" s="162"/>
      <c r="S28" s="164">
        <f>TABLAINV[[#This Row],[Conteo Físico]]-TABLAINV[[#This Row],[Cant. UND]]</f>
        <v>0</v>
      </c>
      <c r="T2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" s="165" t="str">
        <f>IFERROR(IF(MOD(TABLAINV[[#This Row],[C]],2)=0,"PAR","IMPAR"),"Zona")</f>
        <v>PAR</v>
      </c>
      <c r="W28" s="166"/>
      <c r="X28" s="167">
        <f>IFERROR(IF(TABLAINV[[#This Row],[Cant. UND]]=0,TABLAINV[[#This Row],[PMV]]*TABLAINV[[#This Row],[Conteo Físico]],TABLAINV[[#This Row],[PMV]]*TABLAINV[[#This Row],[Cant. UND]]),0)</f>
        <v>0</v>
      </c>
      <c r="Y28" s="167">
        <f>IFERROR(ABS(TABLAINV[[#This Row],[PMV]]*TABLAINV[[#This Row],[Diferencia]]),0)</f>
        <v>0</v>
      </c>
      <c r="Z28" s="168">
        <f>IFERROR(VLOOKUP(TABLAINV[[#This Row],[Codigo Estado]],unds!O:P,2,0),"PEND.")</f>
        <v>2001</v>
      </c>
      <c r="AA28" s="168" t="str">
        <f t="shared" si="4"/>
        <v>CD09</v>
      </c>
      <c r="AB28" s="169">
        <f t="shared" ca="1" si="5"/>
        <v>45827</v>
      </c>
      <c r="AC28" s="1"/>
      <c r="AD28" s="1"/>
      <c r="AE28" s="1"/>
      <c r="AF28" s="1"/>
    </row>
    <row r="29" spans="1:32" ht="15" customHeight="1" x14ac:dyDescent="0.2">
      <c r="A29" s="170" t="str">
        <f t="shared" si="3"/>
        <v>MRC01</v>
      </c>
      <c r="B29" s="160" t="str">
        <f>IF(TABLAINV[[#This Row],[Z]]="","",D29&amp;"."&amp;TEXT(E29,"000")&amp;"."&amp;TEXT(F29,"000")&amp;"."&amp;TEXT(G29,"000"))</f>
        <v>MR.C01.051.002</v>
      </c>
      <c r="C29" s="161"/>
      <c r="D29" s="162" t="s">
        <v>95</v>
      </c>
      <c r="E29" s="162" t="s">
        <v>96</v>
      </c>
      <c r="F29" s="162">
        <v>51</v>
      </c>
      <c r="G29" s="162">
        <v>2</v>
      </c>
      <c r="H29" s="162">
        <v>4229</v>
      </c>
      <c r="I29" s="162" t="s">
        <v>136</v>
      </c>
      <c r="J29" s="171">
        <v>6</v>
      </c>
      <c r="K29" s="162" t="s">
        <v>64</v>
      </c>
      <c r="L29" s="163" t="s">
        <v>115</v>
      </c>
      <c r="M29" s="162" t="s">
        <v>99</v>
      </c>
      <c r="N29" s="161" t="s">
        <v>91</v>
      </c>
      <c r="O29" s="161">
        <v>6</v>
      </c>
      <c r="P29" s="163">
        <v>6</v>
      </c>
      <c r="Q29" s="163"/>
      <c r="R29" s="162"/>
      <c r="S29" s="164">
        <f>TABLAINV[[#This Row],[Conteo Físico]]-TABLAINV[[#This Row],[Cant. UND]]</f>
        <v>0</v>
      </c>
      <c r="T2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" s="165" t="str">
        <f>IFERROR(IF(MOD(TABLAINV[[#This Row],[C]],2)=0,"PAR","IMPAR"),"Zona")</f>
        <v>IMPAR</v>
      </c>
      <c r="W29" s="166"/>
      <c r="X29" s="167">
        <f>IFERROR(IF(TABLAINV[[#This Row],[Cant. UND]]=0,TABLAINV[[#This Row],[PMV]]*TABLAINV[[#This Row],[Conteo Físico]],TABLAINV[[#This Row],[PMV]]*TABLAINV[[#This Row],[Cant. UND]]),0)</f>
        <v>0</v>
      </c>
      <c r="Y29" s="167">
        <f>IFERROR(ABS(TABLAINV[[#This Row],[PMV]]*TABLAINV[[#This Row],[Diferencia]]),0)</f>
        <v>0</v>
      </c>
      <c r="Z29" s="168">
        <f>IFERROR(VLOOKUP(TABLAINV[[#This Row],[Codigo Estado]],unds!O:P,2,0),"PEND.")</f>
        <v>2001</v>
      </c>
      <c r="AA29" s="168" t="str">
        <f t="shared" si="4"/>
        <v>CD09</v>
      </c>
      <c r="AB29" s="169">
        <f t="shared" ca="1" si="5"/>
        <v>45827</v>
      </c>
      <c r="AC29" s="1"/>
      <c r="AD29" s="1"/>
      <c r="AE29" s="1"/>
      <c r="AF29" s="1"/>
    </row>
    <row r="30" spans="1:32" ht="15" customHeight="1" x14ac:dyDescent="0.2">
      <c r="A30" s="170" t="str">
        <f t="shared" si="3"/>
        <v>MRC01</v>
      </c>
      <c r="B30" s="160" t="str">
        <f>IF(TABLAINV[[#This Row],[Z]]="","",D30&amp;"."&amp;TEXT(E30,"000")&amp;"."&amp;TEXT(F30,"000")&amp;"."&amp;TEXT(G30,"000"))</f>
        <v>MR.C01.052.002</v>
      </c>
      <c r="C30" s="161"/>
      <c r="D30" s="162" t="s">
        <v>95</v>
      </c>
      <c r="E30" s="162" t="s">
        <v>96</v>
      </c>
      <c r="F30" s="162">
        <v>52</v>
      </c>
      <c r="G30" s="162">
        <v>2</v>
      </c>
      <c r="H30" s="162">
        <v>1021542</v>
      </c>
      <c r="I30" s="162" t="s">
        <v>137</v>
      </c>
      <c r="J30" s="171">
        <v>8</v>
      </c>
      <c r="K30" s="162" t="s">
        <v>64</v>
      </c>
      <c r="L30" s="163" t="s">
        <v>115</v>
      </c>
      <c r="M30" s="162" t="s">
        <v>99</v>
      </c>
      <c r="N30" s="161" t="s">
        <v>91</v>
      </c>
      <c r="O30" s="161">
        <v>8</v>
      </c>
      <c r="P30" s="163">
        <v>8</v>
      </c>
      <c r="Q30" s="163"/>
      <c r="R30" s="162"/>
      <c r="S30" s="164">
        <f>TABLAINV[[#This Row],[Conteo Físico]]-TABLAINV[[#This Row],[Cant. UND]]</f>
        <v>0</v>
      </c>
      <c r="T3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" s="165" t="str">
        <f>IFERROR(IF(MOD(TABLAINV[[#This Row],[C]],2)=0,"PAR","IMPAR"),"Zona")</f>
        <v>PAR</v>
      </c>
      <c r="W30" s="166"/>
      <c r="X30" s="167">
        <f>IFERROR(IF(TABLAINV[[#This Row],[Cant. UND]]=0,TABLAINV[[#This Row],[PMV]]*TABLAINV[[#This Row],[Conteo Físico]],TABLAINV[[#This Row],[PMV]]*TABLAINV[[#This Row],[Cant. UND]]),0)</f>
        <v>0</v>
      </c>
      <c r="Y30" s="167">
        <f>IFERROR(ABS(TABLAINV[[#This Row],[PMV]]*TABLAINV[[#This Row],[Diferencia]]),0)</f>
        <v>0</v>
      </c>
      <c r="Z30" s="168">
        <f>IFERROR(VLOOKUP(TABLAINV[[#This Row],[Codigo Estado]],unds!O:P,2,0),"PEND.")</f>
        <v>2001</v>
      </c>
      <c r="AA30" s="168" t="str">
        <f t="shared" si="4"/>
        <v>CD09</v>
      </c>
      <c r="AB30" s="169">
        <f t="shared" ca="1" si="5"/>
        <v>45827</v>
      </c>
      <c r="AC30" s="1"/>
      <c r="AD30" s="1"/>
      <c r="AE30" s="1"/>
      <c r="AF30" s="1"/>
    </row>
    <row r="31" spans="1:32" ht="15" customHeight="1" x14ac:dyDescent="0.2">
      <c r="A31" s="170" t="str">
        <f t="shared" si="3"/>
        <v>MRC01</v>
      </c>
      <c r="B31" s="160" t="str">
        <f>IF(TABLAINV[[#This Row],[Z]]="","",D31&amp;"."&amp;TEXT(E31,"000")&amp;"."&amp;TEXT(F31,"000")&amp;"."&amp;TEXT(G31,"000"))</f>
        <v>MR.C01.056.002</v>
      </c>
      <c r="C31" s="161"/>
      <c r="D31" s="162" t="s">
        <v>95</v>
      </c>
      <c r="E31" s="162" t="s">
        <v>96</v>
      </c>
      <c r="F31" s="162">
        <v>56</v>
      </c>
      <c r="G31" s="162">
        <v>2</v>
      </c>
      <c r="H31" s="162">
        <v>484897</v>
      </c>
      <c r="I31" s="162" t="s">
        <v>138</v>
      </c>
      <c r="J31" s="171">
        <v>10</v>
      </c>
      <c r="K31" s="162" t="s">
        <v>64</v>
      </c>
      <c r="L31" s="163" t="s">
        <v>115</v>
      </c>
      <c r="M31" s="162" t="s">
        <v>99</v>
      </c>
      <c r="N31" s="161" t="s">
        <v>91</v>
      </c>
      <c r="O31" s="161">
        <v>10</v>
      </c>
      <c r="P31" s="163">
        <v>10</v>
      </c>
      <c r="Q31" s="163"/>
      <c r="R31" s="162"/>
      <c r="S31" s="164">
        <f>TABLAINV[[#This Row],[Conteo Físico]]-TABLAINV[[#This Row],[Cant. UND]]</f>
        <v>0</v>
      </c>
      <c r="T3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" s="165" t="str">
        <f>IFERROR(IF(MOD(TABLAINV[[#This Row],[C]],2)=0,"PAR","IMPAR"),"Zona")</f>
        <v>PAR</v>
      </c>
      <c r="W31" s="166"/>
      <c r="X31" s="167">
        <f>IFERROR(IF(TABLAINV[[#This Row],[Cant. UND]]=0,TABLAINV[[#This Row],[PMV]]*TABLAINV[[#This Row],[Conteo Físico]],TABLAINV[[#This Row],[PMV]]*TABLAINV[[#This Row],[Cant. UND]]),0)</f>
        <v>0</v>
      </c>
      <c r="Y31" s="167">
        <f>IFERROR(ABS(TABLAINV[[#This Row],[PMV]]*TABLAINV[[#This Row],[Diferencia]]),0)</f>
        <v>0</v>
      </c>
      <c r="Z31" s="168">
        <f>IFERROR(VLOOKUP(TABLAINV[[#This Row],[Codigo Estado]],unds!O:P,2,0),"PEND.")</f>
        <v>2001</v>
      </c>
      <c r="AA31" s="168" t="str">
        <f t="shared" si="4"/>
        <v>CD09</v>
      </c>
      <c r="AB31" s="169">
        <f t="shared" ca="1" si="5"/>
        <v>45827</v>
      </c>
      <c r="AC31" s="1"/>
      <c r="AD31" s="1"/>
      <c r="AE31" s="1"/>
      <c r="AF31" s="1"/>
    </row>
    <row r="32" spans="1:32" ht="15" customHeight="1" x14ac:dyDescent="0.2">
      <c r="A32" s="170" t="str">
        <f t="shared" si="3"/>
        <v>MRC01</v>
      </c>
      <c r="B32" s="160" t="str">
        <f>IF(TABLAINV[[#This Row],[Z]]="","",D32&amp;"."&amp;TEXT(E32,"000")&amp;"."&amp;TEXT(F32,"000")&amp;"."&amp;TEXT(G32,"000"))</f>
        <v>MR.C01.058.002</v>
      </c>
      <c r="C32" s="161"/>
      <c r="D32" s="162" t="s">
        <v>95</v>
      </c>
      <c r="E32" s="162" t="s">
        <v>96</v>
      </c>
      <c r="F32" s="162">
        <v>58</v>
      </c>
      <c r="G32" s="162">
        <v>2</v>
      </c>
      <c r="H32" s="162">
        <v>317947</v>
      </c>
      <c r="I32" s="162" t="s">
        <v>114</v>
      </c>
      <c r="J32" s="171">
        <v>24</v>
      </c>
      <c r="K32" s="162" t="s">
        <v>64</v>
      </c>
      <c r="L32" s="163" t="s">
        <v>115</v>
      </c>
      <c r="M32" s="162" t="s">
        <v>99</v>
      </c>
      <c r="N32" s="161" t="s">
        <v>91</v>
      </c>
      <c r="O32" s="161">
        <v>24</v>
      </c>
      <c r="P32" s="163">
        <v>24</v>
      </c>
      <c r="Q32" s="163"/>
      <c r="R32" s="162"/>
      <c r="S32" s="164">
        <f>TABLAINV[[#This Row],[Conteo Físico]]-TABLAINV[[#This Row],[Cant. UND]]</f>
        <v>0</v>
      </c>
      <c r="T3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" s="165" t="str">
        <f>IFERROR(IF(MOD(TABLAINV[[#This Row],[C]],2)=0,"PAR","IMPAR"),"Zona")</f>
        <v>PAR</v>
      </c>
      <c r="W32" s="166"/>
      <c r="X32" s="167">
        <f>IFERROR(IF(TABLAINV[[#This Row],[Cant. UND]]=0,TABLAINV[[#This Row],[PMV]]*TABLAINV[[#This Row],[Conteo Físico]],TABLAINV[[#This Row],[PMV]]*TABLAINV[[#This Row],[Cant. UND]]),0)</f>
        <v>0</v>
      </c>
      <c r="Y32" s="167">
        <f>IFERROR(ABS(TABLAINV[[#This Row],[PMV]]*TABLAINV[[#This Row],[Diferencia]]),0)</f>
        <v>0</v>
      </c>
      <c r="Z32" s="168">
        <f>IFERROR(VLOOKUP(TABLAINV[[#This Row],[Codigo Estado]],unds!O:P,2,0),"PEND.")</f>
        <v>2001</v>
      </c>
      <c r="AA32" s="168" t="str">
        <f t="shared" si="4"/>
        <v>CD09</v>
      </c>
      <c r="AB32" s="169">
        <f t="shared" ca="1" si="5"/>
        <v>45827</v>
      </c>
      <c r="AC32" s="1"/>
      <c r="AD32" s="1"/>
      <c r="AE32" s="1"/>
      <c r="AF32" s="1"/>
    </row>
    <row r="33" spans="1:32" ht="15" customHeight="1" x14ac:dyDescent="0.2">
      <c r="A33" s="170" t="str">
        <f t="shared" si="3"/>
        <v>MRC01</v>
      </c>
      <c r="B33" s="160" t="str">
        <f>IF(TABLAINV[[#This Row],[Z]]="","",D33&amp;"."&amp;TEXT(E33,"000")&amp;"."&amp;TEXT(F33,"000")&amp;"."&amp;TEXT(G33,"000"))</f>
        <v>MR.C01.059.002</v>
      </c>
      <c r="C33" s="161"/>
      <c r="D33" s="162" t="s">
        <v>95</v>
      </c>
      <c r="E33" s="162" t="s">
        <v>96</v>
      </c>
      <c r="F33" s="162">
        <v>59</v>
      </c>
      <c r="G33" s="162">
        <v>2</v>
      </c>
      <c r="H33" s="162">
        <v>91045</v>
      </c>
      <c r="I33" s="162" t="s">
        <v>139</v>
      </c>
      <c r="J33" s="171">
        <v>1</v>
      </c>
      <c r="K33" s="162" t="s">
        <v>64</v>
      </c>
      <c r="L33" s="163" t="s">
        <v>140</v>
      </c>
      <c r="M33" s="162" t="s">
        <v>135</v>
      </c>
      <c r="N33" s="161" t="s">
        <v>91</v>
      </c>
      <c r="O33" s="161">
        <v>1</v>
      </c>
      <c r="P33" s="163">
        <v>1</v>
      </c>
      <c r="Q33" s="163"/>
      <c r="R33" s="162"/>
      <c r="S33" s="164">
        <f>TABLAINV[[#This Row],[Conteo Físico]]-TABLAINV[[#This Row],[Cant. UND]]</f>
        <v>0</v>
      </c>
      <c r="T3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" s="165" t="str">
        <f>IFERROR(IF(MOD(TABLAINV[[#This Row],[C]],2)=0,"PAR","IMPAR"),"Zona")</f>
        <v>IMPAR</v>
      </c>
      <c r="W33" s="166"/>
      <c r="X33" s="167">
        <f>IFERROR(IF(TABLAINV[[#This Row],[Cant. UND]]=0,TABLAINV[[#This Row],[PMV]]*TABLAINV[[#This Row],[Conteo Físico]],TABLAINV[[#This Row],[PMV]]*TABLAINV[[#This Row],[Cant. UND]]),0)</f>
        <v>0</v>
      </c>
      <c r="Y33" s="167">
        <f>IFERROR(ABS(TABLAINV[[#This Row],[PMV]]*TABLAINV[[#This Row],[Diferencia]]),0)</f>
        <v>0</v>
      </c>
      <c r="Z33" s="168">
        <f>IFERROR(VLOOKUP(TABLAINV[[#This Row],[Codigo Estado]],unds!O:P,2,0),"PEND.")</f>
        <v>2001</v>
      </c>
      <c r="AA33" s="168" t="str">
        <f t="shared" si="4"/>
        <v>CD09</v>
      </c>
      <c r="AB33" s="169">
        <f t="shared" ca="1" si="5"/>
        <v>45827</v>
      </c>
      <c r="AC33" s="1"/>
      <c r="AD33" s="1"/>
      <c r="AE33" s="1"/>
      <c r="AF33" s="1"/>
    </row>
    <row r="34" spans="1:32" ht="15" customHeight="1" x14ac:dyDescent="0.2">
      <c r="A34" s="170" t="str">
        <f t="shared" si="3"/>
        <v>MRC01</v>
      </c>
      <c r="B34" s="160" t="str">
        <f>IF(TABLAINV[[#This Row],[Z]]="","",D34&amp;"."&amp;TEXT(E34,"000")&amp;"."&amp;TEXT(F34,"000")&amp;"."&amp;TEXT(G34,"000"))</f>
        <v>MR.C01.060.001</v>
      </c>
      <c r="C34" s="161"/>
      <c r="D34" s="162" t="s">
        <v>95</v>
      </c>
      <c r="E34" s="162" t="s">
        <v>96</v>
      </c>
      <c r="F34" s="162">
        <v>60</v>
      </c>
      <c r="G34" s="162">
        <v>1</v>
      </c>
      <c r="H34" s="162">
        <v>1021542</v>
      </c>
      <c r="I34" s="162" t="s">
        <v>137</v>
      </c>
      <c r="J34" s="171">
        <v>3</v>
      </c>
      <c r="K34" s="162" t="s">
        <v>64</v>
      </c>
      <c r="L34" s="163" t="s">
        <v>115</v>
      </c>
      <c r="M34" s="162" t="s">
        <v>99</v>
      </c>
      <c r="N34" s="161" t="s">
        <v>91</v>
      </c>
      <c r="O34" s="161">
        <v>3</v>
      </c>
      <c r="P34" s="163">
        <v>3</v>
      </c>
      <c r="Q34" s="163"/>
      <c r="R34" s="162"/>
      <c r="S34" s="164">
        <f>TABLAINV[[#This Row],[Conteo Físico]]-TABLAINV[[#This Row],[Cant. UND]]</f>
        <v>0</v>
      </c>
      <c r="T3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" s="165" t="str">
        <f>IFERROR(IF(MOD(TABLAINV[[#This Row],[C]],2)=0,"PAR","IMPAR"),"Zona")</f>
        <v>PAR</v>
      </c>
      <c r="W34" s="166"/>
      <c r="X34" s="167">
        <f>IFERROR(IF(TABLAINV[[#This Row],[Cant. UND]]=0,TABLAINV[[#This Row],[PMV]]*TABLAINV[[#This Row],[Conteo Físico]],TABLAINV[[#This Row],[PMV]]*TABLAINV[[#This Row],[Cant. UND]]),0)</f>
        <v>0</v>
      </c>
      <c r="Y34" s="167">
        <f>IFERROR(ABS(TABLAINV[[#This Row],[PMV]]*TABLAINV[[#This Row],[Diferencia]]),0)</f>
        <v>0</v>
      </c>
      <c r="Z34" s="168">
        <f>IFERROR(VLOOKUP(TABLAINV[[#This Row],[Codigo Estado]],unds!O:P,2,0),"PEND.")</f>
        <v>2001</v>
      </c>
      <c r="AA34" s="168" t="str">
        <f t="shared" si="4"/>
        <v>CD09</v>
      </c>
      <c r="AB34" s="169">
        <f t="shared" ca="1" si="5"/>
        <v>45827</v>
      </c>
      <c r="AC34" s="1"/>
      <c r="AD34" s="1"/>
      <c r="AE34" s="1"/>
      <c r="AF34" s="1"/>
    </row>
    <row r="35" spans="1:32" ht="15" customHeight="1" x14ac:dyDescent="0.2">
      <c r="A35" s="170" t="str">
        <f t="shared" si="3"/>
        <v>MRC01</v>
      </c>
      <c r="B35" s="160" t="str">
        <f>IF(TABLAINV[[#This Row],[Z]]="","",D35&amp;"."&amp;TEXT(E35,"000")&amp;"."&amp;TEXT(F35,"000")&amp;"."&amp;TEXT(G35,"000"))</f>
        <v>MR.C01.064.002</v>
      </c>
      <c r="C35" s="161"/>
      <c r="D35" s="162" t="s">
        <v>95</v>
      </c>
      <c r="E35" s="162" t="s">
        <v>96</v>
      </c>
      <c r="F35" s="162">
        <v>64</v>
      </c>
      <c r="G35" s="162">
        <v>2</v>
      </c>
      <c r="H35" s="162">
        <v>1019074002</v>
      </c>
      <c r="I35" s="162" t="s">
        <v>141</v>
      </c>
      <c r="J35" s="171">
        <v>22</v>
      </c>
      <c r="K35" s="162" t="s">
        <v>64</v>
      </c>
      <c r="L35" s="163" t="s">
        <v>142</v>
      </c>
      <c r="M35" s="162" t="s">
        <v>99</v>
      </c>
      <c r="N35" s="161" t="s">
        <v>91</v>
      </c>
      <c r="O35" s="161">
        <v>22</v>
      </c>
      <c r="P35" s="163">
        <v>22</v>
      </c>
      <c r="Q35" s="163"/>
      <c r="R35" s="162"/>
      <c r="S35" s="164">
        <f>TABLAINV[[#This Row],[Conteo Físico]]-TABLAINV[[#This Row],[Cant. UND]]</f>
        <v>0</v>
      </c>
      <c r="T3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" s="165" t="str">
        <f>IFERROR(IF(MOD(TABLAINV[[#This Row],[C]],2)=0,"PAR","IMPAR"),"Zona")</f>
        <v>PAR</v>
      </c>
      <c r="W35" s="166"/>
      <c r="X35" s="167">
        <f>IFERROR(IF(TABLAINV[[#This Row],[Cant. UND]]=0,TABLAINV[[#This Row],[PMV]]*TABLAINV[[#This Row],[Conteo Físico]],TABLAINV[[#This Row],[PMV]]*TABLAINV[[#This Row],[Cant. UND]]),0)</f>
        <v>0</v>
      </c>
      <c r="Y35" s="167">
        <f>IFERROR(ABS(TABLAINV[[#This Row],[PMV]]*TABLAINV[[#This Row],[Diferencia]]),0)</f>
        <v>0</v>
      </c>
      <c r="Z35" s="168">
        <f>IFERROR(VLOOKUP(TABLAINV[[#This Row],[Codigo Estado]],unds!O:P,2,0),"PEND.")</f>
        <v>2001</v>
      </c>
      <c r="AA35" s="168" t="str">
        <f t="shared" si="4"/>
        <v>CD09</v>
      </c>
      <c r="AB35" s="169">
        <f t="shared" ca="1" si="5"/>
        <v>45827</v>
      </c>
      <c r="AC35" s="1"/>
      <c r="AD35" s="1"/>
      <c r="AE35" s="1"/>
      <c r="AF35" s="1"/>
    </row>
    <row r="36" spans="1:32" ht="15" customHeight="1" x14ac:dyDescent="0.2">
      <c r="A36" s="170" t="str">
        <f t="shared" si="3"/>
        <v>MRC01</v>
      </c>
      <c r="B36" s="160" t="str">
        <f>IF(TABLAINV[[#This Row],[Z]]="","",D36&amp;"."&amp;TEXT(E36,"000")&amp;"."&amp;TEXT(F36,"000")&amp;"."&amp;TEXT(G36,"000"))</f>
        <v>MR.C01.071.002</v>
      </c>
      <c r="C36" s="161"/>
      <c r="D36" s="162" t="s">
        <v>95</v>
      </c>
      <c r="E36" s="162" t="s">
        <v>96</v>
      </c>
      <c r="F36" s="162">
        <v>71</v>
      </c>
      <c r="G36" s="162">
        <v>2</v>
      </c>
      <c r="H36" s="162">
        <v>716844</v>
      </c>
      <c r="I36" s="162" t="s">
        <v>143</v>
      </c>
      <c r="J36" s="171">
        <v>4</v>
      </c>
      <c r="K36" s="162" t="s">
        <v>64</v>
      </c>
      <c r="L36" s="163" t="s">
        <v>115</v>
      </c>
      <c r="M36" s="162" t="s">
        <v>99</v>
      </c>
      <c r="N36" s="161" t="s">
        <v>91</v>
      </c>
      <c r="O36" s="161">
        <v>4</v>
      </c>
      <c r="P36" s="163">
        <v>4</v>
      </c>
      <c r="Q36" s="163"/>
      <c r="R36" s="162"/>
      <c r="S36" s="164">
        <f>TABLAINV[[#This Row],[Conteo Físico]]-TABLAINV[[#This Row],[Cant. UND]]</f>
        <v>0</v>
      </c>
      <c r="T3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" s="165" t="str">
        <f>IFERROR(IF(MOD(TABLAINV[[#This Row],[C]],2)=0,"PAR","IMPAR"),"Zona")</f>
        <v>IMPAR</v>
      </c>
      <c r="W36" s="166"/>
      <c r="X36" s="167">
        <f>IFERROR(IF(TABLAINV[[#This Row],[Cant. UND]]=0,TABLAINV[[#This Row],[PMV]]*TABLAINV[[#This Row],[Conteo Físico]],TABLAINV[[#This Row],[PMV]]*TABLAINV[[#This Row],[Cant. UND]]),0)</f>
        <v>0</v>
      </c>
      <c r="Y36" s="167">
        <f>IFERROR(ABS(TABLAINV[[#This Row],[PMV]]*TABLAINV[[#This Row],[Diferencia]]),0)</f>
        <v>0</v>
      </c>
      <c r="Z36" s="168">
        <f>IFERROR(VLOOKUP(TABLAINV[[#This Row],[Codigo Estado]],unds!O:P,2,0),"PEND.")</f>
        <v>2001</v>
      </c>
      <c r="AA36" s="168" t="str">
        <f t="shared" si="4"/>
        <v>CD09</v>
      </c>
      <c r="AB36" s="169">
        <f t="shared" ca="1" si="5"/>
        <v>45827</v>
      </c>
      <c r="AC36" s="1"/>
      <c r="AD36" s="1"/>
      <c r="AE36" s="1"/>
      <c r="AF36" s="1"/>
    </row>
    <row r="37" spans="1:32" ht="15" customHeight="1" x14ac:dyDescent="0.2">
      <c r="A37" s="170" t="str">
        <f t="shared" si="3"/>
        <v>MRC01</v>
      </c>
      <c r="B37" s="160" t="str">
        <f>IF(TABLAINV[[#This Row],[Z]]="","",D37&amp;"."&amp;TEXT(E37,"000")&amp;"."&amp;TEXT(F37,"000")&amp;"."&amp;TEXT(G37,"000"))</f>
        <v>MR.C01.072.002</v>
      </c>
      <c r="C37" s="161"/>
      <c r="D37" s="162" t="s">
        <v>95</v>
      </c>
      <c r="E37" s="162" t="s">
        <v>96</v>
      </c>
      <c r="F37" s="162">
        <v>72</v>
      </c>
      <c r="G37" s="162">
        <v>2</v>
      </c>
      <c r="H37" s="162">
        <v>1022402</v>
      </c>
      <c r="I37" s="162" t="s">
        <v>144</v>
      </c>
      <c r="J37" s="171">
        <v>4</v>
      </c>
      <c r="K37" s="162" t="s">
        <v>64</v>
      </c>
      <c r="L37" s="163" t="s">
        <v>145</v>
      </c>
      <c r="M37" s="162" t="s">
        <v>99</v>
      </c>
      <c r="N37" s="161" t="s">
        <v>91</v>
      </c>
      <c r="O37" s="161">
        <v>4</v>
      </c>
      <c r="P37" s="163">
        <v>4</v>
      </c>
      <c r="Q37" s="163"/>
      <c r="R37" s="162"/>
      <c r="S37" s="164">
        <f>TABLAINV[[#This Row],[Conteo Físico]]-TABLAINV[[#This Row],[Cant. UND]]</f>
        <v>0</v>
      </c>
      <c r="T3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" s="165" t="str">
        <f>IFERROR(IF(MOD(TABLAINV[[#This Row],[C]],2)=0,"PAR","IMPAR"),"Zona")</f>
        <v>PAR</v>
      </c>
      <c r="W37" s="166"/>
      <c r="X37" s="167">
        <f>IFERROR(IF(TABLAINV[[#This Row],[Cant. UND]]=0,TABLAINV[[#This Row],[PMV]]*TABLAINV[[#This Row],[Conteo Físico]],TABLAINV[[#This Row],[PMV]]*TABLAINV[[#This Row],[Cant. UND]]),0)</f>
        <v>0</v>
      </c>
      <c r="Y37" s="167">
        <f>IFERROR(ABS(TABLAINV[[#This Row],[PMV]]*TABLAINV[[#This Row],[Diferencia]]),0)</f>
        <v>0</v>
      </c>
      <c r="Z37" s="168">
        <f>IFERROR(VLOOKUP(TABLAINV[[#This Row],[Codigo Estado]],unds!O:P,2,0),"PEND.")</f>
        <v>2001</v>
      </c>
      <c r="AA37" s="168" t="str">
        <f t="shared" si="4"/>
        <v>CD09</v>
      </c>
      <c r="AB37" s="169">
        <f t="shared" ca="1" si="5"/>
        <v>45827</v>
      </c>
      <c r="AC37" s="1"/>
      <c r="AD37" s="1"/>
      <c r="AE37" s="1"/>
      <c r="AF37" s="1"/>
    </row>
    <row r="38" spans="1:32" ht="15" customHeight="1" x14ac:dyDescent="0.2">
      <c r="A38" s="170" t="str">
        <f t="shared" si="3"/>
        <v>MRC01</v>
      </c>
      <c r="B38" s="160" t="str">
        <f>IF(TABLAINV[[#This Row],[Z]]="","",D38&amp;"."&amp;TEXT(E38,"000")&amp;"."&amp;TEXT(F38,"000")&amp;"."&amp;TEXT(G38,"000"))</f>
        <v>MR.C01.074.002</v>
      </c>
      <c r="C38" s="161"/>
      <c r="D38" s="162" t="s">
        <v>95</v>
      </c>
      <c r="E38" s="162" t="s">
        <v>96</v>
      </c>
      <c r="F38" s="162">
        <v>74</v>
      </c>
      <c r="G38" s="162">
        <v>2</v>
      </c>
      <c r="H38" s="162">
        <v>392304</v>
      </c>
      <c r="I38" s="162" t="s">
        <v>146</v>
      </c>
      <c r="J38" s="171">
        <v>6</v>
      </c>
      <c r="K38" s="162" t="s">
        <v>64</v>
      </c>
      <c r="L38" s="163" t="s">
        <v>115</v>
      </c>
      <c r="M38" s="162" t="s">
        <v>99</v>
      </c>
      <c r="N38" s="161" t="s">
        <v>91</v>
      </c>
      <c r="O38" s="161">
        <v>6</v>
      </c>
      <c r="P38" s="163">
        <v>6</v>
      </c>
      <c r="Q38" s="163"/>
      <c r="R38" s="162"/>
      <c r="S38" s="164">
        <f>TABLAINV[[#This Row],[Conteo Físico]]-TABLAINV[[#This Row],[Cant. UND]]</f>
        <v>0</v>
      </c>
      <c r="T3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" s="165" t="str">
        <f>IFERROR(IF(MOD(TABLAINV[[#This Row],[C]],2)=0,"PAR","IMPAR"),"Zona")</f>
        <v>PAR</v>
      </c>
      <c r="W38" s="166"/>
      <c r="X38" s="167">
        <f>IFERROR(IF(TABLAINV[[#This Row],[Cant. UND]]=0,TABLAINV[[#This Row],[PMV]]*TABLAINV[[#This Row],[Conteo Físico]],TABLAINV[[#This Row],[PMV]]*TABLAINV[[#This Row],[Cant. UND]]),0)</f>
        <v>0</v>
      </c>
      <c r="Y38" s="167">
        <f>IFERROR(ABS(TABLAINV[[#This Row],[PMV]]*TABLAINV[[#This Row],[Diferencia]]),0)</f>
        <v>0</v>
      </c>
      <c r="Z38" s="168">
        <f>IFERROR(VLOOKUP(TABLAINV[[#This Row],[Codigo Estado]],unds!O:P,2,0),"PEND.")</f>
        <v>2001</v>
      </c>
      <c r="AA38" s="168" t="str">
        <f t="shared" si="4"/>
        <v>CD09</v>
      </c>
      <c r="AB38" s="169">
        <f t="shared" ca="1" si="5"/>
        <v>45827</v>
      </c>
      <c r="AC38" s="1"/>
      <c r="AD38" s="1"/>
      <c r="AE38" s="1"/>
      <c r="AF38" s="1"/>
    </row>
    <row r="39" spans="1:32" ht="15" customHeight="1" x14ac:dyDescent="0.2">
      <c r="A39" s="170" t="str">
        <f t="shared" si="3"/>
        <v>MRC01</v>
      </c>
      <c r="B39" s="160" t="str">
        <f>IF(TABLAINV[[#This Row],[Z]]="","",D39&amp;"."&amp;TEXT(E39,"000")&amp;"."&amp;TEXT(F39,"000")&amp;"."&amp;TEXT(G39,"000"))</f>
        <v>MR.C01.077.002</v>
      </c>
      <c r="C39" s="161"/>
      <c r="D39" s="162" t="s">
        <v>95</v>
      </c>
      <c r="E39" s="162" t="s">
        <v>96</v>
      </c>
      <c r="F39" s="162">
        <v>77</v>
      </c>
      <c r="G39" s="162">
        <v>2</v>
      </c>
      <c r="H39" s="162">
        <v>452024</v>
      </c>
      <c r="I39" s="162" t="s">
        <v>147</v>
      </c>
      <c r="J39" s="171">
        <v>6</v>
      </c>
      <c r="K39" s="162" t="s">
        <v>64</v>
      </c>
      <c r="L39" s="163" t="s">
        <v>98</v>
      </c>
      <c r="M39" s="162" t="s">
        <v>99</v>
      </c>
      <c r="N39" s="161" t="s">
        <v>91</v>
      </c>
      <c r="O39" s="161">
        <v>6</v>
      </c>
      <c r="P39" s="163">
        <v>6</v>
      </c>
      <c r="Q39" s="163"/>
      <c r="R39" s="162"/>
      <c r="S39" s="164">
        <f>TABLAINV[[#This Row],[Conteo Físico]]-TABLAINV[[#This Row],[Cant. UND]]</f>
        <v>0</v>
      </c>
      <c r="T3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" s="165" t="str">
        <f>IFERROR(IF(MOD(TABLAINV[[#This Row],[C]],2)=0,"PAR","IMPAR"),"Zona")</f>
        <v>IMPAR</v>
      </c>
      <c r="W39" s="166"/>
      <c r="X39" s="167">
        <f>IFERROR(IF(TABLAINV[[#This Row],[Cant. UND]]=0,TABLAINV[[#This Row],[PMV]]*TABLAINV[[#This Row],[Conteo Físico]],TABLAINV[[#This Row],[PMV]]*TABLAINV[[#This Row],[Cant. UND]]),0)</f>
        <v>0</v>
      </c>
      <c r="Y39" s="167">
        <f>IFERROR(ABS(TABLAINV[[#This Row],[PMV]]*TABLAINV[[#This Row],[Diferencia]]),0)</f>
        <v>0</v>
      </c>
      <c r="Z39" s="168">
        <f>IFERROR(VLOOKUP(TABLAINV[[#This Row],[Codigo Estado]],unds!O:P,2,0),"PEND.")</f>
        <v>2001</v>
      </c>
      <c r="AA39" s="168" t="str">
        <f t="shared" si="4"/>
        <v>CD09</v>
      </c>
      <c r="AB39" s="169">
        <f t="shared" ca="1" si="5"/>
        <v>45827</v>
      </c>
      <c r="AC39" s="1"/>
      <c r="AD39" s="1"/>
      <c r="AE39" s="1"/>
      <c r="AF39" s="1"/>
    </row>
    <row r="40" spans="1:32" ht="15" customHeight="1" x14ac:dyDescent="0.2">
      <c r="A40" s="170" t="str">
        <f t="shared" si="3"/>
        <v>MRC01</v>
      </c>
      <c r="B40" s="160" t="str">
        <f>IF(TABLAINV[[#This Row],[Z]]="","",D40&amp;"."&amp;TEXT(E40,"000")&amp;"."&amp;TEXT(F40,"000")&amp;"."&amp;TEXT(G40,"000"))</f>
        <v>MR.C01.078.002</v>
      </c>
      <c r="C40" s="161"/>
      <c r="D40" s="162" t="s">
        <v>95</v>
      </c>
      <c r="E40" s="162" t="s">
        <v>96</v>
      </c>
      <c r="F40" s="162">
        <v>78</v>
      </c>
      <c r="G40" s="162">
        <v>2</v>
      </c>
      <c r="H40" s="162">
        <v>1016137</v>
      </c>
      <c r="I40" s="162" t="s">
        <v>148</v>
      </c>
      <c r="J40" s="171">
        <v>16</v>
      </c>
      <c r="K40" s="162" t="s">
        <v>64</v>
      </c>
      <c r="L40" s="163" t="s">
        <v>98</v>
      </c>
      <c r="M40" s="162" t="s">
        <v>99</v>
      </c>
      <c r="N40" s="161" t="s">
        <v>91</v>
      </c>
      <c r="O40" s="161">
        <v>16</v>
      </c>
      <c r="P40" s="163">
        <v>16</v>
      </c>
      <c r="Q40" s="163"/>
      <c r="R40" s="162"/>
      <c r="S40" s="164">
        <f>TABLAINV[[#This Row],[Conteo Físico]]-TABLAINV[[#This Row],[Cant. UND]]</f>
        <v>0</v>
      </c>
      <c r="T4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" s="165" t="str">
        <f>IFERROR(IF(MOD(TABLAINV[[#This Row],[C]],2)=0,"PAR","IMPAR"),"Zona")</f>
        <v>PAR</v>
      </c>
      <c r="W40" s="166"/>
      <c r="X40" s="167">
        <f>IFERROR(IF(TABLAINV[[#This Row],[Cant. UND]]=0,TABLAINV[[#This Row],[PMV]]*TABLAINV[[#This Row],[Conteo Físico]],TABLAINV[[#This Row],[PMV]]*TABLAINV[[#This Row],[Cant. UND]]),0)</f>
        <v>0</v>
      </c>
      <c r="Y40" s="167">
        <f>IFERROR(ABS(TABLAINV[[#This Row],[PMV]]*TABLAINV[[#This Row],[Diferencia]]),0)</f>
        <v>0</v>
      </c>
      <c r="Z40" s="168">
        <f>IFERROR(VLOOKUP(TABLAINV[[#This Row],[Codigo Estado]],unds!O:P,2,0),"PEND.")</f>
        <v>2001</v>
      </c>
      <c r="AA40" s="168" t="str">
        <f t="shared" si="4"/>
        <v>CD09</v>
      </c>
      <c r="AB40" s="169">
        <f t="shared" ca="1" si="5"/>
        <v>45827</v>
      </c>
      <c r="AC40" s="1"/>
      <c r="AD40" s="1"/>
      <c r="AE40" s="1"/>
      <c r="AF40" s="1"/>
    </row>
    <row r="41" spans="1:32" ht="15" customHeight="1" x14ac:dyDescent="0.2">
      <c r="A41" s="170" t="str">
        <f t="shared" si="3"/>
        <v>MRC01</v>
      </c>
      <c r="B41" s="160" t="str">
        <f>IF(TABLAINV[[#This Row],[Z]]="","",D41&amp;"."&amp;TEXT(E41,"000")&amp;"."&amp;TEXT(F41,"000")&amp;"."&amp;TEXT(G41,"000"))</f>
        <v>MR.C01.079.003</v>
      </c>
      <c r="C41" s="161"/>
      <c r="D41" s="162" t="s">
        <v>95</v>
      </c>
      <c r="E41" s="162" t="s">
        <v>96</v>
      </c>
      <c r="F41" s="162">
        <v>79</v>
      </c>
      <c r="G41" s="162">
        <v>3</v>
      </c>
      <c r="H41" s="162">
        <v>974465</v>
      </c>
      <c r="I41" s="162" t="s">
        <v>112</v>
      </c>
      <c r="J41" s="171">
        <v>65</v>
      </c>
      <c r="K41" s="162" t="s">
        <v>64</v>
      </c>
      <c r="L41" s="163" t="s">
        <v>113</v>
      </c>
      <c r="M41" s="162" t="s">
        <v>99</v>
      </c>
      <c r="N41" s="161" t="s">
        <v>91</v>
      </c>
      <c r="O41" s="161">
        <v>65</v>
      </c>
      <c r="P41" s="163">
        <v>65</v>
      </c>
      <c r="Q41" s="163"/>
      <c r="R41" s="162"/>
      <c r="S41" s="164">
        <f>TABLAINV[[#This Row],[Conteo Físico]]-TABLAINV[[#This Row],[Cant. UND]]</f>
        <v>0</v>
      </c>
      <c r="T4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" s="165" t="str">
        <f>IFERROR(IF(MOD(TABLAINV[[#This Row],[C]],2)=0,"PAR","IMPAR"),"Zona")</f>
        <v>IMPAR</v>
      </c>
      <c r="W41" s="166"/>
      <c r="X41" s="167">
        <f>IFERROR(IF(TABLAINV[[#This Row],[Cant. UND]]=0,TABLAINV[[#This Row],[PMV]]*TABLAINV[[#This Row],[Conteo Físico]],TABLAINV[[#This Row],[PMV]]*TABLAINV[[#This Row],[Cant. UND]]),0)</f>
        <v>0</v>
      </c>
      <c r="Y41" s="167">
        <f>IFERROR(ABS(TABLAINV[[#This Row],[PMV]]*TABLAINV[[#This Row],[Diferencia]]),0)</f>
        <v>0</v>
      </c>
      <c r="Z41" s="168">
        <f>IFERROR(VLOOKUP(TABLAINV[[#This Row],[Codigo Estado]],unds!O:P,2,0),"PEND.")</f>
        <v>2001</v>
      </c>
      <c r="AA41" s="168" t="str">
        <f t="shared" si="4"/>
        <v>CD09</v>
      </c>
      <c r="AB41" s="169">
        <f t="shared" ca="1" si="5"/>
        <v>45827</v>
      </c>
      <c r="AC41" s="1"/>
      <c r="AD41" s="1"/>
      <c r="AE41" s="1"/>
      <c r="AF41" s="1"/>
    </row>
    <row r="42" spans="1:32" ht="15" customHeight="1" x14ac:dyDescent="0.2">
      <c r="A42" s="170" t="str">
        <f t="shared" si="3"/>
        <v>MRC01</v>
      </c>
      <c r="B42" s="160" t="str">
        <f>IF(TABLAINV[[#This Row],[Z]]="","",D42&amp;"."&amp;TEXT(E42,"000")&amp;"."&amp;TEXT(F42,"000")&amp;"."&amp;TEXT(G42,"000"))</f>
        <v>MR.C01.080.002</v>
      </c>
      <c r="C42" s="161"/>
      <c r="D42" s="162" t="s">
        <v>95</v>
      </c>
      <c r="E42" s="162" t="s">
        <v>96</v>
      </c>
      <c r="F42" s="162">
        <v>80</v>
      </c>
      <c r="G42" s="162">
        <v>2</v>
      </c>
      <c r="H42" s="162">
        <v>947966</v>
      </c>
      <c r="I42" s="162" t="s">
        <v>149</v>
      </c>
      <c r="J42" s="171">
        <v>24</v>
      </c>
      <c r="K42" s="162" t="s">
        <v>64</v>
      </c>
      <c r="L42" s="163" t="s">
        <v>98</v>
      </c>
      <c r="M42" s="162" t="s">
        <v>99</v>
      </c>
      <c r="N42" s="161" t="s">
        <v>91</v>
      </c>
      <c r="O42" s="161">
        <v>24</v>
      </c>
      <c r="P42" s="163">
        <v>24</v>
      </c>
      <c r="Q42" s="163"/>
      <c r="R42" s="162"/>
      <c r="S42" s="164">
        <f>TABLAINV[[#This Row],[Conteo Físico]]-TABLAINV[[#This Row],[Cant. UND]]</f>
        <v>0</v>
      </c>
      <c r="T4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" s="165" t="str">
        <f>IFERROR(IF(MOD(TABLAINV[[#This Row],[C]],2)=0,"PAR","IMPAR"),"Zona")</f>
        <v>PAR</v>
      </c>
      <c r="W42" s="166"/>
      <c r="X42" s="167">
        <f>IFERROR(IF(TABLAINV[[#This Row],[Cant. UND]]=0,TABLAINV[[#This Row],[PMV]]*TABLAINV[[#This Row],[Conteo Físico]],TABLAINV[[#This Row],[PMV]]*TABLAINV[[#This Row],[Cant. UND]]),0)</f>
        <v>0</v>
      </c>
      <c r="Y42" s="167">
        <f>IFERROR(ABS(TABLAINV[[#This Row],[PMV]]*TABLAINV[[#This Row],[Diferencia]]),0)</f>
        <v>0</v>
      </c>
      <c r="Z42" s="168">
        <f>IFERROR(VLOOKUP(TABLAINV[[#This Row],[Codigo Estado]],unds!O:P,2,0),"PEND.")</f>
        <v>2001</v>
      </c>
      <c r="AA42" s="168" t="str">
        <f t="shared" si="4"/>
        <v>CD09</v>
      </c>
      <c r="AB42" s="169">
        <f t="shared" ca="1" si="5"/>
        <v>45827</v>
      </c>
      <c r="AC42" s="1"/>
      <c r="AD42" s="1"/>
      <c r="AE42" s="1"/>
      <c r="AF42" s="1"/>
    </row>
    <row r="43" spans="1:32" ht="15" customHeight="1" x14ac:dyDescent="0.2">
      <c r="A43" s="170" t="str">
        <f t="shared" si="3"/>
        <v>MRC01</v>
      </c>
      <c r="B43" s="160" t="str">
        <f>IF(TABLAINV[[#This Row],[Z]]="","",D43&amp;"."&amp;TEXT(E43,"000")&amp;"."&amp;TEXT(F43,"000")&amp;"."&amp;TEXT(G43,"000"))</f>
        <v>MR.C01.082.002</v>
      </c>
      <c r="C43" s="161"/>
      <c r="D43" s="162" t="s">
        <v>95</v>
      </c>
      <c r="E43" s="162" t="s">
        <v>96</v>
      </c>
      <c r="F43" s="162">
        <v>82</v>
      </c>
      <c r="G43" s="162">
        <v>2</v>
      </c>
      <c r="H43" s="162">
        <v>334950</v>
      </c>
      <c r="I43" s="162" t="s">
        <v>150</v>
      </c>
      <c r="J43" s="171">
        <v>48</v>
      </c>
      <c r="K43" s="162" t="s">
        <v>64</v>
      </c>
      <c r="L43" s="163" t="s">
        <v>125</v>
      </c>
      <c r="M43" s="162" t="s">
        <v>99</v>
      </c>
      <c r="N43" s="161" t="s">
        <v>91</v>
      </c>
      <c r="O43" s="161">
        <v>48</v>
      </c>
      <c r="P43" s="163">
        <v>48</v>
      </c>
      <c r="Q43" s="163"/>
      <c r="R43" s="162"/>
      <c r="S43" s="164">
        <f>TABLAINV[[#This Row],[Conteo Físico]]-TABLAINV[[#This Row],[Cant. UND]]</f>
        <v>0</v>
      </c>
      <c r="T4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" s="165" t="str">
        <f>IFERROR(IF(MOD(TABLAINV[[#This Row],[C]],2)=0,"PAR","IMPAR"),"Zona")</f>
        <v>PAR</v>
      </c>
      <c r="W43" s="166"/>
      <c r="X43" s="167">
        <f>IFERROR(IF(TABLAINV[[#This Row],[Cant. UND]]=0,TABLAINV[[#This Row],[PMV]]*TABLAINV[[#This Row],[Conteo Físico]],TABLAINV[[#This Row],[PMV]]*TABLAINV[[#This Row],[Cant. UND]]),0)</f>
        <v>0</v>
      </c>
      <c r="Y43" s="167">
        <f>IFERROR(ABS(TABLAINV[[#This Row],[PMV]]*TABLAINV[[#This Row],[Diferencia]]),0)</f>
        <v>0</v>
      </c>
      <c r="Z43" s="168">
        <f>IFERROR(VLOOKUP(TABLAINV[[#This Row],[Codigo Estado]],unds!O:P,2,0),"PEND.")</f>
        <v>2001</v>
      </c>
      <c r="AA43" s="168" t="str">
        <f t="shared" si="4"/>
        <v>CD09</v>
      </c>
      <c r="AB43" s="169">
        <f t="shared" ca="1" si="5"/>
        <v>45827</v>
      </c>
      <c r="AC43" s="1"/>
      <c r="AD43" s="1"/>
      <c r="AE43" s="1"/>
      <c r="AF43" s="1"/>
    </row>
    <row r="44" spans="1:32" ht="15" customHeight="1" x14ac:dyDescent="0.2">
      <c r="A44" s="170" t="str">
        <f t="shared" si="3"/>
        <v>MRC01</v>
      </c>
      <c r="B44" s="160" t="str">
        <f>IF(TABLAINV[[#This Row],[Z]]="","",D44&amp;"."&amp;TEXT(E44,"000")&amp;"."&amp;TEXT(F44,"000")&amp;"."&amp;TEXT(G44,"000"))</f>
        <v>MR.C01.087.001</v>
      </c>
      <c r="C44" s="161"/>
      <c r="D44" s="162" t="s">
        <v>95</v>
      </c>
      <c r="E44" s="162" t="s">
        <v>96</v>
      </c>
      <c r="F44" s="162">
        <v>87</v>
      </c>
      <c r="G44" s="162">
        <v>1</v>
      </c>
      <c r="H44" s="162">
        <v>342607</v>
      </c>
      <c r="I44" s="162" t="s">
        <v>126</v>
      </c>
      <c r="J44" s="171">
        <v>6</v>
      </c>
      <c r="K44" s="162" t="s">
        <v>64</v>
      </c>
      <c r="L44" s="163" t="s">
        <v>113</v>
      </c>
      <c r="M44" s="162" t="s">
        <v>99</v>
      </c>
      <c r="N44" s="161" t="s">
        <v>91</v>
      </c>
      <c r="O44" s="161">
        <v>6</v>
      </c>
      <c r="P44" s="163">
        <v>6</v>
      </c>
      <c r="Q44" s="163"/>
      <c r="R44" s="162"/>
      <c r="S44" s="164">
        <f>TABLAINV[[#This Row],[Conteo Físico]]-TABLAINV[[#This Row],[Cant. UND]]</f>
        <v>0</v>
      </c>
      <c r="T4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4" s="165" t="str">
        <f>IFERROR(IF(MOD(TABLAINV[[#This Row],[C]],2)=0,"PAR","IMPAR"),"Zona")</f>
        <v>IMPAR</v>
      </c>
      <c r="W44" s="166"/>
      <c r="X44" s="167">
        <f>IFERROR(IF(TABLAINV[[#This Row],[Cant. UND]]=0,TABLAINV[[#This Row],[PMV]]*TABLAINV[[#This Row],[Conteo Físico]],TABLAINV[[#This Row],[PMV]]*TABLAINV[[#This Row],[Cant. UND]]),0)</f>
        <v>0</v>
      </c>
      <c r="Y44" s="167">
        <f>IFERROR(ABS(TABLAINV[[#This Row],[PMV]]*TABLAINV[[#This Row],[Diferencia]]),0)</f>
        <v>0</v>
      </c>
      <c r="Z44" s="168">
        <f>IFERROR(VLOOKUP(TABLAINV[[#This Row],[Codigo Estado]],unds!O:P,2,0),"PEND.")</f>
        <v>2001</v>
      </c>
      <c r="AA44" s="168" t="str">
        <f t="shared" si="4"/>
        <v>CD09</v>
      </c>
      <c r="AB44" s="169">
        <f t="shared" ca="1" si="5"/>
        <v>45827</v>
      </c>
      <c r="AC44" s="1"/>
      <c r="AD44" s="1"/>
      <c r="AE44" s="1"/>
      <c r="AF44" s="1"/>
    </row>
    <row r="45" spans="1:32" ht="15" customHeight="1" x14ac:dyDescent="0.2">
      <c r="A45" s="170" t="str">
        <f t="shared" si="3"/>
        <v>MRC01</v>
      </c>
      <c r="B45" s="160" t="str">
        <f>IF(TABLAINV[[#This Row],[Z]]="","",D45&amp;"."&amp;TEXT(E45,"000")&amp;"."&amp;TEXT(F45,"000")&amp;"."&amp;TEXT(G45,"000"))</f>
        <v>MR.C01.087.002</v>
      </c>
      <c r="C45" s="161"/>
      <c r="D45" s="162" t="s">
        <v>95</v>
      </c>
      <c r="E45" s="162" t="s">
        <v>96</v>
      </c>
      <c r="F45" s="162">
        <v>87</v>
      </c>
      <c r="G45" s="162">
        <v>2</v>
      </c>
      <c r="H45" s="162">
        <v>1014461</v>
      </c>
      <c r="I45" s="162" t="s">
        <v>151</v>
      </c>
      <c r="J45" s="171">
        <v>6</v>
      </c>
      <c r="K45" s="162" t="s">
        <v>64</v>
      </c>
      <c r="L45" s="163" t="s">
        <v>115</v>
      </c>
      <c r="M45" s="162" t="s">
        <v>99</v>
      </c>
      <c r="N45" s="161" t="s">
        <v>91</v>
      </c>
      <c r="O45" s="161">
        <v>6</v>
      </c>
      <c r="P45" s="163">
        <v>6</v>
      </c>
      <c r="Q45" s="163"/>
      <c r="R45" s="162"/>
      <c r="S45" s="164">
        <f>TABLAINV[[#This Row],[Conteo Físico]]-TABLAINV[[#This Row],[Cant. UND]]</f>
        <v>0</v>
      </c>
      <c r="T4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5" s="165" t="str">
        <f>IFERROR(IF(MOD(TABLAINV[[#This Row],[C]],2)=0,"PAR","IMPAR"),"Zona")</f>
        <v>IMPAR</v>
      </c>
      <c r="W45" s="166"/>
      <c r="X45" s="167">
        <f>IFERROR(IF(TABLAINV[[#This Row],[Cant. UND]]=0,TABLAINV[[#This Row],[PMV]]*TABLAINV[[#This Row],[Conteo Físico]],TABLAINV[[#This Row],[PMV]]*TABLAINV[[#This Row],[Cant. UND]]),0)</f>
        <v>0</v>
      </c>
      <c r="Y45" s="167">
        <f>IFERROR(ABS(TABLAINV[[#This Row],[PMV]]*TABLAINV[[#This Row],[Diferencia]]),0)</f>
        <v>0</v>
      </c>
      <c r="Z45" s="168">
        <f>IFERROR(VLOOKUP(TABLAINV[[#This Row],[Codigo Estado]],unds!O:P,2,0),"PEND.")</f>
        <v>2001</v>
      </c>
      <c r="AA45" s="168" t="str">
        <f t="shared" si="4"/>
        <v>CD09</v>
      </c>
      <c r="AB45" s="169">
        <f t="shared" ca="1" si="5"/>
        <v>45827</v>
      </c>
      <c r="AC45" s="1"/>
      <c r="AD45" s="1"/>
      <c r="AE45" s="1"/>
      <c r="AF45" s="1"/>
    </row>
    <row r="46" spans="1:32" ht="15" customHeight="1" x14ac:dyDescent="0.2">
      <c r="A46" s="170" t="str">
        <f t="shared" si="3"/>
        <v>MRC01</v>
      </c>
      <c r="B46" s="160" t="str">
        <f>IF(TABLAINV[[#This Row],[Z]]="","",D46&amp;"."&amp;TEXT(E46,"000")&amp;"."&amp;TEXT(F46,"000")&amp;"."&amp;TEXT(G46,"000"))</f>
        <v>MR.C01.088.002</v>
      </c>
      <c r="C46" s="161"/>
      <c r="D46" s="162" t="s">
        <v>95</v>
      </c>
      <c r="E46" s="162" t="s">
        <v>96</v>
      </c>
      <c r="F46" s="162">
        <v>88</v>
      </c>
      <c r="G46" s="162">
        <v>2</v>
      </c>
      <c r="H46" s="162">
        <v>396035003</v>
      </c>
      <c r="I46" s="162" t="s">
        <v>132</v>
      </c>
      <c r="J46" s="171">
        <v>9</v>
      </c>
      <c r="K46" s="162" t="s">
        <v>64</v>
      </c>
      <c r="L46" s="163" t="s">
        <v>98</v>
      </c>
      <c r="M46" s="162" t="s">
        <v>99</v>
      </c>
      <c r="N46" s="161" t="s">
        <v>91</v>
      </c>
      <c r="O46" s="161">
        <v>9</v>
      </c>
      <c r="P46" s="163">
        <v>9</v>
      </c>
      <c r="Q46" s="163"/>
      <c r="R46" s="162"/>
      <c r="S46" s="164">
        <f>TABLAINV[[#This Row],[Conteo Físico]]-TABLAINV[[#This Row],[Cant. UND]]</f>
        <v>0</v>
      </c>
      <c r="T4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6" s="165" t="str">
        <f>IFERROR(IF(MOD(TABLAINV[[#This Row],[C]],2)=0,"PAR","IMPAR"),"Zona")</f>
        <v>PAR</v>
      </c>
      <c r="W46" s="166"/>
      <c r="X46" s="167">
        <f>IFERROR(IF(TABLAINV[[#This Row],[Cant. UND]]=0,TABLAINV[[#This Row],[PMV]]*TABLAINV[[#This Row],[Conteo Físico]],TABLAINV[[#This Row],[PMV]]*TABLAINV[[#This Row],[Cant. UND]]),0)</f>
        <v>0</v>
      </c>
      <c r="Y46" s="167">
        <f>IFERROR(ABS(TABLAINV[[#This Row],[PMV]]*TABLAINV[[#This Row],[Diferencia]]),0)</f>
        <v>0</v>
      </c>
      <c r="Z46" s="168">
        <f>IFERROR(VLOOKUP(TABLAINV[[#This Row],[Codigo Estado]],unds!O:P,2,0),"PEND.")</f>
        <v>2001</v>
      </c>
      <c r="AA46" s="168" t="str">
        <f t="shared" si="4"/>
        <v>CD09</v>
      </c>
      <c r="AB46" s="169">
        <f t="shared" ca="1" si="5"/>
        <v>45827</v>
      </c>
      <c r="AC46" s="1"/>
      <c r="AD46" s="1"/>
      <c r="AE46" s="1"/>
      <c r="AF46" s="1"/>
    </row>
    <row r="47" spans="1:32" ht="15" customHeight="1" x14ac:dyDescent="0.2">
      <c r="A47" s="170" t="str">
        <f t="shared" si="3"/>
        <v>MRC01</v>
      </c>
      <c r="B47" s="160" t="str">
        <f>IF(TABLAINV[[#This Row],[Z]]="","",D47&amp;"."&amp;TEXT(E47,"000")&amp;"."&amp;TEXT(F47,"000")&amp;"."&amp;TEXT(G47,"000"))</f>
        <v>MR.C01.089.001</v>
      </c>
      <c r="C47" s="161"/>
      <c r="D47" s="162" t="s">
        <v>95</v>
      </c>
      <c r="E47" s="162" t="s">
        <v>96</v>
      </c>
      <c r="F47" s="162">
        <v>89</v>
      </c>
      <c r="G47" s="162">
        <v>1</v>
      </c>
      <c r="H47" s="162">
        <v>1021541</v>
      </c>
      <c r="I47" s="162" t="s">
        <v>152</v>
      </c>
      <c r="J47" s="171">
        <v>3</v>
      </c>
      <c r="K47" s="162" t="s">
        <v>64</v>
      </c>
      <c r="L47" s="163" t="s">
        <v>115</v>
      </c>
      <c r="M47" s="162" t="s">
        <v>99</v>
      </c>
      <c r="N47" s="161" t="s">
        <v>91</v>
      </c>
      <c r="O47" s="161">
        <v>3</v>
      </c>
      <c r="P47" s="163">
        <v>3</v>
      </c>
      <c r="Q47" s="163"/>
      <c r="R47" s="162"/>
      <c r="S47" s="164">
        <f>TABLAINV[[#This Row],[Conteo Físico]]-TABLAINV[[#This Row],[Cant. UND]]</f>
        <v>0</v>
      </c>
      <c r="T4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7" s="165" t="str">
        <f>IFERROR(IF(MOD(TABLAINV[[#This Row],[C]],2)=0,"PAR","IMPAR"),"Zona")</f>
        <v>IMPAR</v>
      </c>
      <c r="W47" s="166"/>
      <c r="X47" s="167">
        <f>IFERROR(IF(TABLAINV[[#This Row],[Cant. UND]]=0,TABLAINV[[#This Row],[PMV]]*TABLAINV[[#This Row],[Conteo Físico]],TABLAINV[[#This Row],[PMV]]*TABLAINV[[#This Row],[Cant. UND]]),0)</f>
        <v>0</v>
      </c>
      <c r="Y47" s="167">
        <f>IFERROR(ABS(TABLAINV[[#This Row],[PMV]]*TABLAINV[[#This Row],[Diferencia]]),0)</f>
        <v>0</v>
      </c>
      <c r="Z47" s="168">
        <f>IFERROR(VLOOKUP(TABLAINV[[#This Row],[Codigo Estado]],unds!O:P,2,0),"PEND.")</f>
        <v>2001</v>
      </c>
      <c r="AA47" s="168" t="str">
        <f t="shared" si="4"/>
        <v>CD09</v>
      </c>
      <c r="AB47" s="169">
        <f t="shared" ca="1" si="5"/>
        <v>45827</v>
      </c>
      <c r="AC47" s="1"/>
      <c r="AD47" s="1"/>
      <c r="AE47" s="1"/>
      <c r="AF47" s="1"/>
    </row>
    <row r="48" spans="1:32" ht="15" customHeight="1" x14ac:dyDescent="0.2">
      <c r="A48" s="170" t="str">
        <f t="shared" si="3"/>
        <v>MRC01</v>
      </c>
      <c r="B48" s="160" t="str">
        <f>IF(TABLAINV[[#This Row],[Z]]="","",D48&amp;"."&amp;TEXT(E48,"000")&amp;"."&amp;TEXT(F48,"000")&amp;"."&amp;TEXT(G48,"000"))</f>
        <v>MR.C01.089.002</v>
      </c>
      <c r="C48" s="161"/>
      <c r="D48" s="162" t="s">
        <v>95</v>
      </c>
      <c r="E48" s="162" t="s">
        <v>96</v>
      </c>
      <c r="F48" s="162">
        <v>89</v>
      </c>
      <c r="G48" s="162">
        <v>2</v>
      </c>
      <c r="H48" s="162">
        <v>396035007</v>
      </c>
      <c r="I48" s="162" t="s">
        <v>153</v>
      </c>
      <c r="J48" s="171">
        <v>24</v>
      </c>
      <c r="K48" s="162" t="s">
        <v>64</v>
      </c>
      <c r="L48" s="163" t="s">
        <v>98</v>
      </c>
      <c r="M48" s="162" t="s">
        <v>99</v>
      </c>
      <c r="N48" s="161" t="s">
        <v>91</v>
      </c>
      <c r="O48" s="161">
        <v>24</v>
      </c>
      <c r="P48" s="163">
        <v>24</v>
      </c>
      <c r="Q48" s="163"/>
      <c r="R48" s="162"/>
      <c r="S48" s="164">
        <f>TABLAINV[[#This Row],[Conteo Físico]]-TABLAINV[[#This Row],[Cant. UND]]</f>
        <v>0</v>
      </c>
      <c r="T4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8" s="165" t="str">
        <f>IFERROR(IF(MOD(TABLAINV[[#This Row],[C]],2)=0,"PAR","IMPAR"),"Zona")</f>
        <v>IMPAR</v>
      </c>
      <c r="W48" s="166"/>
      <c r="X48" s="167">
        <f>IFERROR(IF(TABLAINV[[#This Row],[Cant. UND]]=0,TABLAINV[[#This Row],[PMV]]*TABLAINV[[#This Row],[Conteo Físico]],TABLAINV[[#This Row],[PMV]]*TABLAINV[[#This Row],[Cant. UND]]),0)</f>
        <v>0</v>
      </c>
      <c r="Y48" s="167">
        <f>IFERROR(ABS(TABLAINV[[#This Row],[PMV]]*TABLAINV[[#This Row],[Diferencia]]),0)</f>
        <v>0</v>
      </c>
      <c r="Z48" s="168">
        <f>IFERROR(VLOOKUP(TABLAINV[[#This Row],[Codigo Estado]],unds!O:P,2,0),"PEND.")</f>
        <v>2001</v>
      </c>
      <c r="AA48" s="168" t="str">
        <f t="shared" si="4"/>
        <v>CD09</v>
      </c>
      <c r="AB48" s="169">
        <f t="shared" ca="1" si="5"/>
        <v>45827</v>
      </c>
      <c r="AC48" s="1"/>
      <c r="AD48" s="1"/>
      <c r="AE48" s="1"/>
      <c r="AF48" s="1"/>
    </row>
    <row r="49" spans="1:32" ht="15" customHeight="1" x14ac:dyDescent="0.2">
      <c r="A49" s="170" t="str">
        <f t="shared" si="3"/>
        <v>MRC01</v>
      </c>
      <c r="B49" s="160" t="str">
        <f>IF(TABLAINV[[#This Row],[Z]]="","",D49&amp;"."&amp;TEXT(E49,"000")&amp;"."&amp;TEXT(F49,"000")&amp;"."&amp;TEXT(G49,"000"))</f>
        <v>MR.C01.091.002</v>
      </c>
      <c r="C49" s="161"/>
      <c r="D49" s="162" t="s">
        <v>95</v>
      </c>
      <c r="E49" s="162" t="s">
        <v>96</v>
      </c>
      <c r="F49" s="162">
        <v>91</v>
      </c>
      <c r="G49" s="162">
        <v>2</v>
      </c>
      <c r="H49" s="162">
        <v>112569</v>
      </c>
      <c r="I49" s="162" t="s">
        <v>124</v>
      </c>
      <c r="J49" s="171">
        <v>12</v>
      </c>
      <c r="K49" s="162" t="s">
        <v>64</v>
      </c>
      <c r="L49" s="163" t="s">
        <v>125</v>
      </c>
      <c r="M49" s="162" t="s">
        <v>99</v>
      </c>
      <c r="N49" s="161" t="s">
        <v>91</v>
      </c>
      <c r="O49" s="161">
        <v>12</v>
      </c>
      <c r="P49" s="163">
        <v>12</v>
      </c>
      <c r="Q49" s="163"/>
      <c r="R49" s="162"/>
      <c r="S49" s="164">
        <f>TABLAINV[[#This Row],[Conteo Físico]]-TABLAINV[[#This Row],[Cant. UND]]</f>
        <v>0</v>
      </c>
      <c r="T4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9" s="165" t="str">
        <f>IFERROR(IF(MOD(TABLAINV[[#This Row],[C]],2)=0,"PAR","IMPAR"),"Zona")</f>
        <v>IMPAR</v>
      </c>
      <c r="W49" s="166"/>
      <c r="X49" s="167">
        <f>IFERROR(IF(TABLAINV[[#This Row],[Cant. UND]]=0,TABLAINV[[#This Row],[PMV]]*TABLAINV[[#This Row],[Conteo Físico]],TABLAINV[[#This Row],[PMV]]*TABLAINV[[#This Row],[Cant. UND]]),0)</f>
        <v>0</v>
      </c>
      <c r="Y49" s="167">
        <f>IFERROR(ABS(TABLAINV[[#This Row],[PMV]]*TABLAINV[[#This Row],[Diferencia]]),0)</f>
        <v>0</v>
      </c>
      <c r="Z49" s="168">
        <f>IFERROR(VLOOKUP(TABLAINV[[#This Row],[Codigo Estado]],unds!O:P,2,0),"PEND.")</f>
        <v>2001</v>
      </c>
      <c r="AA49" s="168" t="str">
        <f t="shared" si="4"/>
        <v>CD09</v>
      </c>
      <c r="AB49" s="169">
        <f t="shared" ca="1" si="5"/>
        <v>45827</v>
      </c>
      <c r="AC49" s="1"/>
      <c r="AD49" s="1"/>
      <c r="AE49" s="1"/>
      <c r="AF49" s="1"/>
    </row>
    <row r="50" spans="1:32" ht="15" customHeight="1" x14ac:dyDescent="0.2">
      <c r="A50" s="170" t="str">
        <f t="shared" si="3"/>
        <v>MRC01</v>
      </c>
      <c r="B50" s="160" t="str">
        <f>IF(TABLAINV[[#This Row],[Z]]="","",D50&amp;"."&amp;TEXT(E50,"000")&amp;"."&amp;TEXT(F50,"000")&amp;"."&amp;TEXT(G50,"000"))</f>
        <v>MR.C01.092.002</v>
      </c>
      <c r="C50" s="161"/>
      <c r="D50" s="162" t="s">
        <v>95</v>
      </c>
      <c r="E50" s="162" t="s">
        <v>96</v>
      </c>
      <c r="F50" s="162">
        <v>92</v>
      </c>
      <c r="G50" s="162">
        <v>2</v>
      </c>
      <c r="H50" s="162">
        <v>1016134</v>
      </c>
      <c r="I50" s="162" t="s">
        <v>154</v>
      </c>
      <c r="J50" s="171">
        <v>6</v>
      </c>
      <c r="K50" s="162" t="s">
        <v>64</v>
      </c>
      <c r="L50" s="163" t="s">
        <v>98</v>
      </c>
      <c r="M50" s="162" t="s">
        <v>99</v>
      </c>
      <c r="N50" s="161" t="s">
        <v>91</v>
      </c>
      <c r="O50" s="161">
        <v>6</v>
      </c>
      <c r="P50" s="163">
        <v>6</v>
      </c>
      <c r="Q50" s="163"/>
      <c r="R50" s="162"/>
      <c r="S50" s="164">
        <f>TABLAINV[[#This Row],[Conteo Físico]]-TABLAINV[[#This Row],[Cant. UND]]</f>
        <v>0</v>
      </c>
      <c r="T5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0" s="165" t="str">
        <f>IFERROR(IF(MOD(TABLAINV[[#This Row],[C]],2)=0,"PAR","IMPAR"),"Zona")</f>
        <v>PAR</v>
      </c>
      <c r="W50" s="166"/>
      <c r="X50" s="167">
        <f>IFERROR(IF(TABLAINV[[#This Row],[Cant. UND]]=0,TABLAINV[[#This Row],[PMV]]*TABLAINV[[#This Row],[Conteo Físico]],TABLAINV[[#This Row],[PMV]]*TABLAINV[[#This Row],[Cant. UND]]),0)</f>
        <v>0</v>
      </c>
      <c r="Y50" s="167">
        <f>IFERROR(ABS(TABLAINV[[#This Row],[PMV]]*TABLAINV[[#This Row],[Diferencia]]),0)</f>
        <v>0</v>
      </c>
      <c r="Z50" s="168">
        <f>IFERROR(VLOOKUP(TABLAINV[[#This Row],[Codigo Estado]],unds!O:P,2,0),"PEND.")</f>
        <v>2001</v>
      </c>
      <c r="AA50" s="168" t="str">
        <f t="shared" si="4"/>
        <v>CD09</v>
      </c>
      <c r="AB50" s="169">
        <f t="shared" ca="1" si="5"/>
        <v>45827</v>
      </c>
      <c r="AC50" s="1"/>
      <c r="AD50" s="1"/>
      <c r="AE50" s="1"/>
      <c r="AF50" s="1"/>
    </row>
    <row r="51" spans="1:32" ht="15" customHeight="1" x14ac:dyDescent="0.2">
      <c r="A51" s="170" t="str">
        <f t="shared" si="3"/>
        <v>MRC01</v>
      </c>
      <c r="B51" s="160" t="str">
        <f>IF(TABLAINV[[#This Row],[Z]]="","",D51&amp;"."&amp;TEXT(E51,"000")&amp;"."&amp;TEXT(F51,"000")&amp;"."&amp;TEXT(G51,"000"))</f>
        <v>MR.C01.095.001</v>
      </c>
      <c r="C51" s="161"/>
      <c r="D51" s="162" t="s">
        <v>95</v>
      </c>
      <c r="E51" s="162" t="s">
        <v>96</v>
      </c>
      <c r="F51" s="162">
        <v>95</v>
      </c>
      <c r="G51" s="162">
        <v>1</v>
      </c>
      <c r="H51" s="162">
        <v>112569</v>
      </c>
      <c r="I51" s="162" t="s">
        <v>124</v>
      </c>
      <c r="J51" s="171">
        <v>24</v>
      </c>
      <c r="K51" s="162" t="s">
        <v>64</v>
      </c>
      <c r="L51" s="163" t="s">
        <v>125</v>
      </c>
      <c r="M51" s="162" t="s">
        <v>99</v>
      </c>
      <c r="N51" s="161" t="s">
        <v>91</v>
      </c>
      <c r="O51" s="161">
        <v>24</v>
      </c>
      <c r="P51" s="163">
        <v>24</v>
      </c>
      <c r="Q51" s="163"/>
      <c r="R51" s="162"/>
      <c r="S51" s="164">
        <f>TABLAINV[[#This Row],[Conteo Físico]]-TABLAINV[[#This Row],[Cant. UND]]</f>
        <v>0</v>
      </c>
      <c r="T5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1" s="165" t="str">
        <f>IFERROR(IF(MOD(TABLAINV[[#This Row],[C]],2)=0,"PAR","IMPAR"),"Zona")</f>
        <v>IMPAR</v>
      </c>
      <c r="W51" s="166"/>
      <c r="X51" s="167">
        <f>IFERROR(IF(TABLAINV[[#This Row],[Cant. UND]]=0,TABLAINV[[#This Row],[PMV]]*TABLAINV[[#This Row],[Conteo Físico]],TABLAINV[[#This Row],[PMV]]*TABLAINV[[#This Row],[Cant. UND]]),0)</f>
        <v>0</v>
      </c>
      <c r="Y51" s="167">
        <f>IFERROR(ABS(TABLAINV[[#This Row],[PMV]]*TABLAINV[[#This Row],[Diferencia]]),0)</f>
        <v>0</v>
      </c>
      <c r="Z51" s="168">
        <f>IFERROR(VLOOKUP(TABLAINV[[#This Row],[Codigo Estado]],unds!O:P,2,0),"PEND.")</f>
        <v>2001</v>
      </c>
      <c r="AA51" s="168" t="str">
        <f t="shared" si="4"/>
        <v>CD09</v>
      </c>
      <c r="AB51" s="169">
        <f t="shared" ca="1" si="5"/>
        <v>45827</v>
      </c>
      <c r="AC51" s="1"/>
      <c r="AD51" s="1"/>
      <c r="AE51" s="1"/>
      <c r="AF51" s="1"/>
    </row>
    <row r="52" spans="1:32" ht="15" customHeight="1" x14ac:dyDescent="0.2">
      <c r="A52" s="170" t="str">
        <f t="shared" si="3"/>
        <v>MRC01</v>
      </c>
      <c r="B52" s="160" t="str">
        <f>IF(TABLAINV[[#This Row],[Z]]="","",D52&amp;"."&amp;TEXT(E52,"000")&amp;"."&amp;TEXT(F52,"000")&amp;"."&amp;TEXT(G52,"000"))</f>
        <v>MR.C01.096.001</v>
      </c>
      <c r="C52" s="161"/>
      <c r="D52" s="162" t="s">
        <v>95</v>
      </c>
      <c r="E52" s="162" t="s">
        <v>96</v>
      </c>
      <c r="F52" s="162">
        <v>96</v>
      </c>
      <c r="G52" s="162">
        <v>1</v>
      </c>
      <c r="H52" s="162">
        <v>1014462</v>
      </c>
      <c r="I52" s="162" t="s">
        <v>155</v>
      </c>
      <c r="J52" s="171">
        <v>3</v>
      </c>
      <c r="K52" s="162" t="s">
        <v>64</v>
      </c>
      <c r="L52" s="163" t="s">
        <v>115</v>
      </c>
      <c r="M52" s="162" t="s">
        <v>99</v>
      </c>
      <c r="N52" s="161" t="s">
        <v>91</v>
      </c>
      <c r="O52" s="161">
        <v>3</v>
      </c>
      <c r="P52" s="163">
        <v>3</v>
      </c>
      <c r="Q52" s="163"/>
      <c r="R52" s="162"/>
      <c r="S52" s="164">
        <f>TABLAINV[[#This Row],[Conteo Físico]]-TABLAINV[[#This Row],[Cant. UND]]</f>
        <v>0</v>
      </c>
      <c r="T5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2" s="165" t="str">
        <f>IFERROR(IF(MOD(TABLAINV[[#This Row],[C]],2)=0,"PAR","IMPAR"),"Zona")</f>
        <v>PAR</v>
      </c>
      <c r="W52" s="166"/>
      <c r="X52" s="167">
        <f>IFERROR(IF(TABLAINV[[#This Row],[Cant. UND]]=0,TABLAINV[[#This Row],[PMV]]*TABLAINV[[#This Row],[Conteo Físico]],TABLAINV[[#This Row],[PMV]]*TABLAINV[[#This Row],[Cant. UND]]),0)</f>
        <v>0</v>
      </c>
      <c r="Y52" s="167">
        <f>IFERROR(ABS(TABLAINV[[#This Row],[PMV]]*TABLAINV[[#This Row],[Diferencia]]),0)</f>
        <v>0</v>
      </c>
      <c r="Z52" s="168">
        <f>IFERROR(VLOOKUP(TABLAINV[[#This Row],[Codigo Estado]],unds!O:P,2,0),"PEND.")</f>
        <v>2001</v>
      </c>
      <c r="AA52" s="168" t="str">
        <f t="shared" si="4"/>
        <v>CD09</v>
      </c>
      <c r="AB52" s="169">
        <f t="shared" ca="1" si="5"/>
        <v>45827</v>
      </c>
      <c r="AC52" s="1"/>
      <c r="AD52" s="1"/>
      <c r="AE52" s="1"/>
      <c r="AF52" s="1"/>
    </row>
    <row r="53" spans="1:32" ht="15" customHeight="1" x14ac:dyDescent="0.2">
      <c r="A53" s="170" t="str">
        <f t="shared" si="3"/>
        <v>MRC01</v>
      </c>
      <c r="B53" s="160" t="str">
        <f>IF(TABLAINV[[#This Row],[Z]]="","",D53&amp;"."&amp;TEXT(E53,"000")&amp;"."&amp;TEXT(F53,"000")&amp;"."&amp;TEXT(G53,"000"))</f>
        <v>MR.C01.096.002</v>
      </c>
      <c r="C53" s="161"/>
      <c r="D53" s="162" t="s">
        <v>95</v>
      </c>
      <c r="E53" s="162" t="s">
        <v>96</v>
      </c>
      <c r="F53" s="162">
        <v>96</v>
      </c>
      <c r="G53" s="162">
        <v>2</v>
      </c>
      <c r="H53" s="162">
        <v>1021546</v>
      </c>
      <c r="I53" s="162" t="s">
        <v>156</v>
      </c>
      <c r="J53" s="171">
        <v>18</v>
      </c>
      <c r="K53" s="162" t="s">
        <v>64</v>
      </c>
      <c r="L53" s="163" t="s">
        <v>98</v>
      </c>
      <c r="M53" s="162" t="s">
        <v>99</v>
      </c>
      <c r="N53" s="161" t="s">
        <v>91</v>
      </c>
      <c r="O53" s="161">
        <v>18</v>
      </c>
      <c r="P53" s="163">
        <v>18</v>
      </c>
      <c r="Q53" s="163"/>
      <c r="R53" s="162"/>
      <c r="S53" s="164">
        <f>TABLAINV[[#This Row],[Conteo Físico]]-TABLAINV[[#This Row],[Cant. UND]]</f>
        <v>0</v>
      </c>
      <c r="T5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3" s="165" t="str">
        <f>IFERROR(IF(MOD(TABLAINV[[#This Row],[C]],2)=0,"PAR","IMPAR"),"Zona")</f>
        <v>PAR</v>
      </c>
      <c r="W53" s="166"/>
      <c r="X53" s="167">
        <f>IFERROR(IF(TABLAINV[[#This Row],[Cant. UND]]=0,TABLAINV[[#This Row],[PMV]]*TABLAINV[[#This Row],[Conteo Físico]],TABLAINV[[#This Row],[PMV]]*TABLAINV[[#This Row],[Cant. UND]]),0)</f>
        <v>0</v>
      </c>
      <c r="Y53" s="167">
        <f>IFERROR(ABS(TABLAINV[[#This Row],[PMV]]*TABLAINV[[#This Row],[Diferencia]]),0)</f>
        <v>0</v>
      </c>
      <c r="Z53" s="168">
        <f>IFERROR(VLOOKUP(TABLAINV[[#This Row],[Codigo Estado]],unds!O:P,2,0),"PEND.")</f>
        <v>2001</v>
      </c>
      <c r="AA53" s="168" t="str">
        <f t="shared" si="4"/>
        <v>CD09</v>
      </c>
      <c r="AB53" s="169">
        <f t="shared" ca="1" si="5"/>
        <v>45827</v>
      </c>
      <c r="AC53" s="1"/>
      <c r="AD53" s="1"/>
      <c r="AE53" s="1"/>
      <c r="AF53" s="1"/>
    </row>
    <row r="54" spans="1:32" ht="15" customHeight="1" x14ac:dyDescent="0.2">
      <c r="A54" s="170" t="str">
        <f t="shared" si="3"/>
        <v>MRC01</v>
      </c>
      <c r="B54" s="160" t="str">
        <f>IF(TABLAINV[[#This Row],[Z]]="","",D54&amp;"."&amp;TEXT(E54,"000")&amp;"."&amp;TEXT(F54,"000")&amp;"."&amp;TEXT(G54,"000"))</f>
        <v>MR.C01.098.001</v>
      </c>
      <c r="C54" s="161"/>
      <c r="D54" s="162" t="s">
        <v>95</v>
      </c>
      <c r="E54" s="162" t="s">
        <v>96</v>
      </c>
      <c r="F54" s="162">
        <v>98</v>
      </c>
      <c r="G54" s="162">
        <v>1</v>
      </c>
      <c r="H54" s="162">
        <v>560877</v>
      </c>
      <c r="I54" s="162" t="s">
        <v>157</v>
      </c>
      <c r="J54" s="171">
        <v>9</v>
      </c>
      <c r="K54" s="162" t="s">
        <v>64</v>
      </c>
      <c r="L54" s="163" t="s">
        <v>115</v>
      </c>
      <c r="M54" s="162" t="s">
        <v>99</v>
      </c>
      <c r="N54" s="161" t="s">
        <v>91</v>
      </c>
      <c r="O54" s="161">
        <v>9</v>
      </c>
      <c r="P54" s="163">
        <v>9</v>
      </c>
      <c r="Q54" s="163"/>
      <c r="R54" s="162"/>
      <c r="S54" s="164">
        <f>TABLAINV[[#This Row],[Conteo Físico]]-TABLAINV[[#This Row],[Cant. UND]]</f>
        <v>0</v>
      </c>
      <c r="T5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4" s="165" t="str">
        <f>IFERROR(IF(MOD(TABLAINV[[#This Row],[C]],2)=0,"PAR","IMPAR"),"Zona")</f>
        <v>PAR</v>
      </c>
      <c r="W54" s="166"/>
      <c r="X54" s="167">
        <f>IFERROR(IF(TABLAINV[[#This Row],[Cant. UND]]=0,TABLAINV[[#This Row],[PMV]]*TABLAINV[[#This Row],[Conteo Físico]],TABLAINV[[#This Row],[PMV]]*TABLAINV[[#This Row],[Cant. UND]]),0)</f>
        <v>0</v>
      </c>
      <c r="Y54" s="167">
        <f>IFERROR(ABS(TABLAINV[[#This Row],[PMV]]*TABLAINV[[#This Row],[Diferencia]]),0)</f>
        <v>0</v>
      </c>
      <c r="Z54" s="168">
        <f>IFERROR(VLOOKUP(TABLAINV[[#This Row],[Codigo Estado]],unds!O:P,2,0),"PEND.")</f>
        <v>2001</v>
      </c>
      <c r="AA54" s="168" t="str">
        <f t="shared" si="4"/>
        <v>CD09</v>
      </c>
      <c r="AB54" s="169">
        <f t="shared" ca="1" si="5"/>
        <v>45827</v>
      </c>
      <c r="AC54" s="1"/>
      <c r="AD54" s="1"/>
      <c r="AE54" s="1"/>
      <c r="AF54" s="1"/>
    </row>
    <row r="55" spans="1:32" ht="15" customHeight="1" x14ac:dyDescent="0.2">
      <c r="A55" s="170" t="str">
        <f t="shared" si="3"/>
        <v>MRC01</v>
      </c>
      <c r="B55" s="160" t="str">
        <f>IF(TABLAINV[[#This Row],[Z]]="","",D55&amp;"."&amp;TEXT(E55,"000")&amp;"."&amp;TEXT(F55,"000")&amp;"."&amp;TEXT(G55,"000"))</f>
        <v>MR.C01.098.002</v>
      </c>
      <c r="C55" s="161"/>
      <c r="D55" s="162" t="s">
        <v>95</v>
      </c>
      <c r="E55" s="162" t="s">
        <v>96</v>
      </c>
      <c r="F55" s="162">
        <v>98</v>
      </c>
      <c r="G55" s="162">
        <v>2</v>
      </c>
      <c r="H55" s="162">
        <v>531943</v>
      </c>
      <c r="I55" s="162" t="s">
        <v>158</v>
      </c>
      <c r="J55" s="171">
        <v>12</v>
      </c>
      <c r="K55" s="162" t="s">
        <v>64</v>
      </c>
      <c r="L55" s="163" t="s">
        <v>115</v>
      </c>
      <c r="M55" s="162" t="s">
        <v>99</v>
      </c>
      <c r="N55" s="161" t="s">
        <v>91</v>
      </c>
      <c r="O55" s="161">
        <v>12</v>
      </c>
      <c r="P55" s="163">
        <v>12</v>
      </c>
      <c r="Q55" s="163"/>
      <c r="R55" s="162"/>
      <c r="S55" s="164">
        <f>TABLAINV[[#This Row],[Conteo Físico]]-TABLAINV[[#This Row],[Cant. UND]]</f>
        <v>0</v>
      </c>
      <c r="T5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5" s="165" t="str">
        <f>IFERROR(IF(MOD(TABLAINV[[#This Row],[C]],2)=0,"PAR","IMPAR"),"Zona")</f>
        <v>PAR</v>
      </c>
      <c r="W55" s="166"/>
      <c r="X55" s="167">
        <f>IFERROR(IF(TABLAINV[[#This Row],[Cant. UND]]=0,TABLAINV[[#This Row],[PMV]]*TABLAINV[[#This Row],[Conteo Físico]],TABLAINV[[#This Row],[PMV]]*TABLAINV[[#This Row],[Cant. UND]]),0)</f>
        <v>0</v>
      </c>
      <c r="Y55" s="167">
        <f>IFERROR(ABS(TABLAINV[[#This Row],[PMV]]*TABLAINV[[#This Row],[Diferencia]]),0)</f>
        <v>0</v>
      </c>
      <c r="Z55" s="168">
        <f>IFERROR(VLOOKUP(TABLAINV[[#This Row],[Codigo Estado]],unds!O:P,2,0),"PEND.")</f>
        <v>2001</v>
      </c>
      <c r="AA55" s="168" t="str">
        <f t="shared" si="4"/>
        <v>CD09</v>
      </c>
      <c r="AB55" s="169">
        <f t="shared" ca="1" si="5"/>
        <v>45827</v>
      </c>
      <c r="AC55" s="1"/>
      <c r="AD55" s="1"/>
      <c r="AE55" s="1"/>
      <c r="AF55" s="1"/>
    </row>
    <row r="56" spans="1:32" ht="15" customHeight="1" x14ac:dyDescent="0.2">
      <c r="A56" s="170" t="str">
        <f t="shared" si="3"/>
        <v>MRC01</v>
      </c>
      <c r="B56" s="160" t="str">
        <f>IF(TABLAINV[[#This Row],[Z]]="","",D56&amp;"."&amp;TEXT(E56,"000")&amp;"."&amp;TEXT(F56,"000")&amp;"."&amp;TEXT(G56,"000"))</f>
        <v>MR.C01.100.001</v>
      </c>
      <c r="C56" s="161"/>
      <c r="D56" s="162" t="s">
        <v>95</v>
      </c>
      <c r="E56" s="162" t="s">
        <v>96</v>
      </c>
      <c r="F56" s="162">
        <v>100</v>
      </c>
      <c r="G56" s="162">
        <v>1</v>
      </c>
      <c r="H56" s="162">
        <v>482548</v>
      </c>
      <c r="I56" s="162" t="s">
        <v>159</v>
      </c>
      <c r="J56" s="171">
        <v>3</v>
      </c>
      <c r="K56" s="162" t="s">
        <v>64</v>
      </c>
      <c r="L56" s="163" t="s">
        <v>115</v>
      </c>
      <c r="M56" s="162" t="s">
        <v>99</v>
      </c>
      <c r="N56" s="161" t="s">
        <v>91</v>
      </c>
      <c r="O56" s="161">
        <v>3</v>
      </c>
      <c r="P56" s="163">
        <v>3</v>
      </c>
      <c r="Q56" s="163"/>
      <c r="R56" s="162"/>
      <c r="S56" s="164">
        <f>TABLAINV[[#This Row],[Conteo Físico]]-TABLAINV[[#This Row],[Cant. UND]]</f>
        <v>0</v>
      </c>
      <c r="T5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6" s="165" t="str">
        <f>IFERROR(IF(MOD(TABLAINV[[#This Row],[C]],2)=0,"PAR","IMPAR"),"Zona")</f>
        <v>PAR</v>
      </c>
      <c r="W56" s="166"/>
      <c r="X56" s="167">
        <f>IFERROR(IF(TABLAINV[[#This Row],[Cant. UND]]=0,TABLAINV[[#This Row],[PMV]]*TABLAINV[[#This Row],[Conteo Físico]],TABLAINV[[#This Row],[PMV]]*TABLAINV[[#This Row],[Cant. UND]]),0)</f>
        <v>0</v>
      </c>
      <c r="Y56" s="167">
        <f>IFERROR(ABS(TABLAINV[[#This Row],[PMV]]*TABLAINV[[#This Row],[Diferencia]]),0)</f>
        <v>0</v>
      </c>
      <c r="Z56" s="168">
        <f>IFERROR(VLOOKUP(TABLAINV[[#This Row],[Codigo Estado]],unds!O:P,2,0),"PEND.")</f>
        <v>2001</v>
      </c>
      <c r="AA56" s="168" t="str">
        <f t="shared" si="4"/>
        <v>CD09</v>
      </c>
      <c r="AB56" s="169">
        <f t="shared" ca="1" si="5"/>
        <v>45827</v>
      </c>
      <c r="AC56" s="1"/>
      <c r="AD56" s="1"/>
      <c r="AE56" s="1"/>
      <c r="AF56" s="1"/>
    </row>
    <row r="57" spans="1:32" ht="15" customHeight="1" x14ac:dyDescent="0.2">
      <c r="A57" s="170" t="str">
        <f t="shared" si="3"/>
        <v>MRC01</v>
      </c>
      <c r="B57" s="160" t="str">
        <f>IF(TABLAINV[[#This Row],[Z]]="","",D57&amp;"."&amp;TEXT(E57,"000")&amp;"."&amp;TEXT(F57,"000")&amp;"."&amp;TEXT(G57,"000"))</f>
        <v>MR.C01.100.002</v>
      </c>
      <c r="C57" s="161"/>
      <c r="D57" s="162" t="s">
        <v>95</v>
      </c>
      <c r="E57" s="162" t="s">
        <v>96</v>
      </c>
      <c r="F57" s="162">
        <v>100</v>
      </c>
      <c r="G57" s="162">
        <v>2</v>
      </c>
      <c r="H57" s="162">
        <v>1021543</v>
      </c>
      <c r="I57" s="162" t="s">
        <v>160</v>
      </c>
      <c r="J57" s="171">
        <v>17</v>
      </c>
      <c r="K57" s="162" t="s">
        <v>64</v>
      </c>
      <c r="L57" s="163" t="s">
        <v>161</v>
      </c>
      <c r="M57" s="162" t="s">
        <v>99</v>
      </c>
      <c r="N57" s="161" t="s">
        <v>91</v>
      </c>
      <c r="O57" s="161">
        <v>17</v>
      </c>
      <c r="P57" s="163">
        <v>17</v>
      </c>
      <c r="Q57" s="163"/>
      <c r="R57" s="162"/>
      <c r="S57" s="164">
        <f>TABLAINV[[#This Row],[Conteo Físico]]-TABLAINV[[#This Row],[Cant. UND]]</f>
        <v>0</v>
      </c>
      <c r="T5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7" s="165" t="str">
        <f>IFERROR(IF(MOD(TABLAINV[[#This Row],[C]],2)=0,"PAR","IMPAR"),"Zona")</f>
        <v>PAR</v>
      </c>
      <c r="W57" s="166"/>
      <c r="X57" s="167">
        <f>IFERROR(IF(TABLAINV[[#This Row],[Cant. UND]]=0,TABLAINV[[#This Row],[PMV]]*TABLAINV[[#This Row],[Conteo Físico]],TABLAINV[[#This Row],[PMV]]*TABLAINV[[#This Row],[Cant. UND]]),0)</f>
        <v>0</v>
      </c>
      <c r="Y57" s="167">
        <f>IFERROR(ABS(TABLAINV[[#This Row],[PMV]]*TABLAINV[[#This Row],[Diferencia]]),0)</f>
        <v>0</v>
      </c>
      <c r="Z57" s="168">
        <f>IFERROR(VLOOKUP(TABLAINV[[#This Row],[Codigo Estado]],unds!O:P,2,0),"PEND.")</f>
        <v>2001</v>
      </c>
      <c r="AA57" s="168" t="str">
        <f t="shared" si="4"/>
        <v>CD09</v>
      </c>
      <c r="AB57" s="169">
        <f t="shared" ca="1" si="5"/>
        <v>45827</v>
      </c>
      <c r="AC57" s="1"/>
      <c r="AD57" s="1"/>
      <c r="AE57" s="1"/>
      <c r="AF57" s="1"/>
    </row>
    <row r="58" spans="1:32" ht="15" customHeight="1" x14ac:dyDescent="0.2">
      <c r="A58" s="170" t="str">
        <f t="shared" si="3"/>
        <v>MRC01</v>
      </c>
      <c r="B58" s="160" t="str">
        <f>IF(TABLAINV[[#This Row],[Z]]="","",D58&amp;"."&amp;TEXT(E58,"000")&amp;"."&amp;TEXT(F58,"000")&amp;"."&amp;TEXT(G58,"000"))</f>
        <v>MR.C01.101.002</v>
      </c>
      <c r="C58" s="161"/>
      <c r="D58" s="162" t="s">
        <v>95</v>
      </c>
      <c r="E58" s="162" t="s">
        <v>96</v>
      </c>
      <c r="F58" s="162">
        <v>101</v>
      </c>
      <c r="G58" s="162">
        <v>2</v>
      </c>
      <c r="H58" s="162">
        <v>1014462</v>
      </c>
      <c r="I58" s="162" t="s">
        <v>155</v>
      </c>
      <c r="J58" s="171">
        <v>3</v>
      </c>
      <c r="K58" s="162" t="s">
        <v>64</v>
      </c>
      <c r="L58" s="163" t="s">
        <v>115</v>
      </c>
      <c r="M58" s="162" t="s">
        <v>99</v>
      </c>
      <c r="N58" s="161" t="s">
        <v>91</v>
      </c>
      <c r="O58" s="161">
        <v>3</v>
      </c>
      <c r="P58" s="163">
        <v>3</v>
      </c>
      <c r="Q58" s="163"/>
      <c r="R58" s="162"/>
      <c r="S58" s="164">
        <f>TABLAINV[[#This Row],[Conteo Físico]]-TABLAINV[[#This Row],[Cant. UND]]</f>
        <v>0</v>
      </c>
      <c r="T5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8" s="165" t="str">
        <f>IFERROR(IF(MOD(TABLAINV[[#This Row],[C]],2)=0,"PAR","IMPAR"),"Zona")</f>
        <v>IMPAR</v>
      </c>
      <c r="W58" s="166"/>
      <c r="X58" s="167">
        <f>IFERROR(IF(TABLAINV[[#This Row],[Cant. UND]]=0,TABLAINV[[#This Row],[PMV]]*TABLAINV[[#This Row],[Conteo Físico]],TABLAINV[[#This Row],[PMV]]*TABLAINV[[#This Row],[Cant. UND]]),0)</f>
        <v>0</v>
      </c>
      <c r="Y58" s="167">
        <f>IFERROR(ABS(TABLAINV[[#This Row],[PMV]]*TABLAINV[[#This Row],[Diferencia]]),0)</f>
        <v>0</v>
      </c>
      <c r="Z58" s="168">
        <f>IFERROR(VLOOKUP(TABLAINV[[#This Row],[Codigo Estado]],unds!O:P,2,0),"PEND.")</f>
        <v>2001</v>
      </c>
      <c r="AA58" s="168" t="str">
        <f t="shared" si="4"/>
        <v>CD09</v>
      </c>
      <c r="AB58" s="169">
        <f t="shared" ca="1" si="5"/>
        <v>45827</v>
      </c>
      <c r="AC58" s="1"/>
      <c r="AD58" s="1"/>
      <c r="AE58" s="1"/>
      <c r="AF58" s="1"/>
    </row>
    <row r="59" spans="1:32" ht="15" customHeight="1" x14ac:dyDescent="0.2">
      <c r="A59" s="170" t="str">
        <f t="shared" si="3"/>
        <v>MRC01</v>
      </c>
      <c r="B59" s="160" t="str">
        <f>IF(TABLAINV[[#This Row],[Z]]="","",D59&amp;"."&amp;TEXT(E59,"000")&amp;"."&amp;TEXT(F59,"000")&amp;"."&amp;TEXT(G59,"000"))</f>
        <v>MR.C01.102.001</v>
      </c>
      <c r="C59" s="161"/>
      <c r="D59" s="162" t="s">
        <v>95</v>
      </c>
      <c r="E59" s="162" t="s">
        <v>96</v>
      </c>
      <c r="F59" s="162">
        <v>102</v>
      </c>
      <c r="G59" s="162">
        <v>1</v>
      </c>
      <c r="H59" s="162">
        <v>396035003</v>
      </c>
      <c r="I59" s="162" t="s">
        <v>132</v>
      </c>
      <c r="J59" s="171">
        <v>24</v>
      </c>
      <c r="K59" s="162" t="s">
        <v>64</v>
      </c>
      <c r="L59" s="163" t="s">
        <v>98</v>
      </c>
      <c r="M59" s="162" t="s">
        <v>99</v>
      </c>
      <c r="N59" s="161" t="s">
        <v>91</v>
      </c>
      <c r="O59" s="161">
        <v>24</v>
      </c>
      <c r="P59" s="163">
        <v>24</v>
      </c>
      <c r="Q59" s="163"/>
      <c r="R59" s="162"/>
      <c r="S59" s="164">
        <f>TABLAINV[[#This Row],[Conteo Físico]]-TABLAINV[[#This Row],[Cant. UND]]</f>
        <v>0</v>
      </c>
      <c r="T5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5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59" s="165" t="str">
        <f>IFERROR(IF(MOD(TABLAINV[[#This Row],[C]],2)=0,"PAR","IMPAR"),"Zona")</f>
        <v>PAR</v>
      </c>
      <c r="W59" s="166"/>
      <c r="X59" s="167">
        <f>IFERROR(IF(TABLAINV[[#This Row],[Cant. UND]]=0,TABLAINV[[#This Row],[PMV]]*TABLAINV[[#This Row],[Conteo Físico]],TABLAINV[[#This Row],[PMV]]*TABLAINV[[#This Row],[Cant. UND]]),0)</f>
        <v>0</v>
      </c>
      <c r="Y59" s="167">
        <f>IFERROR(ABS(TABLAINV[[#This Row],[PMV]]*TABLAINV[[#This Row],[Diferencia]]),0)</f>
        <v>0</v>
      </c>
      <c r="Z59" s="168">
        <f>IFERROR(VLOOKUP(TABLAINV[[#This Row],[Codigo Estado]],unds!O:P,2,0),"PEND.")</f>
        <v>2001</v>
      </c>
      <c r="AA59" s="168" t="str">
        <f t="shared" si="4"/>
        <v>CD09</v>
      </c>
      <c r="AB59" s="169">
        <f t="shared" ca="1" si="5"/>
        <v>45827</v>
      </c>
      <c r="AC59" s="1"/>
      <c r="AD59" s="1"/>
      <c r="AE59" s="1"/>
      <c r="AF59" s="1"/>
    </row>
    <row r="60" spans="1:32" ht="15" customHeight="1" x14ac:dyDescent="0.2">
      <c r="A60" s="170" t="str">
        <f t="shared" si="3"/>
        <v>MRC01</v>
      </c>
      <c r="B60" s="160" t="str">
        <f>IF(TABLAINV[[#This Row],[Z]]="","",D60&amp;"."&amp;TEXT(E60,"000")&amp;"."&amp;TEXT(F60,"000")&amp;"."&amp;TEXT(G60,"000"))</f>
        <v>MR.C01.102.002</v>
      </c>
      <c r="C60" s="161"/>
      <c r="D60" s="162" t="s">
        <v>95</v>
      </c>
      <c r="E60" s="162" t="s">
        <v>96</v>
      </c>
      <c r="F60" s="162">
        <v>102</v>
      </c>
      <c r="G60" s="162">
        <v>2</v>
      </c>
      <c r="H60" s="162">
        <v>353468</v>
      </c>
      <c r="I60" s="162" t="s">
        <v>162</v>
      </c>
      <c r="J60" s="171">
        <v>12</v>
      </c>
      <c r="K60" s="162" t="s">
        <v>64</v>
      </c>
      <c r="L60" s="163" t="s">
        <v>115</v>
      </c>
      <c r="M60" s="162" t="s">
        <v>99</v>
      </c>
      <c r="N60" s="161" t="s">
        <v>91</v>
      </c>
      <c r="O60" s="161">
        <v>12</v>
      </c>
      <c r="P60" s="163">
        <v>12</v>
      </c>
      <c r="Q60" s="163"/>
      <c r="R60" s="162"/>
      <c r="S60" s="164">
        <f>TABLAINV[[#This Row],[Conteo Físico]]-TABLAINV[[#This Row],[Cant. UND]]</f>
        <v>0</v>
      </c>
      <c r="T6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0" s="165" t="str">
        <f>IFERROR(IF(MOD(TABLAINV[[#This Row],[C]],2)=0,"PAR","IMPAR"),"Zona")</f>
        <v>PAR</v>
      </c>
      <c r="W60" s="166"/>
      <c r="X60" s="167">
        <f>IFERROR(IF(TABLAINV[[#This Row],[Cant. UND]]=0,TABLAINV[[#This Row],[PMV]]*TABLAINV[[#This Row],[Conteo Físico]],TABLAINV[[#This Row],[PMV]]*TABLAINV[[#This Row],[Cant. UND]]),0)</f>
        <v>0</v>
      </c>
      <c r="Y60" s="167">
        <f>IFERROR(ABS(TABLAINV[[#This Row],[PMV]]*TABLAINV[[#This Row],[Diferencia]]),0)</f>
        <v>0</v>
      </c>
      <c r="Z60" s="168">
        <f>IFERROR(VLOOKUP(TABLAINV[[#This Row],[Codigo Estado]],unds!O:P,2,0),"PEND.")</f>
        <v>2001</v>
      </c>
      <c r="AA60" s="168" t="str">
        <f t="shared" si="4"/>
        <v>CD09</v>
      </c>
      <c r="AB60" s="169">
        <f t="shared" ca="1" si="5"/>
        <v>45827</v>
      </c>
      <c r="AC60" s="1"/>
      <c r="AD60" s="1"/>
      <c r="AE60" s="1"/>
      <c r="AF60" s="1"/>
    </row>
    <row r="61" spans="1:32" ht="15" customHeight="1" x14ac:dyDescent="0.2">
      <c r="A61" s="170" t="str">
        <f t="shared" si="3"/>
        <v>MRC01</v>
      </c>
      <c r="B61" s="160" t="str">
        <f>IF(TABLAINV[[#This Row],[Z]]="","",D61&amp;"."&amp;TEXT(E61,"000")&amp;"."&amp;TEXT(F61,"000")&amp;"."&amp;TEXT(G61,"000"))</f>
        <v>MR.C01.104.002</v>
      </c>
      <c r="C61" s="161"/>
      <c r="D61" s="162" t="s">
        <v>95</v>
      </c>
      <c r="E61" s="162" t="s">
        <v>96</v>
      </c>
      <c r="F61" s="162">
        <v>104</v>
      </c>
      <c r="G61" s="162">
        <v>2</v>
      </c>
      <c r="H61" s="162">
        <v>1016137</v>
      </c>
      <c r="I61" s="162" t="s">
        <v>148</v>
      </c>
      <c r="J61" s="171">
        <v>9</v>
      </c>
      <c r="K61" s="162" t="s">
        <v>64</v>
      </c>
      <c r="L61" s="163" t="s">
        <v>98</v>
      </c>
      <c r="M61" s="162" t="s">
        <v>99</v>
      </c>
      <c r="N61" s="161" t="s">
        <v>91</v>
      </c>
      <c r="O61" s="161">
        <v>9</v>
      </c>
      <c r="P61" s="163">
        <v>9</v>
      </c>
      <c r="Q61" s="163"/>
      <c r="R61" s="162"/>
      <c r="S61" s="164">
        <f>TABLAINV[[#This Row],[Conteo Físico]]-TABLAINV[[#This Row],[Cant. UND]]</f>
        <v>0</v>
      </c>
      <c r="T6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1" s="165" t="str">
        <f>IFERROR(IF(MOD(TABLAINV[[#This Row],[C]],2)=0,"PAR","IMPAR"),"Zona")</f>
        <v>PAR</v>
      </c>
      <c r="W61" s="166"/>
      <c r="X61" s="167">
        <f>IFERROR(IF(TABLAINV[[#This Row],[Cant. UND]]=0,TABLAINV[[#This Row],[PMV]]*TABLAINV[[#This Row],[Conteo Físico]],TABLAINV[[#This Row],[PMV]]*TABLAINV[[#This Row],[Cant. UND]]),0)</f>
        <v>0</v>
      </c>
      <c r="Y61" s="167">
        <f>IFERROR(ABS(TABLAINV[[#This Row],[PMV]]*TABLAINV[[#This Row],[Diferencia]]),0)</f>
        <v>0</v>
      </c>
      <c r="Z61" s="168">
        <f>IFERROR(VLOOKUP(TABLAINV[[#This Row],[Codigo Estado]],unds!O:P,2,0),"PEND.")</f>
        <v>2001</v>
      </c>
      <c r="AA61" s="168" t="str">
        <f t="shared" si="4"/>
        <v>CD09</v>
      </c>
      <c r="AB61" s="169">
        <f t="shared" ca="1" si="5"/>
        <v>45827</v>
      </c>
      <c r="AC61" s="1"/>
      <c r="AD61" s="1"/>
      <c r="AE61" s="1"/>
      <c r="AF61" s="1"/>
    </row>
    <row r="62" spans="1:32" ht="15" customHeight="1" x14ac:dyDescent="0.2">
      <c r="A62" s="170" t="str">
        <f t="shared" si="3"/>
        <v>MRC01</v>
      </c>
      <c r="B62" s="160" t="str">
        <f>IF(TABLAINV[[#This Row],[Z]]="","",D62&amp;"."&amp;TEXT(E62,"000")&amp;"."&amp;TEXT(F62,"000")&amp;"."&amp;TEXT(G62,"000"))</f>
        <v>MR.C01.105.001</v>
      </c>
      <c r="C62" s="161"/>
      <c r="D62" s="162" t="s">
        <v>95</v>
      </c>
      <c r="E62" s="162" t="s">
        <v>96</v>
      </c>
      <c r="F62" s="162">
        <v>105</v>
      </c>
      <c r="G62" s="162">
        <v>1</v>
      </c>
      <c r="H62" s="162">
        <v>558895</v>
      </c>
      <c r="I62" s="162" t="s">
        <v>163</v>
      </c>
      <c r="J62" s="171">
        <v>12</v>
      </c>
      <c r="K62" s="162" t="s">
        <v>64</v>
      </c>
      <c r="L62" s="163" t="s">
        <v>164</v>
      </c>
      <c r="M62" s="162" t="s">
        <v>99</v>
      </c>
      <c r="N62" s="161" t="s">
        <v>91</v>
      </c>
      <c r="O62" s="161">
        <v>12</v>
      </c>
      <c r="P62" s="163">
        <v>12</v>
      </c>
      <c r="Q62" s="163"/>
      <c r="R62" s="162"/>
      <c r="S62" s="164">
        <f>TABLAINV[[#This Row],[Conteo Físico]]-TABLAINV[[#This Row],[Cant. UND]]</f>
        <v>0</v>
      </c>
      <c r="T6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2" s="165" t="str">
        <f>IFERROR(IF(MOD(TABLAINV[[#This Row],[C]],2)=0,"PAR","IMPAR"),"Zona")</f>
        <v>IMPAR</v>
      </c>
      <c r="W62" s="166"/>
      <c r="X62" s="167">
        <f>IFERROR(IF(TABLAINV[[#This Row],[Cant. UND]]=0,TABLAINV[[#This Row],[PMV]]*TABLAINV[[#This Row],[Conteo Físico]],TABLAINV[[#This Row],[PMV]]*TABLAINV[[#This Row],[Cant. UND]]),0)</f>
        <v>0</v>
      </c>
      <c r="Y62" s="167">
        <f>IFERROR(ABS(TABLAINV[[#This Row],[PMV]]*TABLAINV[[#This Row],[Diferencia]]),0)</f>
        <v>0</v>
      </c>
      <c r="Z62" s="168">
        <f>IFERROR(VLOOKUP(TABLAINV[[#This Row],[Codigo Estado]],unds!O:P,2,0),"PEND.")</f>
        <v>2001</v>
      </c>
      <c r="AA62" s="168" t="str">
        <f t="shared" si="4"/>
        <v>CD09</v>
      </c>
      <c r="AB62" s="169">
        <f t="shared" ca="1" si="5"/>
        <v>45827</v>
      </c>
      <c r="AC62" s="1"/>
      <c r="AD62" s="1"/>
      <c r="AE62" s="1"/>
      <c r="AF62" s="1"/>
    </row>
    <row r="63" spans="1:32" ht="15" customHeight="1" x14ac:dyDescent="0.2">
      <c r="A63" s="170" t="str">
        <f t="shared" si="3"/>
        <v>MRC01</v>
      </c>
      <c r="B63" s="160" t="str">
        <f>IF(TABLAINV[[#This Row],[Z]]="","",D63&amp;"."&amp;TEXT(E63,"000")&amp;"."&amp;TEXT(F63,"000")&amp;"."&amp;TEXT(G63,"000"))</f>
        <v>MR.C01.105.002</v>
      </c>
      <c r="C63" s="161"/>
      <c r="D63" s="162" t="s">
        <v>95</v>
      </c>
      <c r="E63" s="162" t="s">
        <v>96</v>
      </c>
      <c r="F63" s="162">
        <v>105</v>
      </c>
      <c r="G63" s="162">
        <v>2</v>
      </c>
      <c r="H63" s="162">
        <v>317947</v>
      </c>
      <c r="I63" s="162" t="s">
        <v>114</v>
      </c>
      <c r="J63" s="171">
        <v>8</v>
      </c>
      <c r="K63" s="162" t="s">
        <v>64</v>
      </c>
      <c r="L63" s="163" t="s">
        <v>115</v>
      </c>
      <c r="M63" s="162" t="s">
        <v>99</v>
      </c>
      <c r="N63" s="161" t="s">
        <v>91</v>
      </c>
      <c r="O63" s="161">
        <v>8</v>
      </c>
      <c r="P63" s="163">
        <v>8</v>
      </c>
      <c r="Q63" s="163"/>
      <c r="R63" s="162"/>
      <c r="S63" s="164">
        <f>TABLAINV[[#This Row],[Conteo Físico]]-TABLAINV[[#This Row],[Cant. UND]]</f>
        <v>0</v>
      </c>
      <c r="T6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3" s="165" t="str">
        <f>IFERROR(IF(MOD(TABLAINV[[#This Row],[C]],2)=0,"PAR","IMPAR"),"Zona")</f>
        <v>IMPAR</v>
      </c>
      <c r="W63" s="166"/>
      <c r="X63" s="167">
        <f>IFERROR(IF(TABLAINV[[#This Row],[Cant. UND]]=0,TABLAINV[[#This Row],[PMV]]*TABLAINV[[#This Row],[Conteo Físico]],TABLAINV[[#This Row],[PMV]]*TABLAINV[[#This Row],[Cant. UND]]),0)</f>
        <v>0</v>
      </c>
      <c r="Y63" s="167">
        <f>IFERROR(ABS(TABLAINV[[#This Row],[PMV]]*TABLAINV[[#This Row],[Diferencia]]),0)</f>
        <v>0</v>
      </c>
      <c r="Z63" s="168">
        <f>IFERROR(VLOOKUP(TABLAINV[[#This Row],[Codigo Estado]],unds!O:P,2,0),"PEND.")</f>
        <v>2001</v>
      </c>
      <c r="AA63" s="168" t="str">
        <f t="shared" si="4"/>
        <v>CD09</v>
      </c>
      <c r="AB63" s="169">
        <f t="shared" ca="1" si="5"/>
        <v>45827</v>
      </c>
      <c r="AC63" s="1"/>
      <c r="AD63" s="1"/>
      <c r="AE63" s="1"/>
      <c r="AF63" s="1"/>
    </row>
    <row r="64" spans="1:32" ht="15" customHeight="1" x14ac:dyDescent="0.2">
      <c r="A64" s="170" t="str">
        <f t="shared" si="3"/>
        <v>MRC01</v>
      </c>
      <c r="B64" s="160" t="str">
        <f>IF(TABLAINV[[#This Row],[Z]]="","",D64&amp;"."&amp;TEXT(E64,"000")&amp;"."&amp;TEXT(F64,"000")&amp;"."&amp;TEXT(G64,"000"))</f>
        <v>MR.C01.106.002</v>
      </c>
      <c r="C64" s="161"/>
      <c r="D64" s="162" t="s">
        <v>95</v>
      </c>
      <c r="E64" s="162" t="s">
        <v>96</v>
      </c>
      <c r="F64" s="162">
        <v>106</v>
      </c>
      <c r="G64" s="162">
        <v>2</v>
      </c>
      <c r="H64" s="162">
        <v>477426003</v>
      </c>
      <c r="I64" s="162" t="s">
        <v>165</v>
      </c>
      <c r="J64" s="171">
        <v>3</v>
      </c>
      <c r="K64" s="162" t="s">
        <v>64</v>
      </c>
      <c r="L64" s="163" t="s">
        <v>115</v>
      </c>
      <c r="M64" s="162" t="s">
        <v>99</v>
      </c>
      <c r="N64" s="161" t="s">
        <v>91</v>
      </c>
      <c r="O64" s="161">
        <v>3</v>
      </c>
      <c r="P64" s="163">
        <v>3</v>
      </c>
      <c r="Q64" s="163"/>
      <c r="R64" s="162"/>
      <c r="S64" s="164">
        <f>TABLAINV[[#This Row],[Conteo Físico]]-TABLAINV[[#This Row],[Cant. UND]]</f>
        <v>0</v>
      </c>
      <c r="T6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4" s="165" t="str">
        <f>IFERROR(IF(MOD(TABLAINV[[#This Row],[C]],2)=0,"PAR","IMPAR"),"Zona")</f>
        <v>PAR</v>
      </c>
      <c r="W64" s="166"/>
      <c r="X64" s="167">
        <f>IFERROR(IF(TABLAINV[[#This Row],[Cant. UND]]=0,TABLAINV[[#This Row],[PMV]]*TABLAINV[[#This Row],[Conteo Físico]],TABLAINV[[#This Row],[PMV]]*TABLAINV[[#This Row],[Cant. UND]]),0)</f>
        <v>0</v>
      </c>
      <c r="Y64" s="167">
        <f>IFERROR(ABS(TABLAINV[[#This Row],[PMV]]*TABLAINV[[#This Row],[Diferencia]]),0)</f>
        <v>0</v>
      </c>
      <c r="Z64" s="168">
        <f>IFERROR(VLOOKUP(TABLAINV[[#This Row],[Codigo Estado]],unds!O:P,2,0),"PEND.")</f>
        <v>2001</v>
      </c>
      <c r="AA64" s="168" t="str">
        <f t="shared" si="4"/>
        <v>CD09</v>
      </c>
      <c r="AB64" s="169">
        <f t="shared" ca="1" si="5"/>
        <v>45827</v>
      </c>
      <c r="AC64" s="1"/>
      <c r="AD64" s="1"/>
      <c r="AE64" s="1"/>
      <c r="AF64" s="1"/>
    </row>
    <row r="65" spans="1:32" ht="15" customHeight="1" x14ac:dyDescent="0.2">
      <c r="A65" s="170" t="str">
        <f t="shared" si="3"/>
        <v>MRC01</v>
      </c>
      <c r="B65" s="160" t="str">
        <f>IF(TABLAINV[[#This Row],[Z]]="","",D65&amp;"."&amp;TEXT(E65,"000")&amp;"."&amp;TEXT(F65,"000")&amp;"."&amp;TEXT(G65,"000"))</f>
        <v>MR.C01.108.001</v>
      </c>
      <c r="C65" s="161"/>
      <c r="D65" s="162" t="s">
        <v>95</v>
      </c>
      <c r="E65" s="162" t="s">
        <v>96</v>
      </c>
      <c r="F65" s="162">
        <v>108</v>
      </c>
      <c r="G65" s="162">
        <v>1</v>
      </c>
      <c r="H65" s="162">
        <v>70841003</v>
      </c>
      <c r="I65" s="162" t="s">
        <v>166</v>
      </c>
      <c r="J65" s="171">
        <v>12</v>
      </c>
      <c r="K65" s="162" t="s">
        <v>64</v>
      </c>
      <c r="L65" s="163" t="s">
        <v>115</v>
      </c>
      <c r="M65" s="162" t="s">
        <v>99</v>
      </c>
      <c r="N65" s="161" t="s">
        <v>91</v>
      </c>
      <c r="O65" s="161">
        <v>12</v>
      </c>
      <c r="P65" s="163">
        <v>12</v>
      </c>
      <c r="Q65" s="163"/>
      <c r="R65" s="162"/>
      <c r="S65" s="164">
        <f>TABLAINV[[#This Row],[Conteo Físico]]-TABLAINV[[#This Row],[Cant. UND]]</f>
        <v>0</v>
      </c>
      <c r="T6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5" s="165" t="str">
        <f>IFERROR(IF(MOD(TABLAINV[[#This Row],[C]],2)=0,"PAR","IMPAR"),"Zona")</f>
        <v>PAR</v>
      </c>
      <c r="W65" s="166"/>
      <c r="X65" s="167">
        <f>IFERROR(IF(TABLAINV[[#This Row],[Cant. UND]]=0,TABLAINV[[#This Row],[PMV]]*TABLAINV[[#This Row],[Conteo Físico]],TABLAINV[[#This Row],[PMV]]*TABLAINV[[#This Row],[Cant. UND]]),0)</f>
        <v>0</v>
      </c>
      <c r="Y65" s="167">
        <f>IFERROR(ABS(TABLAINV[[#This Row],[PMV]]*TABLAINV[[#This Row],[Diferencia]]),0)</f>
        <v>0</v>
      </c>
      <c r="Z65" s="168">
        <f>IFERROR(VLOOKUP(TABLAINV[[#This Row],[Codigo Estado]],unds!O:P,2,0),"PEND.")</f>
        <v>2001</v>
      </c>
      <c r="AA65" s="168" t="str">
        <f t="shared" si="4"/>
        <v>CD09</v>
      </c>
      <c r="AB65" s="169">
        <f t="shared" ca="1" si="5"/>
        <v>45827</v>
      </c>
      <c r="AC65" s="1"/>
      <c r="AD65" s="1"/>
      <c r="AE65" s="1"/>
      <c r="AF65" s="1"/>
    </row>
    <row r="66" spans="1:32" ht="15" customHeight="1" x14ac:dyDescent="0.2">
      <c r="A66" s="170" t="str">
        <f t="shared" si="3"/>
        <v>MRC01</v>
      </c>
      <c r="B66" s="160" t="str">
        <f>IF(TABLAINV[[#This Row],[Z]]="","",D66&amp;"."&amp;TEXT(E66,"000")&amp;"."&amp;TEXT(F66,"000")&amp;"."&amp;TEXT(G66,"000"))</f>
        <v>MR.C01.108.001</v>
      </c>
      <c r="C66" s="161"/>
      <c r="D66" s="162" t="s">
        <v>95</v>
      </c>
      <c r="E66" s="162" t="s">
        <v>96</v>
      </c>
      <c r="F66" s="162">
        <v>108</v>
      </c>
      <c r="G66" s="162">
        <v>1</v>
      </c>
      <c r="H66" s="162">
        <v>892485</v>
      </c>
      <c r="I66" s="162" t="s">
        <v>167</v>
      </c>
      <c r="J66" s="171">
        <v>12</v>
      </c>
      <c r="K66" s="162" t="s">
        <v>64</v>
      </c>
      <c r="L66" s="163" t="s">
        <v>115</v>
      </c>
      <c r="M66" s="162" t="s">
        <v>99</v>
      </c>
      <c r="N66" s="161" t="s">
        <v>91</v>
      </c>
      <c r="O66" s="161">
        <v>12</v>
      </c>
      <c r="P66" s="163">
        <v>12</v>
      </c>
      <c r="Q66" s="163"/>
      <c r="R66" s="162"/>
      <c r="S66" s="164">
        <f>TABLAINV[[#This Row],[Conteo Físico]]-TABLAINV[[#This Row],[Cant. UND]]</f>
        <v>0</v>
      </c>
      <c r="T6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6" s="165" t="str">
        <f>IFERROR(IF(MOD(TABLAINV[[#This Row],[C]],2)=0,"PAR","IMPAR"),"Zona")</f>
        <v>PAR</v>
      </c>
      <c r="W66" s="166"/>
      <c r="X66" s="167">
        <f>IFERROR(IF(TABLAINV[[#This Row],[Cant. UND]]=0,TABLAINV[[#This Row],[PMV]]*TABLAINV[[#This Row],[Conteo Físico]],TABLAINV[[#This Row],[PMV]]*TABLAINV[[#This Row],[Cant. UND]]),0)</f>
        <v>0</v>
      </c>
      <c r="Y66" s="167">
        <f>IFERROR(ABS(TABLAINV[[#This Row],[PMV]]*TABLAINV[[#This Row],[Diferencia]]),0)</f>
        <v>0</v>
      </c>
      <c r="Z66" s="168">
        <f>IFERROR(VLOOKUP(TABLAINV[[#This Row],[Codigo Estado]],unds!O:P,2,0),"PEND.")</f>
        <v>2001</v>
      </c>
      <c r="AA66" s="168" t="str">
        <f t="shared" si="4"/>
        <v>CD09</v>
      </c>
      <c r="AB66" s="169">
        <f t="shared" ca="1" si="5"/>
        <v>45827</v>
      </c>
      <c r="AC66" s="1"/>
      <c r="AD66" s="1"/>
      <c r="AE66" s="1"/>
      <c r="AF66" s="1"/>
    </row>
    <row r="67" spans="1:32" ht="15" customHeight="1" x14ac:dyDescent="0.2">
      <c r="A67" s="170" t="str">
        <f t="shared" si="3"/>
        <v>MRC01</v>
      </c>
      <c r="B67" s="160" t="str">
        <f>IF(TABLAINV[[#This Row],[Z]]="","",D67&amp;"."&amp;TEXT(E67,"000")&amp;"."&amp;TEXT(F67,"000")&amp;"."&amp;TEXT(G67,"000"))</f>
        <v>MR.C01.108.002</v>
      </c>
      <c r="C67" s="161"/>
      <c r="D67" s="162" t="s">
        <v>95</v>
      </c>
      <c r="E67" s="162" t="s">
        <v>96</v>
      </c>
      <c r="F67" s="162">
        <v>108</v>
      </c>
      <c r="G67" s="162">
        <v>2</v>
      </c>
      <c r="H67" s="162">
        <v>1016133</v>
      </c>
      <c r="I67" s="162" t="s">
        <v>168</v>
      </c>
      <c r="J67" s="171">
        <v>10</v>
      </c>
      <c r="K67" s="162" t="s">
        <v>64</v>
      </c>
      <c r="L67" s="163" t="s">
        <v>98</v>
      </c>
      <c r="M67" s="162" t="s">
        <v>99</v>
      </c>
      <c r="N67" s="161" t="s">
        <v>91</v>
      </c>
      <c r="O67" s="161">
        <v>10</v>
      </c>
      <c r="P67" s="163">
        <v>10</v>
      </c>
      <c r="Q67" s="163"/>
      <c r="R67" s="162"/>
      <c r="S67" s="164">
        <f>TABLAINV[[#This Row],[Conteo Físico]]-TABLAINV[[#This Row],[Cant. UND]]</f>
        <v>0</v>
      </c>
      <c r="T6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7" s="165" t="str">
        <f>IFERROR(IF(MOD(TABLAINV[[#This Row],[C]],2)=0,"PAR","IMPAR"),"Zona")</f>
        <v>PAR</v>
      </c>
      <c r="W67" s="166"/>
      <c r="X67" s="167">
        <f>IFERROR(IF(TABLAINV[[#This Row],[Cant. UND]]=0,TABLAINV[[#This Row],[PMV]]*TABLAINV[[#This Row],[Conteo Físico]],TABLAINV[[#This Row],[PMV]]*TABLAINV[[#This Row],[Cant. UND]]),0)</f>
        <v>0</v>
      </c>
      <c r="Y67" s="167">
        <f>IFERROR(ABS(TABLAINV[[#This Row],[PMV]]*TABLAINV[[#This Row],[Diferencia]]),0)</f>
        <v>0</v>
      </c>
      <c r="Z67" s="168">
        <f>IFERROR(VLOOKUP(TABLAINV[[#This Row],[Codigo Estado]],unds!O:P,2,0),"PEND.")</f>
        <v>2001</v>
      </c>
      <c r="AA67" s="168" t="str">
        <f t="shared" si="4"/>
        <v>CD09</v>
      </c>
      <c r="AB67" s="169">
        <f t="shared" ca="1" si="5"/>
        <v>45827</v>
      </c>
      <c r="AC67" s="1"/>
      <c r="AD67" s="1"/>
      <c r="AE67" s="1"/>
      <c r="AF67" s="1"/>
    </row>
    <row r="68" spans="1:32" ht="15" customHeight="1" x14ac:dyDescent="0.2">
      <c r="A68" s="170" t="str">
        <f t="shared" si="3"/>
        <v>MRC01</v>
      </c>
      <c r="B68" s="160" t="str">
        <f>IF(TABLAINV[[#This Row],[Z]]="","",D68&amp;"."&amp;TEXT(E68,"000")&amp;"."&amp;TEXT(F68,"000")&amp;"."&amp;TEXT(G68,"000"))</f>
        <v>MR.C01.109.001</v>
      </c>
      <c r="C68" s="161"/>
      <c r="D68" s="162" t="s">
        <v>95</v>
      </c>
      <c r="E68" s="162" t="s">
        <v>96</v>
      </c>
      <c r="F68" s="162">
        <v>109</v>
      </c>
      <c r="G68" s="162">
        <v>1</v>
      </c>
      <c r="H68" s="162">
        <v>568242</v>
      </c>
      <c r="I68" s="162" t="s">
        <v>169</v>
      </c>
      <c r="J68" s="171">
        <v>12</v>
      </c>
      <c r="K68" s="162" t="s">
        <v>64</v>
      </c>
      <c r="L68" s="163" t="s">
        <v>115</v>
      </c>
      <c r="M68" s="162" t="s">
        <v>99</v>
      </c>
      <c r="N68" s="161" t="s">
        <v>91</v>
      </c>
      <c r="O68" s="161">
        <v>12</v>
      </c>
      <c r="P68" s="163">
        <v>12</v>
      </c>
      <c r="Q68" s="163"/>
      <c r="R68" s="162"/>
      <c r="S68" s="164">
        <f>TABLAINV[[#This Row],[Conteo Físico]]-TABLAINV[[#This Row],[Cant. UND]]</f>
        <v>0</v>
      </c>
      <c r="T6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8" s="165" t="str">
        <f>IFERROR(IF(MOD(TABLAINV[[#This Row],[C]],2)=0,"PAR","IMPAR"),"Zona")</f>
        <v>IMPAR</v>
      </c>
      <c r="W68" s="166"/>
      <c r="X68" s="167">
        <f>IFERROR(IF(TABLAINV[[#This Row],[Cant. UND]]=0,TABLAINV[[#This Row],[PMV]]*TABLAINV[[#This Row],[Conteo Físico]],TABLAINV[[#This Row],[PMV]]*TABLAINV[[#This Row],[Cant. UND]]),0)</f>
        <v>0</v>
      </c>
      <c r="Y68" s="167">
        <f>IFERROR(ABS(TABLAINV[[#This Row],[PMV]]*TABLAINV[[#This Row],[Diferencia]]),0)</f>
        <v>0</v>
      </c>
      <c r="Z68" s="168">
        <f>IFERROR(VLOOKUP(TABLAINV[[#This Row],[Codigo Estado]],unds!O:P,2,0),"PEND.")</f>
        <v>2001</v>
      </c>
      <c r="AA68" s="168" t="str">
        <f t="shared" si="4"/>
        <v>CD09</v>
      </c>
      <c r="AB68" s="169">
        <f t="shared" ca="1" si="5"/>
        <v>45827</v>
      </c>
      <c r="AC68" s="1"/>
      <c r="AD68" s="1"/>
      <c r="AE68" s="1"/>
      <c r="AF68" s="1"/>
    </row>
    <row r="69" spans="1:32" ht="15" customHeight="1" x14ac:dyDescent="0.2">
      <c r="A69" s="170" t="str">
        <f t="shared" si="3"/>
        <v>MRC01</v>
      </c>
      <c r="B69" s="160" t="str">
        <f>IF(TABLAINV[[#This Row],[Z]]="","",D69&amp;"."&amp;TEXT(E69,"000")&amp;"."&amp;TEXT(F69,"000")&amp;"."&amp;TEXT(G69,"000"))</f>
        <v>MR.C01.109.002</v>
      </c>
      <c r="C69" s="161"/>
      <c r="D69" s="162" t="s">
        <v>95</v>
      </c>
      <c r="E69" s="162" t="s">
        <v>96</v>
      </c>
      <c r="F69" s="162">
        <v>109</v>
      </c>
      <c r="G69" s="162">
        <v>2</v>
      </c>
      <c r="H69" s="162">
        <v>4227</v>
      </c>
      <c r="I69" s="162" t="s">
        <v>170</v>
      </c>
      <c r="J69" s="171">
        <v>9</v>
      </c>
      <c r="K69" s="162" t="s">
        <v>64</v>
      </c>
      <c r="L69" s="163" t="s">
        <v>115</v>
      </c>
      <c r="M69" s="162" t="s">
        <v>99</v>
      </c>
      <c r="N69" s="161" t="s">
        <v>91</v>
      </c>
      <c r="O69" s="161">
        <v>9</v>
      </c>
      <c r="P69" s="163">
        <v>9</v>
      </c>
      <c r="Q69" s="163"/>
      <c r="R69" s="162"/>
      <c r="S69" s="164">
        <f>TABLAINV[[#This Row],[Conteo Físico]]-TABLAINV[[#This Row],[Cant. UND]]</f>
        <v>0</v>
      </c>
      <c r="T6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6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69" s="165" t="str">
        <f>IFERROR(IF(MOD(TABLAINV[[#This Row],[C]],2)=0,"PAR","IMPAR"),"Zona")</f>
        <v>IMPAR</v>
      </c>
      <c r="W69" s="166"/>
      <c r="X69" s="167">
        <f>IFERROR(IF(TABLAINV[[#This Row],[Cant. UND]]=0,TABLAINV[[#This Row],[PMV]]*TABLAINV[[#This Row],[Conteo Físico]],TABLAINV[[#This Row],[PMV]]*TABLAINV[[#This Row],[Cant. UND]]),0)</f>
        <v>0</v>
      </c>
      <c r="Y69" s="167">
        <f>IFERROR(ABS(TABLAINV[[#This Row],[PMV]]*TABLAINV[[#This Row],[Diferencia]]),0)</f>
        <v>0</v>
      </c>
      <c r="Z69" s="168">
        <f>IFERROR(VLOOKUP(TABLAINV[[#This Row],[Codigo Estado]],unds!O:P,2,0),"PEND.")</f>
        <v>2001</v>
      </c>
      <c r="AA69" s="168" t="str">
        <f t="shared" si="4"/>
        <v>CD09</v>
      </c>
      <c r="AB69" s="169">
        <f t="shared" ca="1" si="5"/>
        <v>45827</v>
      </c>
      <c r="AC69" s="1"/>
      <c r="AD69" s="1"/>
      <c r="AE69" s="1"/>
      <c r="AF69" s="1"/>
    </row>
    <row r="70" spans="1:32" ht="15" customHeight="1" x14ac:dyDescent="0.2">
      <c r="A70" s="170" t="str">
        <f t="shared" si="3"/>
        <v>MRC01</v>
      </c>
      <c r="B70" s="160" t="str">
        <f>IF(TABLAINV[[#This Row],[Z]]="","",D70&amp;"."&amp;TEXT(E70,"000")&amp;"."&amp;TEXT(F70,"000")&amp;"."&amp;TEXT(G70,"000"))</f>
        <v>MR.C01.109.002</v>
      </c>
      <c r="C70" s="161"/>
      <c r="D70" s="162" t="s">
        <v>95</v>
      </c>
      <c r="E70" s="162" t="s">
        <v>96</v>
      </c>
      <c r="F70" s="162">
        <v>109</v>
      </c>
      <c r="G70" s="162">
        <v>2</v>
      </c>
      <c r="H70" s="162">
        <v>518476003</v>
      </c>
      <c r="I70" s="162" t="s">
        <v>171</v>
      </c>
      <c r="J70" s="171">
        <v>3</v>
      </c>
      <c r="K70" s="162" t="s">
        <v>64</v>
      </c>
      <c r="L70" s="163" t="s">
        <v>115</v>
      </c>
      <c r="M70" s="162" t="s">
        <v>99</v>
      </c>
      <c r="N70" s="161" t="s">
        <v>91</v>
      </c>
      <c r="O70" s="161">
        <v>3</v>
      </c>
      <c r="P70" s="163">
        <v>3</v>
      </c>
      <c r="Q70" s="163"/>
      <c r="R70" s="162"/>
      <c r="S70" s="164">
        <f>TABLAINV[[#This Row],[Conteo Físico]]-TABLAINV[[#This Row],[Cant. UND]]</f>
        <v>0</v>
      </c>
      <c r="T7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0" s="165" t="str">
        <f>IFERROR(IF(MOD(TABLAINV[[#This Row],[C]],2)=0,"PAR","IMPAR"),"Zona")</f>
        <v>IMPAR</v>
      </c>
      <c r="W70" s="166"/>
      <c r="X70" s="167">
        <f>IFERROR(IF(TABLAINV[[#This Row],[Cant. UND]]=0,TABLAINV[[#This Row],[PMV]]*TABLAINV[[#This Row],[Conteo Físico]],TABLAINV[[#This Row],[PMV]]*TABLAINV[[#This Row],[Cant. UND]]),0)</f>
        <v>0</v>
      </c>
      <c r="Y70" s="167">
        <f>IFERROR(ABS(TABLAINV[[#This Row],[PMV]]*TABLAINV[[#This Row],[Diferencia]]),0)</f>
        <v>0</v>
      </c>
      <c r="Z70" s="168">
        <f>IFERROR(VLOOKUP(TABLAINV[[#This Row],[Codigo Estado]],unds!O:P,2,0),"PEND.")</f>
        <v>2001</v>
      </c>
      <c r="AA70" s="168" t="str">
        <f t="shared" si="4"/>
        <v>CD09</v>
      </c>
      <c r="AB70" s="169">
        <f t="shared" ca="1" si="5"/>
        <v>45827</v>
      </c>
      <c r="AC70" s="1"/>
      <c r="AD70" s="1"/>
      <c r="AE70" s="1"/>
      <c r="AF70" s="1"/>
    </row>
    <row r="71" spans="1:32" ht="15" customHeight="1" x14ac:dyDescent="0.2">
      <c r="A71" s="170" t="str">
        <f t="shared" si="3"/>
        <v>MRC01</v>
      </c>
      <c r="B71" s="160" t="str">
        <f>IF(TABLAINV[[#This Row],[Z]]="","",D71&amp;"."&amp;TEXT(E71,"000")&amp;"."&amp;TEXT(F71,"000")&amp;"."&amp;TEXT(G71,"000"))</f>
        <v>MR.C01.110.001</v>
      </c>
      <c r="C71" s="161"/>
      <c r="D71" s="162" t="s">
        <v>95</v>
      </c>
      <c r="E71" s="162" t="s">
        <v>96</v>
      </c>
      <c r="F71" s="162">
        <v>110</v>
      </c>
      <c r="G71" s="162">
        <v>1</v>
      </c>
      <c r="H71" s="162">
        <v>449851003</v>
      </c>
      <c r="I71" s="162" t="s">
        <v>172</v>
      </c>
      <c r="J71" s="171">
        <v>24</v>
      </c>
      <c r="K71" s="162" t="s">
        <v>64</v>
      </c>
      <c r="L71" s="163" t="s">
        <v>98</v>
      </c>
      <c r="M71" s="162" t="s">
        <v>99</v>
      </c>
      <c r="N71" s="161" t="s">
        <v>91</v>
      </c>
      <c r="O71" s="161">
        <v>24</v>
      </c>
      <c r="P71" s="163">
        <v>24</v>
      </c>
      <c r="Q71" s="163"/>
      <c r="R71" s="162"/>
      <c r="S71" s="164">
        <f>TABLAINV[[#This Row],[Conteo Físico]]-TABLAINV[[#This Row],[Cant. UND]]</f>
        <v>0</v>
      </c>
      <c r="T7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1" s="165" t="str">
        <f>IFERROR(IF(MOD(TABLAINV[[#This Row],[C]],2)=0,"PAR","IMPAR"),"Zona")</f>
        <v>PAR</v>
      </c>
      <c r="W71" s="166"/>
      <c r="X71" s="167">
        <f>IFERROR(IF(TABLAINV[[#This Row],[Cant. UND]]=0,TABLAINV[[#This Row],[PMV]]*TABLAINV[[#This Row],[Conteo Físico]],TABLAINV[[#This Row],[PMV]]*TABLAINV[[#This Row],[Cant. UND]]),0)</f>
        <v>0</v>
      </c>
      <c r="Y71" s="167">
        <f>IFERROR(ABS(TABLAINV[[#This Row],[PMV]]*TABLAINV[[#This Row],[Diferencia]]),0)</f>
        <v>0</v>
      </c>
      <c r="Z71" s="168">
        <f>IFERROR(VLOOKUP(TABLAINV[[#This Row],[Codigo Estado]],unds!O:P,2,0),"PEND.")</f>
        <v>2001</v>
      </c>
      <c r="AA71" s="168" t="str">
        <f t="shared" si="4"/>
        <v>CD09</v>
      </c>
      <c r="AB71" s="169">
        <f t="shared" ca="1" si="5"/>
        <v>45827</v>
      </c>
      <c r="AC71" s="1"/>
      <c r="AD71" s="1"/>
      <c r="AE71" s="1"/>
      <c r="AF71" s="1"/>
    </row>
    <row r="72" spans="1:32" ht="15" customHeight="1" x14ac:dyDescent="0.2">
      <c r="A72" s="170" t="str">
        <f t="shared" si="3"/>
        <v>MRC01</v>
      </c>
      <c r="B72" s="160" t="str">
        <f>IF(TABLAINV[[#This Row],[Z]]="","",D72&amp;"."&amp;TEXT(E72,"000")&amp;"."&amp;TEXT(F72,"000")&amp;"."&amp;TEXT(G72,"000"))</f>
        <v>MR.C01.111.001</v>
      </c>
      <c r="C72" s="161"/>
      <c r="D72" s="162" t="s">
        <v>95</v>
      </c>
      <c r="E72" s="162" t="s">
        <v>96</v>
      </c>
      <c r="F72" s="162">
        <v>111</v>
      </c>
      <c r="G72" s="162">
        <v>1</v>
      </c>
      <c r="H72" s="162">
        <v>373212</v>
      </c>
      <c r="I72" s="162" t="s">
        <v>173</v>
      </c>
      <c r="J72" s="171">
        <v>24</v>
      </c>
      <c r="K72" s="162" t="s">
        <v>64</v>
      </c>
      <c r="L72" s="163" t="s">
        <v>98</v>
      </c>
      <c r="M72" s="162" t="s">
        <v>99</v>
      </c>
      <c r="N72" s="161" t="s">
        <v>91</v>
      </c>
      <c r="O72" s="161">
        <v>24</v>
      </c>
      <c r="P72" s="163">
        <v>24</v>
      </c>
      <c r="Q72" s="163"/>
      <c r="R72" s="162"/>
      <c r="S72" s="164">
        <f>TABLAINV[[#This Row],[Conteo Físico]]-TABLAINV[[#This Row],[Cant. UND]]</f>
        <v>0</v>
      </c>
      <c r="T7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2" s="165" t="str">
        <f>IFERROR(IF(MOD(TABLAINV[[#This Row],[C]],2)=0,"PAR","IMPAR"),"Zona")</f>
        <v>IMPAR</v>
      </c>
      <c r="W72" s="166"/>
      <c r="X72" s="167">
        <f>IFERROR(IF(TABLAINV[[#This Row],[Cant. UND]]=0,TABLAINV[[#This Row],[PMV]]*TABLAINV[[#This Row],[Conteo Físico]],TABLAINV[[#This Row],[PMV]]*TABLAINV[[#This Row],[Cant. UND]]),0)</f>
        <v>0</v>
      </c>
      <c r="Y72" s="167">
        <f>IFERROR(ABS(TABLAINV[[#This Row],[PMV]]*TABLAINV[[#This Row],[Diferencia]]),0)</f>
        <v>0</v>
      </c>
      <c r="Z72" s="168">
        <f>IFERROR(VLOOKUP(TABLAINV[[#This Row],[Codigo Estado]],unds!O:P,2,0),"PEND.")</f>
        <v>2001</v>
      </c>
      <c r="AA72" s="168" t="str">
        <f t="shared" si="4"/>
        <v>CD09</v>
      </c>
      <c r="AB72" s="169">
        <f t="shared" ca="1" si="5"/>
        <v>45827</v>
      </c>
      <c r="AC72" s="1"/>
      <c r="AD72" s="1"/>
      <c r="AE72" s="1"/>
      <c r="AF72" s="1"/>
    </row>
    <row r="73" spans="1:32" ht="15" customHeight="1" x14ac:dyDescent="0.2">
      <c r="A73" s="170" t="str">
        <f t="shared" si="3"/>
        <v>MRC01</v>
      </c>
      <c r="B73" s="160" t="str">
        <f>IF(TABLAINV[[#This Row],[Z]]="","",D73&amp;"."&amp;TEXT(E73,"000")&amp;"."&amp;TEXT(F73,"000")&amp;"."&amp;TEXT(G73,"000"))</f>
        <v>MR.C01.112.001</v>
      </c>
      <c r="C73" s="161"/>
      <c r="D73" s="162" t="s">
        <v>95</v>
      </c>
      <c r="E73" s="162" t="s">
        <v>96</v>
      </c>
      <c r="F73" s="162">
        <v>112</v>
      </c>
      <c r="G73" s="162">
        <v>1</v>
      </c>
      <c r="H73" s="162">
        <v>334950</v>
      </c>
      <c r="I73" s="162" t="s">
        <v>150</v>
      </c>
      <c r="J73" s="171">
        <v>24</v>
      </c>
      <c r="K73" s="162" t="s">
        <v>64</v>
      </c>
      <c r="L73" s="163" t="s">
        <v>125</v>
      </c>
      <c r="M73" s="162" t="s">
        <v>99</v>
      </c>
      <c r="N73" s="161" t="s">
        <v>91</v>
      </c>
      <c r="O73" s="161">
        <v>24</v>
      </c>
      <c r="P73" s="163">
        <v>24</v>
      </c>
      <c r="Q73" s="163"/>
      <c r="R73" s="162"/>
      <c r="S73" s="164">
        <f>TABLAINV[[#This Row],[Conteo Físico]]-TABLAINV[[#This Row],[Cant. UND]]</f>
        <v>0</v>
      </c>
      <c r="T7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3" s="165" t="str">
        <f>IFERROR(IF(MOD(TABLAINV[[#This Row],[C]],2)=0,"PAR","IMPAR"),"Zona")</f>
        <v>PAR</v>
      </c>
      <c r="W73" s="166"/>
      <c r="X73" s="167">
        <f>IFERROR(IF(TABLAINV[[#This Row],[Cant. UND]]=0,TABLAINV[[#This Row],[PMV]]*TABLAINV[[#This Row],[Conteo Físico]],TABLAINV[[#This Row],[PMV]]*TABLAINV[[#This Row],[Cant. UND]]),0)</f>
        <v>0</v>
      </c>
      <c r="Y73" s="167">
        <f>IFERROR(ABS(TABLAINV[[#This Row],[PMV]]*TABLAINV[[#This Row],[Diferencia]]),0)</f>
        <v>0</v>
      </c>
      <c r="Z73" s="168">
        <f>IFERROR(VLOOKUP(TABLAINV[[#This Row],[Codigo Estado]],unds!O:P,2,0),"PEND.")</f>
        <v>2001</v>
      </c>
      <c r="AA73" s="168" t="str">
        <f t="shared" si="4"/>
        <v>CD09</v>
      </c>
      <c r="AB73" s="169">
        <f t="shared" ca="1" si="5"/>
        <v>45827</v>
      </c>
      <c r="AC73" s="1"/>
      <c r="AD73" s="1"/>
      <c r="AE73" s="1"/>
      <c r="AF73" s="1"/>
    </row>
    <row r="74" spans="1:32" ht="15" customHeight="1" x14ac:dyDescent="0.2">
      <c r="A74" s="170" t="str">
        <f t="shared" ref="A74:A137" si="6">D74&amp;E74</f>
        <v>MRC01</v>
      </c>
      <c r="B74" s="160" t="str">
        <f>IF(TABLAINV[[#This Row],[Z]]="","",D74&amp;"."&amp;TEXT(E74,"000")&amp;"."&amp;TEXT(F74,"000")&amp;"."&amp;TEXT(G74,"000"))</f>
        <v>MR.C01.112.002</v>
      </c>
      <c r="C74" s="161"/>
      <c r="D74" s="162" t="s">
        <v>95</v>
      </c>
      <c r="E74" s="162" t="s">
        <v>96</v>
      </c>
      <c r="F74" s="162">
        <v>112</v>
      </c>
      <c r="G74" s="162">
        <v>2</v>
      </c>
      <c r="H74" s="162">
        <v>396035003</v>
      </c>
      <c r="I74" s="162" t="s">
        <v>132</v>
      </c>
      <c r="J74" s="171">
        <v>24</v>
      </c>
      <c r="K74" s="162" t="s">
        <v>64</v>
      </c>
      <c r="L74" s="163" t="s">
        <v>98</v>
      </c>
      <c r="M74" s="162" t="s">
        <v>99</v>
      </c>
      <c r="N74" s="161" t="s">
        <v>91</v>
      </c>
      <c r="O74" s="161">
        <v>24</v>
      </c>
      <c r="P74" s="163">
        <v>24</v>
      </c>
      <c r="Q74" s="163"/>
      <c r="R74" s="162"/>
      <c r="S74" s="164">
        <f>TABLAINV[[#This Row],[Conteo Físico]]-TABLAINV[[#This Row],[Cant. UND]]</f>
        <v>0</v>
      </c>
      <c r="T7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4" s="165" t="str">
        <f>IFERROR(IF(MOD(TABLAINV[[#This Row],[C]],2)=0,"PAR","IMPAR"),"Zona")</f>
        <v>PAR</v>
      </c>
      <c r="W74" s="166"/>
      <c r="X74" s="167">
        <f>IFERROR(IF(TABLAINV[[#This Row],[Cant. UND]]=0,TABLAINV[[#This Row],[PMV]]*TABLAINV[[#This Row],[Conteo Físico]],TABLAINV[[#This Row],[PMV]]*TABLAINV[[#This Row],[Cant. UND]]),0)</f>
        <v>0</v>
      </c>
      <c r="Y74" s="167">
        <f>IFERROR(ABS(TABLAINV[[#This Row],[PMV]]*TABLAINV[[#This Row],[Diferencia]]),0)</f>
        <v>0</v>
      </c>
      <c r="Z74" s="168">
        <f>IFERROR(VLOOKUP(TABLAINV[[#This Row],[Codigo Estado]],unds!O:P,2,0),"PEND.")</f>
        <v>2001</v>
      </c>
      <c r="AA74" s="168" t="str">
        <f t="shared" ref="AA74:AA137" si="7">$AA$1</f>
        <v>CD09</v>
      </c>
      <c r="AB74" s="169">
        <f t="shared" ref="AB74:AB137" ca="1" si="8">TODAY()</f>
        <v>45827</v>
      </c>
      <c r="AC74" s="1"/>
      <c r="AD74" s="1"/>
      <c r="AE74" s="1"/>
      <c r="AF74" s="1"/>
    </row>
    <row r="75" spans="1:32" ht="15" customHeight="1" x14ac:dyDescent="0.2">
      <c r="A75" s="170" t="str">
        <f t="shared" si="6"/>
        <v>MRC01</v>
      </c>
      <c r="B75" s="160" t="str">
        <f>IF(TABLAINV[[#This Row],[Z]]="","",D75&amp;"."&amp;TEXT(E75,"000")&amp;"."&amp;TEXT(F75,"000")&amp;"."&amp;TEXT(G75,"000"))</f>
        <v>MR.C01.113.001</v>
      </c>
      <c r="C75" s="161"/>
      <c r="D75" s="162" t="s">
        <v>95</v>
      </c>
      <c r="E75" s="162" t="s">
        <v>96</v>
      </c>
      <c r="F75" s="162">
        <v>113</v>
      </c>
      <c r="G75" s="162">
        <v>1</v>
      </c>
      <c r="H75" s="162">
        <v>723876</v>
      </c>
      <c r="I75" s="162" t="s">
        <v>174</v>
      </c>
      <c r="J75" s="171">
        <v>12</v>
      </c>
      <c r="K75" s="162" t="s">
        <v>64</v>
      </c>
      <c r="L75" s="163" t="s">
        <v>115</v>
      </c>
      <c r="M75" s="162" t="s">
        <v>99</v>
      </c>
      <c r="N75" s="161" t="s">
        <v>91</v>
      </c>
      <c r="O75" s="161">
        <v>12</v>
      </c>
      <c r="P75" s="163">
        <v>12</v>
      </c>
      <c r="Q75" s="163"/>
      <c r="R75" s="162"/>
      <c r="S75" s="164">
        <f>TABLAINV[[#This Row],[Conteo Físico]]-TABLAINV[[#This Row],[Cant. UND]]</f>
        <v>0</v>
      </c>
      <c r="T7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5" s="165" t="str">
        <f>IFERROR(IF(MOD(TABLAINV[[#This Row],[C]],2)=0,"PAR","IMPAR"),"Zona")</f>
        <v>IMPAR</v>
      </c>
      <c r="W75" s="166"/>
      <c r="X75" s="167">
        <f>IFERROR(IF(TABLAINV[[#This Row],[Cant. UND]]=0,TABLAINV[[#This Row],[PMV]]*TABLAINV[[#This Row],[Conteo Físico]],TABLAINV[[#This Row],[PMV]]*TABLAINV[[#This Row],[Cant. UND]]),0)</f>
        <v>0</v>
      </c>
      <c r="Y75" s="167">
        <f>IFERROR(ABS(TABLAINV[[#This Row],[PMV]]*TABLAINV[[#This Row],[Diferencia]]),0)</f>
        <v>0</v>
      </c>
      <c r="Z75" s="168">
        <f>IFERROR(VLOOKUP(TABLAINV[[#This Row],[Codigo Estado]],unds!O:P,2,0),"PEND.")</f>
        <v>2001</v>
      </c>
      <c r="AA75" s="168" t="str">
        <f t="shared" si="7"/>
        <v>CD09</v>
      </c>
      <c r="AB75" s="169">
        <f t="shared" ca="1" si="8"/>
        <v>45827</v>
      </c>
      <c r="AC75" s="1"/>
      <c r="AD75" s="1"/>
      <c r="AE75" s="1"/>
      <c r="AF75" s="1"/>
    </row>
    <row r="76" spans="1:32" ht="15" customHeight="1" x14ac:dyDescent="0.2">
      <c r="A76" s="170" t="str">
        <f t="shared" si="6"/>
        <v>MRC01</v>
      </c>
      <c r="B76" s="160" t="str">
        <f>IF(TABLAINV[[#This Row],[Z]]="","",D76&amp;"."&amp;TEXT(E76,"000")&amp;"."&amp;TEXT(F76,"000")&amp;"."&amp;TEXT(G76,"000"))</f>
        <v>MR.C01.113.002</v>
      </c>
      <c r="C76" s="161"/>
      <c r="D76" s="162" t="s">
        <v>95</v>
      </c>
      <c r="E76" s="162" t="s">
        <v>96</v>
      </c>
      <c r="F76" s="162">
        <v>113</v>
      </c>
      <c r="G76" s="162">
        <v>2</v>
      </c>
      <c r="H76" s="162">
        <v>1031960</v>
      </c>
      <c r="I76" s="162" t="s">
        <v>175</v>
      </c>
      <c r="J76" s="171">
        <v>6</v>
      </c>
      <c r="K76" s="162" t="s">
        <v>64</v>
      </c>
      <c r="L76" s="163" t="s">
        <v>98</v>
      </c>
      <c r="M76" s="162" t="s">
        <v>99</v>
      </c>
      <c r="N76" s="161" t="s">
        <v>91</v>
      </c>
      <c r="O76" s="161">
        <v>6</v>
      </c>
      <c r="P76" s="163">
        <v>6</v>
      </c>
      <c r="Q76" s="163"/>
      <c r="R76" s="162"/>
      <c r="S76" s="164">
        <f>TABLAINV[[#This Row],[Conteo Físico]]-TABLAINV[[#This Row],[Cant. UND]]</f>
        <v>0</v>
      </c>
      <c r="T7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6" s="165" t="str">
        <f>IFERROR(IF(MOD(TABLAINV[[#This Row],[C]],2)=0,"PAR","IMPAR"),"Zona")</f>
        <v>IMPAR</v>
      </c>
      <c r="W76" s="166"/>
      <c r="X76" s="167">
        <f>IFERROR(IF(TABLAINV[[#This Row],[Cant. UND]]=0,TABLAINV[[#This Row],[PMV]]*TABLAINV[[#This Row],[Conteo Físico]],TABLAINV[[#This Row],[PMV]]*TABLAINV[[#This Row],[Cant. UND]]),0)</f>
        <v>0</v>
      </c>
      <c r="Y76" s="167">
        <f>IFERROR(ABS(TABLAINV[[#This Row],[PMV]]*TABLAINV[[#This Row],[Diferencia]]),0)</f>
        <v>0</v>
      </c>
      <c r="Z76" s="168">
        <f>IFERROR(VLOOKUP(TABLAINV[[#This Row],[Codigo Estado]],unds!O:P,2,0),"PEND.")</f>
        <v>2001</v>
      </c>
      <c r="AA76" s="168" t="str">
        <f t="shared" si="7"/>
        <v>CD09</v>
      </c>
      <c r="AB76" s="169">
        <f t="shared" ca="1" si="8"/>
        <v>45827</v>
      </c>
      <c r="AC76" s="1"/>
      <c r="AD76" s="1"/>
      <c r="AE76" s="1"/>
      <c r="AF76" s="1"/>
    </row>
    <row r="77" spans="1:32" ht="15" customHeight="1" x14ac:dyDescent="0.2">
      <c r="A77" s="170" t="str">
        <f t="shared" si="6"/>
        <v>MRC01</v>
      </c>
      <c r="B77" s="160" t="str">
        <f>IF(TABLAINV[[#This Row],[Z]]="","",D77&amp;"."&amp;TEXT(E77,"000")&amp;"."&amp;TEXT(F77,"000")&amp;"."&amp;TEXT(G77,"000"))</f>
        <v>MR.C01.113.002</v>
      </c>
      <c r="C77" s="161"/>
      <c r="D77" s="162" t="s">
        <v>95</v>
      </c>
      <c r="E77" s="162" t="s">
        <v>96</v>
      </c>
      <c r="F77" s="162">
        <v>113</v>
      </c>
      <c r="G77" s="162">
        <v>2</v>
      </c>
      <c r="H77" s="162">
        <v>21125</v>
      </c>
      <c r="I77" s="162" t="s">
        <v>176</v>
      </c>
      <c r="J77" s="171">
        <v>6</v>
      </c>
      <c r="K77" s="162" t="s">
        <v>64</v>
      </c>
      <c r="L77" s="163" t="s">
        <v>177</v>
      </c>
      <c r="M77" s="162" t="s">
        <v>178</v>
      </c>
      <c r="N77" s="161" t="s">
        <v>91</v>
      </c>
      <c r="O77" s="161">
        <v>6</v>
      </c>
      <c r="P77" s="163">
        <v>6</v>
      </c>
      <c r="Q77" s="163"/>
      <c r="R77" s="162"/>
      <c r="S77" s="164">
        <f>TABLAINV[[#This Row],[Conteo Físico]]-TABLAINV[[#This Row],[Cant. UND]]</f>
        <v>0</v>
      </c>
      <c r="T7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7" s="165" t="str">
        <f>IFERROR(IF(MOD(TABLAINV[[#This Row],[C]],2)=0,"PAR","IMPAR"),"Zona")</f>
        <v>IMPAR</v>
      </c>
      <c r="W77" s="166"/>
      <c r="X77" s="167">
        <f>IFERROR(IF(TABLAINV[[#This Row],[Cant. UND]]=0,TABLAINV[[#This Row],[PMV]]*TABLAINV[[#This Row],[Conteo Físico]],TABLAINV[[#This Row],[PMV]]*TABLAINV[[#This Row],[Cant. UND]]),0)</f>
        <v>0</v>
      </c>
      <c r="Y77" s="167">
        <f>IFERROR(ABS(TABLAINV[[#This Row],[PMV]]*TABLAINV[[#This Row],[Diferencia]]),0)</f>
        <v>0</v>
      </c>
      <c r="Z77" s="168">
        <f>IFERROR(VLOOKUP(TABLAINV[[#This Row],[Codigo Estado]],unds!O:P,2,0),"PEND.")</f>
        <v>2001</v>
      </c>
      <c r="AA77" s="168" t="str">
        <f t="shared" si="7"/>
        <v>CD09</v>
      </c>
      <c r="AB77" s="169">
        <f t="shared" ca="1" si="8"/>
        <v>45827</v>
      </c>
      <c r="AC77" s="1"/>
      <c r="AD77" s="1"/>
      <c r="AE77" s="1"/>
      <c r="AF77" s="1"/>
    </row>
    <row r="78" spans="1:32" ht="15" customHeight="1" x14ac:dyDescent="0.2">
      <c r="A78" s="170" t="str">
        <f t="shared" si="6"/>
        <v>MRC01</v>
      </c>
      <c r="B78" s="160" t="str">
        <f>IF(TABLAINV[[#This Row],[Z]]="","",D78&amp;"."&amp;TEXT(E78,"000")&amp;"."&amp;TEXT(F78,"000")&amp;"."&amp;TEXT(G78,"000"))</f>
        <v>MR.C01.113.002</v>
      </c>
      <c r="C78" s="161"/>
      <c r="D78" s="162" t="s">
        <v>95</v>
      </c>
      <c r="E78" s="162" t="s">
        <v>96</v>
      </c>
      <c r="F78" s="162">
        <v>113</v>
      </c>
      <c r="G78" s="162">
        <v>2</v>
      </c>
      <c r="H78" s="162">
        <v>975713</v>
      </c>
      <c r="I78" s="162" t="s">
        <v>179</v>
      </c>
      <c r="J78" s="171">
        <v>1</v>
      </c>
      <c r="K78" s="162" t="s">
        <v>64</v>
      </c>
      <c r="L78" s="163" t="s">
        <v>117</v>
      </c>
      <c r="M78" s="162" t="s">
        <v>99</v>
      </c>
      <c r="N78" s="161" t="s">
        <v>91</v>
      </c>
      <c r="O78" s="161">
        <v>1</v>
      </c>
      <c r="P78" s="163">
        <v>1</v>
      </c>
      <c r="Q78" s="163"/>
      <c r="R78" s="162"/>
      <c r="S78" s="164">
        <f>TABLAINV[[#This Row],[Conteo Físico]]-TABLAINV[[#This Row],[Cant. UND]]</f>
        <v>0</v>
      </c>
      <c r="T7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8" s="165" t="str">
        <f>IFERROR(IF(MOD(TABLAINV[[#This Row],[C]],2)=0,"PAR","IMPAR"),"Zona")</f>
        <v>IMPAR</v>
      </c>
      <c r="W78" s="166"/>
      <c r="X78" s="167">
        <f>IFERROR(IF(TABLAINV[[#This Row],[Cant. UND]]=0,TABLAINV[[#This Row],[PMV]]*TABLAINV[[#This Row],[Conteo Físico]],TABLAINV[[#This Row],[PMV]]*TABLAINV[[#This Row],[Cant. UND]]),0)</f>
        <v>0</v>
      </c>
      <c r="Y78" s="167">
        <f>IFERROR(ABS(TABLAINV[[#This Row],[PMV]]*TABLAINV[[#This Row],[Diferencia]]),0)</f>
        <v>0</v>
      </c>
      <c r="Z78" s="168">
        <f>IFERROR(VLOOKUP(TABLAINV[[#This Row],[Codigo Estado]],unds!O:P,2,0),"PEND.")</f>
        <v>2001</v>
      </c>
      <c r="AA78" s="168" t="str">
        <f t="shared" si="7"/>
        <v>CD09</v>
      </c>
      <c r="AB78" s="169">
        <f t="shared" ca="1" si="8"/>
        <v>45827</v>
      </c>
      <c r="AC78" s="1"/>
      <c r="AD78" s="1"/>
      <c r="AE78" s="1"/>
      <c r="AF78" s="1"/>
    </row>
    <row r="79" spans="1:32" ht="15" customHeight="1" x14ac:dyDescent="0.2">
      <c r="A79" s="170" t="str">
        <f t="shared" si="6"/>
        <v>MRC01</v>
      </c>
      <c r="B79" s="160" t="str">
        <f>IF(TABLAINV[[#This Row],[Z]]="","",D79&amp;"."&amp;TEXT(E79,"000")&amp;"."&amp;TEXT(F79,"000")&amp;"."&amp;TEXT(G79,"000"))</f>
        <v>MR.C01.113.003</v>
      </c>
      <c r="C79" s="161"/>
      <c r="D79" s="162" t="s">
        <v>95</v>
      </c>
      <c r="E79" s="162" t="s">
        <v>96</v>
      </c>
      <c r="F79" s="162">
        <v>113</v>
      </c>
      <c r="G79" s="162">
        <v>3</v>
      </c>
      <c r="H79" s="162">
        <v>932074</v>
      </c>
      <c r="I79" s="162" t="s">
        <v>180</v>
      </c>
      <c r="J79" s="171">
        <v>20</v>
      </c>
      <c r="K79" s="162" t="s">
        <v>64</v>
      </c>
      <c r="L79" s="163" t="s">
        <v>98</v>
      </c>
      <c r="M79" s="162" t="s">
        <v>99</v>
      </c>
      <c r="N79" s="161" t="s">
        <v>91</v>
      </c>
      <c r="O79" s="161">
        <v>20</v>
      </c>
      <c r="P79" s="163">
        <v>20</v>
      </c>
      <c r="Q79" s="163"/>
      <c r="R79" s="162"/>
      <c r="S79" s="164">
        <f>TABLAINV[[#This Row],[Conteo Físico]]-TABLAINV[[#This Row],[Cant. UND]]</f>
        <v>0</v>
      </c>
      <c r="T7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7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79" s="165" t="str">
        <f>IFERROR(IF(MOD(TABLAINV[[#This Row],[C]],2)=0,"PAR","IMPAR"),"Zona")</f>
        <v>IMPAR</v>
      </c>
      <c r="W79" s="166"/>
      <c r="X79" s="167">
        <f>IFERROR(IF(TABLAINV[[#This Row],[Cant. UND]]=0,TABLAINV[[#This Row],[PMV]]*TABLAINV[[#This Row],[Conteo Físico]],TABLAINV[[#This Row],[PMV]]*TABLAINV[[#This Row],[Cant. UND]]),0)</f>
        <v>0</v>
      </c>
      <c r="Y79" s="167">
        <f>IFERROR(ABS(TABLAINV[[#This Row],[PMV]]*TABLAINV[[#This Row],[Diferencia]]),0)</f>
        <v>0</v>
      </c>
      <c r="Z79" s="168">
        <f>IFERROR(VLOOKUP(TABLAINV[[#This Row],[Codigo Estado]],unds!O:P,2,0),"PEND.")</f>
        <v>2001</v>
      </c>
      <c r="AA79" s="168" t="str">
        <f t="shared" si="7"/>
        <v>CD09</v>
      </c>
      <c r="AB79" s="169">
        <f t="shared" ca="1" si="8"/>
        <v>45827</v>
      </c>
      <c r="AC79" s="1"/>
      <c r="AD79" s="1"/>
      <c r="AE79" s="1"/>
      <c r="AF79" s="1"/>
    </row>
    <row r="80" spans="1:32" ht="15" customHeight="1" x14ac:dyDescent="0.2">
      <c r="A80" s="170" t="str">
        <f t="shared" si="6"/>
        <v>MRC01</v>
      </c>
      <c r="B80" s="160" t="str">
        <f>IF(TABLAINV[[#This Row],[Z]]="","",D80&amp;"."&amp;TEXT(E80,"000")&amp;"."&amp;TEXT(F80,"000")&amp;"."&amp;TEXT(G80,"000"))</f>
        <v>MR.C01.114.001</v>
      </c>
      <c r="C80" s="161"/>
      <c r="D80" s="162" t="s">
        <v>95</v>
      </c>
      <c r="E80" s="162" t="s">
        <v>96</v>
      </c>
      <c r="F80" s="162">
        <v>114</v>
      </c>
      <c r="G80" s="162">
        <v>1</v>
      </c>
      <c r="H80" s="162">
        <v>1031960</v>
      </c>
      <c r="I80" s="162" t="s">
        <v>175</v>
      </c>
      <c r="J80" s="171">
        <v>6</v>
      </c>
      <c r="K80" s="162" t="s">
        <v>64</v>
      </c>
      <c r="L80" s="163" t="s">
        <v>98</v>
      </c>
      <c r="M80" s="162" t="s">
        <v>99</v>
      </c>
      <c r="N80" s="161" t="s">
        <v>91</v>
      </c>
      <c r="O80" s="161">
        <v>6</v>
      </c>
      <c r="P80" s="163">
        <v>6</v>
      </c>
      <c r="Q80" s="163"/>
      <c r="R80" s="162"/>
      <c r="S80" s="164">
        <f>TABLAINV[[#This Row],[Conteo Físico]]-TABLAINV[[#This Row],[Cant. UND]]</f>
        <v>0</v>
      </c>
      <c r="T8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0" s="165" t="str">
        <f>IFERROR(IF(MOD(TABLAINV[[#This Row],[C]],2)=0,"PAR","IMPAR"),"Zona")</f>
        <v>PAR</v>
      </c>
      <c r="W80" s="166"/>
      <c r="X80" s="167">
        <f>IFERROR(IF(TABLAINV[[#This Row],[Cant. UND]]=0,TABLAINV[[#This Row],[PMV]]*TABLAINV[[#This Row],[Conteo Físico]],TABLAINV[[#This Row],[PMV]]*TABLAINV[[#This Row],[Cant. UND]]),0)</f>
        <v>0</v>
      </c>
      <c r="Y80" s="167">
        <f>IFERROR(ABS(TABLAINV[[#This Row],[PMV]]*TABLAINV[[#This Row],[Diferencia]]),0)</f>
        <v>0</v>
      </c>
      <c r="Z80" s="168">
        <f>IFERROR(VLOOKUP(TABLAINV[[#This Row],[Codigo Estado]],unds!O:P,2,0),"PEND.")</f>
        <v>2001</v>
      </c>
      <c r="AA80" s="168" t="str">
        <f t="shared" si="7"/>
        <v>CD09</v>
      </c>
      <c r="AB80" s="169">
        <f t="shared" ca="1" si="8"/>
        <v>45827</v>
      </c>
      <c r="AC80" s="1"/>
      <c r="AD80" s="1"/>
      <c r="AE80" s="1"/>
      <c r="AF80" s="1"/>
    </row>
    <row r="81" spans="1:32" ht="15" customHeight="1" x14ac:dyDescent="0.2">
      <c r="A81" s="170" t="str">
        <f t="shared" si="6"/>
        <v>MRC01</v>
      </c>
      <c r="B81" s="160" t="str">
        <f>IF(TABLAINV[[#This Row],[Z]]="","",D81&amp;"."&amp;TEXT(E81,"000")&amp;"."&amp;TEXT(F81,"000")&amp;"."&amp;TEXT(G81,"000"))</f>
        <v>MR.C01.114.002</v>
      </c>
      <c r="C81" s="161"/>
      <c r="D81" s="162" t="s">
        <v>95</v>
      </c>
      <c r="E81" s="162" t="s">
        <v>96</v>
      </c>
      <c r="F81" s="162">
        <v>114</v>
      </c>
      <c r="G81" s="162">
        <v>2</v>
      </c>
      <c r="H81" s="162">
        <v>768747</v>
      </c>
      <c r="I81" s="162" t="s">
        <v>181</v>
      </c>
      <c r="J81" s="171">
        <v>6</v>
      </c>
      <c r="K81" s="162" t="s">
        <v>64</v>
      </c>
      <c r="L81" s="163" t="s">
        <v>117</v>
      </c>
      <c r="M81" s="162" t="s">
        <v>99</v>
      </c>
      <c r="N81" s="161" t="s">
        <v>91</v>
      </c>
      <c r="O81" s="161">
        <v>6</v>
      </c>
      <c r="P81" s="163">
        <v>6</v>
      </c>
      <c r="Q81" s="163"/>
      <c r="R81" s="162"/>
      <c r="S81" s="164">
        <f>TABLAINV[[#This Row],[Conteo Físico]]-TABLAINV[[#This Row],[Cant. UND]]</f>
        <v>0</v>
      </c>
      <c r="T8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1" s="165" t="str">
        <f>IFERROR(IF(MOD(TABLAINV[[#This Row],[C]],2)=0,"PAR","IMPAR"),"Zona")</f>
        <v>PAR</v>
      </c>
      <c r="W81" s="166"/>
      <c r="X81" s="167">
        <f>IFERROR(IF(TABLAINV[[#This Row],[Cant. UND]]=0,TABLAINV[[#This Row],[PMV]]*TABLAINV[[#This Row],[Conteo Físico]],TABLAINV[[#This Row],[PMV]]*TABLAINV[[#This Row],[Cant. UND]]),0)</f>
        <v>0</v>
      </c>
      <c r="Y81" s="167">
        <f>IFERROR(ABS(TABLAINV[[#This Row],[PMV]]*TABLAINV[[#This Row],[Diferencia]]),0)</f>
        <v>0</v>
      </c>
      <c r="Z81" s="168">
        <f>IFERROR(VLOOKUP(TABLAINV[[#This Row],[Codigo Estado]],unds!O:P,2,0),"PEND.")</f>
        <v>2001</v>
      </c>
      <c r="AA81" s="168" t="str">
        <f t="shared" si="7"/>
        <v>CD09</v>
      </c>
      <c r="AB81" s="169">
        <f t="shared" ca="1" si="8"/>
        <v>45827</v>
      </c>
      <c r="AC81" s="1"/>
      <c r="AD81" s="1"/>
      <c r="AE81" s="1"/>
      <c r="AF81" s="1"/>
    </row>
    <row r="82" spans="1:32" ht="15" customHeight="1" x14ac:dyDescent="0.2">
      <c r="A82" s="170" t="str">
        <f t="shared" si="6"/>
        <v>MRC01</v>
      </c>
      <c r="B82" s="160" t="str">
        <f>IF(TABLAINV[[#This Row],[Z]]="","",D82&amp;"."&amp;TEXT(E82,"000")&amp;"."&amp;TEXT(F82,"000")&amp;"."&amp;TEXT(G82,"000"))</f>
        <v>MR.C01.114.003</v>
      </c>
      <c r="C82" s="161"/>
      <c r="D82" s="162" t="s">
        <v>95</v>
      </c>
      <c r="E82" s="162" t="s">
        <v>96</v>
      </c>
      <c r="F82" s="162">
        <v>114</v>
      </c>
      <c r="G82" s="162">
        <v>3</v>
      </c>
      <c r="H82" s="162">
        <v>485926</v>
      </c>
      <c r="I82" s="162" t="s">
        <v>182</v>
      </c>
      <c r="J82" s="171">
        <v>3</v>
      </c>
      <c r="K82" s="162" t="s">
        <v>64</v>
      </c>
      <c r="L82" s="163" t="s">
        <v>115</v>
      </c>
      <c r="M82" s="162" t="s">
        <v>99</v>
      </c>
      <c r="N82" s="161" t="s">
        <v>91</v>
      </c>
      <c r="O82" s="161">
        <v>3</v>
      </c>
      <c r="P82" s="163">
        <v>3</v>
      </c>
      <c r="Q82" s="163"/>
      <c r="R82" s="162"/>
      <c r="S82" s="164">
        <f>TABLAINV[[#This Row],[Conteo Físico]]-TABLAINV[[#This Row],[Cant. UND]]</f>
        <v>0</v>
      </c>
      <c r="T8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2" s="165" t="str">
        <f>IFERROR(IF(MOD(TABLAINV[[#This Row],[C]],2)=0,"PAR","IMPAR"),"Zona")</f>
        <v>PAR</v>
      </c>
      <c r="W82" s="166"/>
      <c r="X82" s="167">
        <f>IFERROR(IF(TABLAINV[[#This Row],[Cant. UND]]=0,TABLAINV[[#This Row],[PMV]]*TABLAINV[[#This Row],[Conteo Físico]],TABLAINV[[#This Row],[PMV]]*TABLAINV[[#This Row],[Cant. UND]]),0)</f>
        <v>0</v>
      </c>
      <c r="Y82" s="167">
        <f>IFERROR(ABS(TABLAINV[[#This Row],[PMV]]*TABLAINV[[#This Row],[Diferencia]]),0)</f>
        <v>0</v>
      </c>
      <c r="Z82" s="168">
        <f>IFERROR(VLOOKUP(TABLAINV[[#This Row],[Codigo Estado]],unds!O:P,2,0),"PEND.")</f>
        <v>2001</v>
      </c>
      <c r="AA82" s="168" t="str">
        <f t="shared" si="7"/>
        <v>CD09</v>
      </c>
      <c r="AB82" s="169">
        <f t="shared" ca="1" si="8"/>
        <v>45827</v>
      </c>
      <c r="AC82" s="1"/>
      <c r="AD82" s="1"/>
      <c r="AE82" s="1"/>
      <c r="AF82" s="1"/>
    </row>
    <row r="83" spans="1:32" ht="15" customHeight="1" x14ac:dyDescent="0.2">
      <c r="A83" s="170" t="str">
        <f t="shared" si="6"/>
        <v>MRC01</v>
      </c>
      <c r="B83" s="160" t="str">
        <f>IF(TABLAINV[[#This Row],[Z]]="","",D83&amp;"."&amp;TEXT(E83,"000")&amp;"."&amp;TEXT(F83,"000")&amp;"."&amp;TEXT(G83,"000"))</f>
        <v>MR.C01.114.003</v>
      </c>
      <c r="C83" s="161"/>
      <c r="D83" s="162" t="s">
        <v>95</v>
      </c>
      <c r="E83" s="162" t="s">
        <v>96</v>
      </c>
      <c r="F83" s="162">
        <v>114</v>
      </c>
      <c r="G83" s="162">
        <v>3</v>
      </c>
      <c r="H83" s="162">
        <v>998267</v>
      </c>
      <c r="I83" s="162" t="s">
        <v>183</v>
      </c>
      <c r="J83" s="171">
        <v>15</v>
      </c>
      <c r="K83" s="162" t="s">
        <v>64</v>
      </c>
      <c r="L83" s="163" t="s">
        <v>184</v>
      </c>
      <c r="M83" s="162" t="s">
        <v>99</v>
      </c>
      <c r="N83" s="161" t="s">
        <v>91</v>
      </c>
      <c r="O83" s="161">
        <v>15</v>
      </c>
      <c r="P83" s="163">
        <v>15</v>
      </c>
      <c r="Q83" s="163"/>
      <c r="R83" s="162"/>
      <c r="S83" s="164">
        <f>TABLAINV[[#This Row],[Conteo Físico]]-TABLAINV[[#This Row],[Cant. UND]]</f>
        <v>0</v>
      </c>
      <c r="T8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3" s="165" t="str">
        <f>IFERROR(IF(MOD(TABLAINV[[#This Row],[C]],2)=0,"PAR","IMPAR"),"Zona")</f>
        <v>PAR</v>
      </c>
      <c r="W83" s="166"/>
      <c r="X83" s="167">
        <f>IFERROR(IF(TABLAINV[[#This Row],[Cant. UND]]=0,TABLAINV[[#This Row],[PMV]]*TABLAINV[[#This Row],[Conteo Físico]],TABLAINV[[#This Row],[PMV]]*TABLAINV[[#This Row],[Cant. UND]]),0)</f>
        <v>0</v>
      </c>
      <c r="Y83" s="167">
        <f>IFERROR(ABS(TABLAINV[[#This Row],[PMV]]*TABLAINV[[#This Row],[Diferencia]]),0)</f>
        <v>0</v>
      </c>
      <c r="Z83" s="168">
        <f>IFERROR(VLOOKUP(TABLAINV[[#This Row],[Codigo Estado]],unds!O:P,2,0),"PEND.")</f>
        <v>2001</v>
      </c>
      <c r="AA83" s="168" t="str">
        <f t="shared" si="7"/>
        <v>CD09</v>
      </c>
      <c r="AB83" s="169">
        <f t="shared" ca="1" si="8"/>
        <v>45827</v>
      </c>
      <c r="AC83" s="1"/>
      <c r="AD83" s="1"/>
      <c r="AE83" s="1"/>
      <c r="AF83" s="1"/>
    </row>
    <row r="84" spans="1:32" ht="15" customHeight="1" x14ac:dyDescent="0.2">
      <c r="A84" s="170" t="str">
        <f t="shared" si="6"/>
        <v>MRC01</v>
      </c>
      <c r="B84" s="160" t="str">
        <f>IF(TABLAINV[[#This Row],[Z]]="","",D84&amp;"."&amp;TEXT(E84,"000")&amp;"."&amp;TEXT(F84,"000")&amp;"."&amp;TEXT(G84,"000"))</f>
        <v>MR.C01.115.002</v>
      </c>
      <c r="C84" s="161"/>
      <c r="D84" s="162" t="s">
        <v>95</v>
      </c>
      <c r="E84" s="162" t="s">
        <v>96</v>
      </c>
      <c r="F84" s="162">
        <v>115</v>
      </c>
      <c r="G84" s="162">
        <v>2</v>
      </c>
      <c r="H84" s="162">
        <v>51929001</v>
      </c>
      <c r="I84" s="162" t="s">
        <v>185</v>
      </c>
      <c r="J84" s="171">
        <v>6</v>
      </c>
      <c r="K84" s="162" t="s">
        <v>64</v>
      </c>
      <c r="L84" s="163" t="s">
        <v>123</v>
      </c>
      <c r="M84" s="162" t="s">
        <v>111</v>
      </c>
      <c r="N84" s="161" t="s">
        <v>91</v>
      </c>
      <c r="O84" s="161">
        <v>6</v>
      </c>
      <c r="P84" s="163">
        <v>6</v>
      </c>
      <c r="Q84" s="163"/>
      <c r="R84" s="162"/>
      <c r="S84" s="164">
        <f>TABLAINV[[#This Row],[Conteo Físico]]-TABLAINV[[#This Row],[Cant. UND]]</f>
        <v>0</v>
      </c>
      <c r="T8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4" s="165" t="str">
        <f>IFERROR(IF(MOD(TABLAINV[[#This Row],[C]],2)=0,"PAR","IMPAR"),"Zona")</f>
        <v>IMPAR</v>
      </c>
      <c r="W84" s="166"/>
      <c r="X84" s="167">
        <f>IFERROR(IF(TABLAINV[[#This Row],[Cant. UND]]=0,TABLAINV[[#This Row],[PMV]]*TABLAINV[[#This Row],[Conteo Físico]],TABLAINV[[#This Row],[PMV]]*TABLAINV[[#This Row],[Cant. UND]]),0)</f>
        <v>0</v>
      </c>
      <c r="Y84" s="167">
        <f>IFERROR(ABS(TABLAINV[[#This Row],[PMV]]*TABLAINV[[#This Row],[Diferencia]]),0)</f>
        <v>0</v>
      </c>
      <c r="Z84" s="168">
        <f>IFERROR(VLOOKUP(TABLAINV[[#This Row],[Codigo Estado]],unds!O:P,2,0),"PEND.")</f>
        <v>2001</v>
      </c>
      <c r="AA84" s="168" t="str">
        <f t="shared" si="7"/>
        <v>CD09</v>
      </c>
      <c r="AB84" s="169">
        <f t="shared" ca="1" si="8"/>
        <v>45827</v>
      </c>
      <c r="AC84" s="1"/>
      <c r="AD84" s="1"/>
      <c r="AE84" s="1"/>
      <c r="AF84" s="1"/>
    </row>
    <row r="85" spans="1:32" ht="15" customHeight="1" x14ac:dyDescent="0.2">
      <c r="A85" s="170" t="str">
        <f t="shared" si="6"/>
        <v>MRC01</v>
      </c>
      <c r="B85" s="160" t="str">
        <f>IF(TABLAINV[[#This Row],[Z]]="","",D85&amp;"."&amp;TEXT(E85,"000")&amp;"."&amp;TEXT(F85,"000")&amp;"."&amp;TEXT(G85,"000"))</f>
        <v>MR.C01.116.002</v>
      </c>
      <c r="C85" s="161"/>
      <c r="D85" s="162" t="s">
        <v>95</v>
      </c>
      <c r="E85" s="162" t="s">
        <v>96</v>
      </c>
      <c r="F85" s="162">
        <v>116</v>
      </c>
      <c r="G85" s="162">
        <v>2</v>
      </c>
      <c r="H85" s="162">
        <v>774007</v>
      </c>
      <c r="I85" s="162" t="s">
        <v>186</v>
      </c>
      <c r="J85" s="171">
        <v>2</v>
      </c>
      <c r="K85" s="162" t="s">
        <v>64</v>
      </c>
      <c r="L85" s="163" t="s">
        <v>117</v>
      </c>
      <c r="M85" s="162" t="s">
        <v>99</v>
      </c>
      <c r="N85" s="161" t="s">
        <v>91</v>
      </c>
      <c r="O85" s="161">
        <v>2</v>
      </c>
      <c r="P85" s="163">
        <v>2</v>
      </c>
      <c r="Q85" s="163"/>
      <c r="R85" s="162"/>
      <c r="S85" s="164">
        <f>TABLAINV[[#This Row],[Conteo Físico]]-TABLAINV[[#This Row],[Cant. UND]]</f>
        <v>0</v>
      </c>
      <c r="T8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5" s="165" t="str">
        <f>IFERROR(IF(MOD(TABLAINV[[#This Row],[C]],2)=0,"PAR","IMPAR"),"Zona")</f>
        <v>PAR</v>
      </c>
      <c r="W85" s="166"/>
      <c r="X85" s="167">
        <f>IFERROR(IF(TABLAINV[[#This Row],[Cant. UND]]=0,TABLAINV[[#This Row],[PMV]]*TABLAINV[[#This Row],[Conteo Físico]],TABLAINV[[#This Row],[PMV]]*TABLAINV[[#This Row],[Cant. UND]]),0)</f>
        <v>0</v>
      </c>
      <c r="Y85" s="167">
        <f>IFERROR(ABS(TABLAINV[[#This Row],[PMV]]*TABLAINV[[#This Row],[Diferencia]]),0)</f>
        <v>0</v>
      </c>
      <c r="Z85" s="168">
        <f>IFERROR(VLOOKUP(TABLAINV[[#This Row],[Codigo Estado]],unds!O:P,2,0),"PEND.")</f>
        <v>2001</v>
      </c>
      <c r="AA85" s="168" t="str">
        <f t="shared" si="7"/>
        <v>CD09</v>
      </c>
      <c r="AB85" s="169">
        <f t="shared" ca="1" si="8"/>
        <v>45827</v>
      </c>
      <c r="AC85" s="1"/>
      <c r="AD85" s="1"/>
      <c r="AE85" s="1"/>
      <c r="AF85" s="1"/>
    </row>
    <row r="86" spans="1:32" ht="15" customHeight="1" x14ac:dyDescent="0.2">
      <c r="A86" s="170" t="str">
        <f t="shared" si="6"/>
        <v>MRC01</v>
      </c>
      <c r="B86" s="160" t="str">
        <f>IF(TABLAINV[[#This Row],[Z]]="","",D86&amp;"."&amp;TEXT(E86,"000")&amp;"."&amp;TEXT(F86,"000")&amp;"."&amp;TEXT(G86,"000"))</f>
        <v>MR.C01.117.001</v>
      </c>
      <c r="C86" s="161"/>
      <c r="D86" s="162" t="s">
        <v>95</v>
      </c>
      <c r="E86" s="162" t="s">
        <v>96</v>
      </c>
      <c r="F86" s="162">
        <v>117</v>
      </c>
      <c r="G86" s="162">
        <v>1</v>
      </c>
      <c r="H86" s="162">
        <v>40596</v>
      </c>
      <c r="I86" s="162" t="s">
        <v>187</v>
      </c>
      <c r="J86" s="171">
        <v>3</v>
      </c>
      <c r="K86" s="162" t="s">
        <v>64</v>
      </c>
      <c r="L86" s="163" t="s">
        <v>115</v>
      </c>
      <c r="M86" s="162" t="s">
        <v>99</v>
      </c>
      <c r="N86" s="161" t="s">
        <v>91</v>
      </c>
      <c r="O86" s="161">
        <v>3</v>
      </c>
      <c r="P86" s="163">
        <v>3</v>
      </c>
      <c r="Q86" s="163"/>
      <c r="R86" s="162"/>
      <c r="S86" s="164">
        <f>TABLAINV[[#This Row],[Conteo Físico]]-TABLAINV[[#This Row],[Cant. UND]]</f>
        <v>0</v>
      </c>
      <c r="T8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6" s="165" t="str">
        <f>IFERROR(IF(MOD(TABLAINV[[#This Row],[C]],2)=0,"PAR","IMPAR"),"Zona")</f>
        <v>IMPAR</v>
      </c>
      <c r="W86" s="166"/>
      <c r="X86" s="167">
        <f>IFERROR(IF(TABLAINV[[#This Row],[Cant. UND]]=0,TABLAINV[[#This Row],[PMV]]*TABLAINV[[#This Row],[Conteo Físico]],TABLAINV[[#This Row],[PMV]]*TABLAINV[[#This Row],[Cant. UND]]),0)</f>
        <v>0</v>
      </c>
      <c r="Y86" s="167">
        <f>IFERROR(ABS(TABLAINV[[#This Row],[PMV]]*TABLAINV[[#This Row],[Diferencia]]),0)</f>
        <v>0</v>
      </c>
      <c r="Z86" s="168">
        <f>IFERROR(VLOOKUP(TABLAINV[[#This Row],[Codigo Estado]],unds!O:P,2,0),"PEND.")</f>
        <v>2001</v>
      </c>
      <c r="AA86" s="168" t="str">
        <f t="shared" si="7"/>
        <v>CD09</v>
      </c>
      <c r="AB86" s="169">
        <f t="shared" ca="1" si="8"/>
        <v>45827</v>
      </c>
      <c r="AC86" s="1"/>
      <c r="AD86" s="1"/>
      <c r="AE86" s="1"/>
      <c r="AF86" s="1"/>
    </row>
    <row r="87" spans="1:32" ht="15" customHeight="1" x14ac:dyDescent="0.2">
      <c r="A87" s="170" t="str">
        <f t="shared" si="6"/>
        <v>MRC01</v>
      </c>
      <c r="B87" s="160" t="str">
        <f>IF(TABLAINV[[#This Row],[Z]]="","",D87&amp;"."&amp;TEXT(E87,"000")&amp;"."&amp;TEXT(F87,"000")&amp;"."&amp;TEXT(G87,"000"))</f>
        <v>MR.C01.117.002</v>
      </c>
      <c r="C87" s="161"/>
      <c r="D87" s="162" t="s">
        <v>95</v>
      </c>
      <c r="E87" s="162" t="s">
        <v>96</v>
      </c>
      <c r="F87" s="162">
        <v>117</v>
      </c>
      <c r="G87" s="162">
        <v>2</v>
      </c>
      <c r="H87" s="162">
        <v>451975</v>
      </c>
      <c r="I87" s="162" t="s">
        <v>188</v>
      </c>
      <c r="J87" s="171">
        <v>12</v>
      </c>
      <c r="K87" s="162" t="s">
        <v>64</v>
      </c>
      <c r="L87" s="163" t="s">
        <v>115</v>
      </c>
      <c r="M87" s="162" t="s">
        <v>99</v>
      </c>
      <c r="N87" s="161" t="s">
        <v>91</v>
      </c>
      <c r="O87" s="161">
        <v>12</v>
      </c>
      <c r="P87" s="163">
        <v>12</v>
      </c>
      <c r="Q87" s="163"/>
      <c r="R87" s="162"/>
      <c r="S87" s="164">
        <f>TABLAINV[[#This Row],[Conteo Físico]]-TABLAINV[[#This Row],[Cant. UND]]</f>
        <v>0</v>
      </c>
      <c r="T8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7" s="165" t="str">
        <f>IFERROR(IF(MOD(TABLAINV[[#This Row],[C]],2)=0,"PAR","IMPAR"),"Zona")</f>
        <v>IMPAR</v>
      </c>
      <c r="W87" s="166"/>
      <c r="X87" s="167">
        <f>IFERROR(IF(TABLAINV[[#This Row],[Cant. UND]]=0,TABLAINV[[#This Row],[PMV]]*TABLAINV[[#This Row],[Conteo Físico]],TABLAINV[[#This Row],[PMV]]*TABLAINV[[#This Row],[Cant. UND]]),0)</f>
        <v>0</v>
      </c>
      <c r="Y87" s="167">
        <f>IFERROR(ABS(TABLAINV[[#This Row],[PMV]]*TABLAINV[[#This Row],[Diferencia]]),0)</f>
        <v>0</v>
      </c>
      <c r="Z87" s="168">
        <f>IFERROR(VLOOKUP(TABLAINV[[#This Row],[Codigo Estado]],unds!O:P,2,0),"PEND.")</f>
        <v>2001</v>
      </c>
      <c r="AA87" s="168" t="str">
        <f t="shared" si="7"/>
        <v>CD09</v>
      </c>
      <c r="AB87" s="169">
        <f t="shared" ca="1" si="8"/>
        <v>45827</v>
      </c>
      <c r="AC87" s="1"/>
      <c r="AD87" s="1"/>
      <c r="AE87" s="1"/>
      <c r="AF87" s="1"/>
    </row>
    <row r="88" spans="1:32" ht="15" customHeight="1" x14ac:dyDescent="0.2">
      <c r="A88" s="170" t="str">
        <f t="shared" si="6"/>
        <v>MRC01</v>
      </c>
      <c r="B88" s="160" t="str">
        <f>IF(TABLAINV[[#This Row],[Z]]="","",D88&amp;"."&amp;TEXT(E88,"000")&amp;"."&amp;TEXT(F88,"000")&amp;"."&amp;TEXT(G88,"000"))</f>
        <v>MR.C01.119.001</v>
      </c>
      <c r="C88" s="161"/>
      <c r="D88" s="162" t="s">
        <v>95</v>
      </c>
      <c r="E88" s="162" t="s">
        <v>96</v>
      </c>
      <c r="F88" s="162">
        <v>119</v>
      </c>
      <c r="G88" s="162">
        <v>1</v>
      </c>
      <c r="H88" s="162">
        <v>1031961</v>
      </c>
      <c r="I88" s="162" t="s">
        <v>189</v>
      </c>
      <c r="J88" s="171">
        <v>18</v>
      </c>
      <c r="K88" s="162" t="s">
        <v>64</v>
      </c>
      <c r="L88" s="163" t="s">
        <v>98</v>
      </c>
      <c r="M88" s="162" t="s">
        <v>99</v>
      </c>
      <c r="N88" s="161" t="s">
        <v>91</v>
      </c>
      <c r="O88" s="161">
        <v>18</v>
      </c>
      <c r="P88" s="163">
        <v>18</v>
      </c>
      <c r="Q88" s="163"/>
      <c r="R88" s="162"/>
      <c r="S88" s="164">
        <f>TABLAINV[[#This Row],[Conteo Físico]]-TABLAINV[[#This Row],[Cant. UND]]</f>
        <v>0</v>
      </c>
      <c r="T8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8" s="165" t="str">
        <f>IFERROR(IF(MOD(TABLAINV[[#This Row],[C]],2)=0,"PAR","IMPAR"),"Zona")</f>
        <v>IMPAR</v>
      </c>
      <c r="W88" s="166"/>
      <c r="X88" s="167">
        <f>IFERROR(IF(TABLAINV[[#This Row],[Cant. UND]]=0,TABLAINV[[#This Row],[PMV]]*TABLAINV[[#This Row],[Conteo Físico]],TABLAINV[[#This Row],[PMV]]*TABLAINV[[#This Row],[Cant. UND]]),0)</f>
        <v>0</v>
      </c>
      <c r="Y88" s="167">
        <f>IFERROR(ABS(TABLAINV[[#This Row],[PMV]]*TABLAINV[[#This Row],[Diferencia]]),0)</f>
        <v>0</v>
      </c>
      <c r="Z88" s="168">
        <f>IFERROR(VLOOKUP(TABLAINV[[#This Row],[Codigo Estado]],unds!O:P,2,0),"PEND.")</f>
        <v>2001</v>
      </c>
      <c r="AA88" s="168" t="str">
        <f t="shared" si="7"/>
        <v>CD09</v>
      </c>
      <c r="AB88" s="169">
        <f t="shared" ca="1" si="8"/>
        <v>45827</v>
      </c>
      <c r="AC88" s="1"/>
      <c r="AD88" s="1"/>
      <c r="AE88" s="1"/>
      <c r="AF88" s="1"/>
    </row>
    <row r="89" spans="1:32" ht="15" customHeight="1" x14ac:dyDescent="0.2">
      <c r="A89" s="170" t="str">
        <f t="shared" si="6"/>
        <v>MRC01</v>
      </c>
      <c r="B89" s="160" t="str">
        <f>IF(TABLAINV[[#This Row],[Z]]="","",D89&amp;"."&amp;TEXT(E89,"000")&amp;"."&amp;TEXT(F89,"000")&amp;"."&amp;TEXT(G89,"000"))</f>
        <v>MR.C01.119.002</v>
      </c>
      <c r="C89" s="161"/>
      <c r="D89" s="162" t="s">
        <v>95</v>
      </c>
      <c r="E89" s="162" t="s">
        <v>96</v>
      </c>
      <c r="F89" s="162">
        <v>119</v>
      </c>
      <c r="G89" s="162">
        <v>2</v>
      </c>
      <c r="H89" s="162">
        <v>464457</v>
      </c>
      <c r="I89" s="162" t="s">
        <v>190</v>
      </c>
      <c r="J89" s="171">
        <v>5</v>
      </c>
      <c r="K89" s="162" t="s">
        <v>64</v>
      </c>
      <c r="L89" s="163" t="s">
        <v>184</v>
      </c>
      <c r="M89" s="162" t="s">
        <v>99</v>
      </c>
      <c r="N89" s="161" t="s">
        <v>91</v>
      </c>
      <c r="O89" s="161">
        <v>5</v>
      </c>
      <c r="P89" s="163">
        <v>5</v>
      </c>
      <c r="Q89" s="163"/>
      <c r="R89" s="162"/>
      <c r="S89" s="164">
        <f>TABLAINV[[#This Row],[Conteo Físico]]-TABLAINV[[#This Row],[Cant. UND]]</f>
        <v>0</v>
      </c>
      <c r="T8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8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89" s="165" t="str">
        <f>IFERROR(IF(MOD(TABLAINV[[#This Row],[C]],2)=0,"PAR","IMPAR"),"Zona")</f>
        <v>IMPAR</v>
      </c>
      <c r="W89" s="166"/>
      <c r="X89" s="167">
        <f>IFERROR(IF(TABLAINV[[#This Row],[Cant. UND]]=0,TABLAINV[[#This Row],[PMV]]*TABLAINV[[#This Row],[Conteo Físico]],TABLAINV[[#This Row],[PMV]]*TABLAINV[[#This Row],[Cant. UND]]),0)</f>
        <v>0</v>
      </c>
      <c r="Y89" s="167">
        <f>IFERROR(ABS(TABLAINV[[#This Row],[PMV]]*TABLAINV[[#This Row],[Diferencia]]),0)</f>
        <v>0</v>
      </c>
      <c r="Z89" s="168">
        <f>IFERROR(VLOOKUP(TABLAINV[[#This Row],[Codigo Estado]],unds!O:P,2,0),"PEND.")</f>
        <v>2001</v>
      </c>
      <c r="AA89" s="168" t="str">
        <f t="shared" si="7"/>
        <v>CD09</v>
      </c>
      <c r="AB89" s="169">
        <f t="shared" ca="1" si="8"/>
        <v>45827</v>
      </c>
      <c r="AC89" s="1"/>
      <c r="AD89" s="1"/>
      <c r="AE89" s="1"/>
      <c r="AF89" s="1"/>
    </row>
    <row r="90" spans="1:32" ht="15" customHeight="1" x14ac:dyDescent="0.2">
      <c r="A90" s="170" t="str">
        <f t="shared" si="6"/>
        <v>MRC01</v>
      </c>
      <c r="B90" s="160" t="str">
        <f>IF(TABLAINV[[#This Row],[Z]]="","",D90&amp;"."&amp;TEXT(E90,"000")&amp;"."&amp;TEXT(F90,"000")&amp;"."&amp;TEXT(G90,"000"))</f>
        <v>MR.C01.120.002</v>
      </c>
      <c r="C90" s="161"/>
      <c r="D90" s="162" t="s">
        <v>95</v>
      </c>
      <c r="E90" s="162" t="s">
        <v>96</v>
      </c>
      <c r="F90" s="162">
        <v>120</v>
      </c>
      <c r="G90" s="162">
        <v>2</v>
      </c>
      <c r="H90" s="162">
        <v>892487</v>
      </c>
      <c r="I90" s="162" t="s">
        <v>191</v>
      </c>
      <c r="J90" s="171">
        <v>4</v>
      </c>
      <c r="K90" s="162" t="s">
        <v>64</v>
      </c>
      <c r="L90" s="163" t="s">
        <v>115</v>
      </c>
      <c r="M90" s="162" t="s">
        <v>99</v>
      </c>
      <c r="N90" s="161" t="s">
        <v>91</v>
      </c>
      <c r="O90" s="161">
        <v>4</v>
      </c>
      <c r="P90" s="163">
        <v>4</v>
      </c>
      <c r="Q90" s="163"/>
      <c r="R90" s="162"/>
      <c r="S90" s="164">
        <f>TABLAINV[[#This Row],[Conteo Físico]]-TABLAINV[[#This Row],[Cant. UND]]</f>
        <v>0</v>
      </c>
      <c r="T9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0" s="165" t="str">
        <f>IFERROR(IF(MOD(TABLAINV[[#This Row],[C]],2)=0,"PAR","IMPAR"),"Zona")</f>
        <v>PAR</v>
      </c>
      <c r="W90" s="166"/>
      <c r="X90" s="167">
        <f>IFERROR(IF(TABLAINV[[#This Row],[Cant. UND]]=0,TABLAINV[[#This Row],[PMV]]*TABLAINV[[#This Row],[Conteo Físico]],TABLAINV[[#This Row],[PMV]]*TABLAINV[[#This Row],[Cant. UND]]),0)</f>
        <v>0</v>
      </c>
      <c r="Y90" s="167">
        <f>IFERROR(ABS(TABLAINV[[#This Row],[PMV]]*TABLAINV[[#This Row],[Diferencia]]),0)</f>
        <v>0</v>
      </c>
      <c r="Z90" s="168">
        <f>IFERROR(VLOOKUP(TABLAINV[[#This Row],[Codigo Estado]],unds!O:P,2,0),"PEND.")</f>
        <v>2001</v>
      </c>
      <c r="AA90" s="168" t="str">
        <f t="shared" si="7"/>
        <v>CD09</v>
      </c>
      <c r="AB90" s="169">
        <f t="shared" ca="1" si="8"/>
        <v>45827</v>
      </c>
      <c r="AC90" s="1"/>
      <c r="AD90" s="1"/>
      <c r="AE90" s="1"/>
      <c r="AF90" s="1"/>
    </row>
    <row r="91" spans="1:32" ht="15" customHeight="1" x14ac:dyDescent="0.2">
      <c r="A91" s="170" t="str">
        <f t="shared" si="6"/>
        <v>MRC01</v>
      </c>
      <c r="B91" s="160" t="str">
        <f>IF(TABLAINV[[#This Row],[Z]]="","",D91&amp;"."&amp;TEXT(E91,"000")&amp;"."&amp;TEXT(F91,"000")&amp;"."&amp;TEXT(G91,"000"))</f>
        <v>MR.C01.121.002</v>
      </c>
      <c r="C91" s="161"/>
      <c r="D91" s="162" t="s">
        <v>95</v>
      </c>
      <c r="E91" s="162" t="s">
        <v>96</v>
      </c>
      <c r="F91" s="162">
        <v>121</v>
      </c>
      <c r="G91" s="162">
        <v>2</v>
      </c>
      <c r="H91" s="162">
        <v>342607</v>
      </c>
      <c r="I91" s="162" t="s">
        <v>126</v>
      </c>
      <c r="J91" s="171">
        <v>6</v>
      </c>
      <c r="K91" s="162" t="s">
        <v>64</v>
      </c>
      <c r="L91" s="163" t="s">
        <v>113</v>
      </c>
      <c r="M91" s="162" t="s">
        <v>99</v>
      </c>
      <c r="N91" s="161" t="s">
        <v>91</v>
      </c>
      <c r="O91" s="161">
        <v>6</v>
      </c>
      <c r="P91" s="163">
        <v>6</v>
      </c>
      <c r="Q91" s="163"/>
      <c r="R91" s="162"/>
      <c r="S91" s="164">
        <f>TABLAINV[[#This Row],[Conteo Físico]]-TABLAINV[[#This Row],[Cant. UND]]</f>
        <v>0</v>
      </c>
      <c r="T9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1" s="165" t="str">
        <f>IFERROR(IF(MOD(TABLAINV[[#This Row],[C]],2)=0,"PAR","IMPAR"),"Zona")</f>
        <v>IMPAR</v>
      </c>
      <c r="W91" s="166"/>
      <c r="X91" s="167">
        <f>IFERROR(IF(TABLAINV[[#This Row],[Cant. UND]]=0,TABLAINV[[#This Row],[PMV]]*TABLAINV[[#This Row],[Conteo Físico]],TABLAINV[[#This Row],[PMV]]*TABLAINV[[#This Row],[Cant. UND]]),0)</f>
        <v>0</v>
      </c>
      <c r="Y91" s="167">
        <f>IFERROR(ABS(TABLAINV[[#This Row],[PMV]]*TABLAINV[[#This Row],[Diferencia]]),0)</f>
        <v>0</v>
      </c>
      <c r="Z91" s="168">
        <f>IFERROR(VLOOKUP(TABLAINV[[#This Row],[Codigo Estado]],unds!O:P,2,0),"PEND.")</f>
        <v>2001</v>
      </c>
      <c r="AA91" s="168" t="str">
        <f t="shared" si="7"/>
        <v>CD09</v>
      </c>
      <c r="AB91" s="169">
        <f t="shared" ca="1" si="8"/>
        <v>45827</v>
      </c>
      <c r="AC91" s="1"/>
      <c r="AD91" s="1"/>
      <c r="AE91" s="1"/>
      <c r="AF91" s="1"/>
    </row>
    <row r="92" spans="1:32" ht="15" customHeight="1" x14ac:dyDescent="0.2">
      <c r="A92" s="170" t="str">
        <f t="shared" si="6"/>
        <v>MRC01</v>
      </c>
      <c r="B92" s="160" t="str">
        <f>IF(TABLAINV[[#This Row],[Z]]="","",D92&amp;"."&amp;TEXT(E92,"000")&amp;"."&amp;TEXT(F92,"000")&amp;"."&amp;TEXT(G92,"000"))</f>
        <v>MR.C01.122.001</v>
      </c>
      <c r="C92" s="161"/>
      <c r="D92" s="162" t="s">
        <v>95</v>
      </c>
      <c r="E92" s="162" t="s">
        <v>96</v>
      </c>
      <c r="F92" s="162">
        <v>122</v>
      </c>
      <c r="G92" s="162">
        <v>1</v>
      </c>
      <c r="H92" s="162">
        <v>543529</v>
      </c>
      <c r="I92" s="162" t="s">
        <v>192</v>
      </c>
      <c r="J92" s="171">
        <v>12</v>
      </c>
      <c r="K92" s="162" t="s">
        <v>64</v>
      </c>
      <c r="L92" s="163" t="s">
        <v>115</v>
      </c>
      <c r="M92" s="162" t="s">
        <v>99</v>
      </c>
      <c r="N92" s="161" t="s">
        <v>91</v>
      </c>
      <c r="O92" s="161">
        <v>12</v>
      </c>
      <c r="P92" s="163">
        <v>12</v>
      </c>
      <c r="Q92" s="163"/>
      <c r="R92" s="162"/>
      <c r="S92" s="164">
        <f>TABLAINV[[#This Row],[Conteo Físico]]-TABLAINV[[#This Row],[Cant. UND]]</f>
        <v>0</v>
      </c>
      <c r="T9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2" s="165" t="str">
        <f>IFERROR(IF(MOD(TABLAINV[[#This Row],[C]],2)=0,"PAR","IMPAR"),"Zona")</f>
        <v>PAR</v>
      </c>
      <c r="W92" s="166"/>
      <c r="X92" s="167">
        <f>IFERROR(IF(TABLAINV[[#This Row],[Cant. UND]]=0,TABLAINV[[#This Row],[PMV]]*TABLAINV[[#This Row],[Conteo Físico]],TABLAINV[[#This Row],[PMV]]*TABLAINV[[#This Row],[Cant. UND]]),0)</f>
        <v>0</v>
      </c>
      <c r="Y92" s="167">
        <f>IFERROR(ABS(TABLAINV[[#This Row],[PMV]]*TABLAINV[[#This Row],[Diferencia]]),0)</f>
        <v>0</v>
      </c>
      <c r="Z92" s="168">
        <f>IFERROR(VLOOKUP(TABLAINV[[#This Row],[Codigo Estado]],unds!O:P,2,0),"PEND.")</f>
        <v>2001</v>
      </c>
      <c r="AA92" s="168" t="str">
        <f t="shared" si="7"/>
        <v>CD09</v>
      </c>
      <c r="AB92" s="169">
        <f t="shared" ca="1" si="8"/>
        <v>45827</v>
      </c>
      <c r="AC92" s="1"/>
      <c r="AD92" s="1"/>
      <c r="AE92" s="1"/>
      <c r="AF92" s="1"/>
    </row>
    <row r="93" spans="1:32" ht="15" customHeight="1" x14ac:dyDescent="0.2">
      <c r="A93" s="170" t="str">
        <f t="shared" si="6"/>
        <v>MRC01</v>
      </c>
      <c r="B93" s="160" t="str">
        <f>IF(TABLAINV[[#This Row],[Z]]="","",D93&amp;"."&amp;TEXT(E93,"000")&amp;"."&amp;TEXT(F93,"000")&amp;"."&amp;TEXT(G93,"000"))</f>
        <v>MR.C01.122.002</v>
      </c>
      <c r="C93" s="161"/>
      <c r="D93" s="162" t="s">
        <v>95</v>
      </c>
      <c r="E93" s="162" t="s">
        <v>96</v>
      </c>
      <c r="F93" s="162">
        <v>122</v>
      </c>
      <c r="G93" s="162">
        <v>2</v>
      </c>
      <c r="H93" s="162">
        <v>560871</v>
      </c>
      <c r="I93" s="162" t="s">
        <v>193</v>
      </c>
      <c r="J93" s="171">
        <v>18</v>
      </c>
      <c r="K93" s="162" t="s">
        <v>64</v>
      </c>
      <c r="L93" s="163" t="s">
        <v>98</v>
      </c>
      <c r="M93" s="162" t="s">
        <v>99</v>
      </c>
      <c r="N93" s="161" t="s">
        <v>91</v>
      </c>
      <c r="O93" s="161">
        <v>18</v>
      </c>
      <c r="P93" s="163">
        <v>18</v>
      </c>
      <c r="Q93" s="163"/>
      <c r="R93" s="162"/>
      <c r="S93" s="164">
        <f>TABLAINV[[#This Row],[Conteo Físico]]-TABLAINV[[#This Row],[Cant. UND]]</f>
        <v>0</v>
      </c>
      <c r="T9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3" s="165" t="str">
        <f>IFERROR(IF(MOD(TABLAINV[[#This Row],[C]],2)=0,"PAR","IMPAR"),"Zona")</f>
        <v>PAR</v>
      </c>
      <c r="W93" s="166"/>
      <c r="X93" s="167">
        <f>IFERROR(IF(TABLAINV[[#This Row],[Cant. UND]]=0,TABLAINV[[#This Row],[PMV]]*TABLAINV[[#This Row],[Conteo Físico]],TABLAINV[[#This Row],[PMV]]*TABLAINV[[#This Row],[Cant. UND]]),0)</f>
        <v>0</v>
      </c>
      <c r="Y93" s="167">
        <f>IFERROR(ABS(TABLAINV[[#This Row],[PMV]]*TABLAINV[[#This Row],[Diferencia]]),0)</f>
        <v>0</v>
      </c>
      <c r="Z93" s="168">
        <f>IFERROR(VLOOKUP(TABLAINV[[#This Row],[Codigo Estado]],unds!O:P,2,0),"PEND.")</f>
        <v>2001</v>
      </c>
      <c r="AA93" s="168" t="str">
        <f t="shared" si="7"/>
        <v>CD09</v>
      </c>
      <c r="AB93" s="169">
        <f t="shared" ca="1" si="8"/>
        <v>45827</v>
      </c>
      <c r="AC93" s="1"/>
      <c r="AD93" s="1"/>
      <c r="AE93" s="1"/>
      <c r="AF93" s="1"/>
    </row>
    <row r="94" spans="1:32" ht="15" customHeight="1" x14ac:dyDescent="0.2">
      <c r="A94" s="170" t="str">
        <f t="shared" si="6"/>
        <v>MRC01</v>
      </c>
      <c r="B94" s="160" t="str">
        <f>IF(TABLAINV[[#This Row],[Z]]="","",D94&amp;"."&amp;TEXT(E94,"000")&amp;"."&amp;TEXT(F94,"000")&amp;"."&amp;TEXT(G94,"000"))</f>
        <v>MR.C01.123.001</v>
      </c>
      <c r="C94" s="161"/>
      <c r="D94" s="162" t="s">
        <v>95</v>
      </c>
      <c r="E94" s="162" t="s">
        <v>96</v>
      </c>
      <c r="F94" s="162">
        <v>123</v>
      </c>
      <c r="G94" s="162">
        <v>1</v>
      </c>
      <c r="H94" s="162">
        <v>112569</v>
      </c>
      <c r="I94" s="162" t="s">
        <v>124</v>
      </c>
      <c r="J94" s="171">
        <v>96</v>
      </c>
      <c r="K94" s="162" t="s">
        <v>64</v>
      </c>
      <c r="L94" s="163" t="s">
        <v>125</v>
      </c>
      <c r="M94" s="162" t="s">
        <v>99</v>
      </c>
      <c r="N94" s="161" t="s">
        <v>91</v>
      </c>
      <c r="O94" s="161">
        <v>96</v>
      </c>
      <c r="P94" s="163">
        <v>96</v>
      </c>
      <c r="Q94" s="163"/>
      <c r="R94" s="162"/>
      <c r="S94" s="164">
        <f>TABLAINV[[#This Row],[Conteo Físico]]-TABLAINV[[#This Row],[Cant. UND]]</f>
        <v>0</v>
      </c>
      <c r="T9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4" s="165" t="str">
        <f>IFERROR(IF(MOD(TABLAINV[[#This Row],[C]],2)=0,"PAR","IMPAR"),"Zona")</f>
        <v>IMPAR</v>
      </c>
      <c r="W94" s="166"/>
      <c r="X94" s="167">
        <f>IFERROR(IF(TABLAINV[[#This Row],[Cant. UND]]=0,TABLAINV[[#This Row],[PMV]]*TABLAINV[[#This Row],[Conteo Físico]],TABLAINV[[#This Row],[PMV]]*TABLAINV[[#This Row],[Cant. UND]]),0)</f>
        <v>0</v>
      </c>
      <c r="Y94" s="167">
        <f>IFERROR(ABS(TABLAINV[[#This Row],[PMV]]*TABLAINV[[#This Row],[Diferencia]]),0)</f>
        <v>0</v>
      </c>
      <c r="Z94" s="168">
        <f>IFERROR(VLOOKUP(TABLAINV[[#This Row],[Codigo Estado]],unds!O:P,2,0),"PEND.")</f>
        <v>2001</v>
      </c>
      <c r="AA94" s="168" t="str">
        <f t="shared" si="7"/>
        <v>CD09</v>
      </c>
      <c r="AB94" s="169">
        <f t="shared" ca="1" si="8"/>
        <v>45827</v>
      </c>
      <c r="AC94" s="1"/>
      <c r="AD94" s="1"/>
      <c r="AE94" s="1"/>
      <c r="AF94" s="1"/>
    </row>
    <row r="95" spans="1:32" ht="15" customHeight="1" x14ac:dyDescent="0.2">
      <c r="A95" s="170" t="str">
        <f t="shared" si="6"/>
        <v>MRC01</v>
      </c>
      <c r="B95" s="160" t="str">
        <f>IF(TABLAINV[[#This Row],[Z]]="","",D95&amp;"."&amp;TEXT(E95,"000")&amp;"."&amp;TEXT(F95,"000")&amp;"."&amp;TEXT(G95,"000"))</f>
        <v>MR.C01.123.002</v>
      </c>
      <c r="C95" s="161"/>
      <c r="D95" s="162" t="s">
        <v>95</v>
      </c>
      <c r="E95" s="162" t="s">
        <v>96</v>
      </c>
      <c r="F95" s="162">
        <v>123</v>
      </c>
      <c r="G95" s="162">
        <v>2</v>
      </c>
      <c r="H95" s="162">
        <v>1016133</v>
      </c>
      <c r="I95" s="162" t="s">
        <v>168</v>
      </c>
      <c r="J95" s="171">
        <v>1</v>
      </c>
      <c r="K95" s="162" t="s">
        <v>64</v>
      </c>
      <c r="L95" s="163" t="s">
        <v>98</v>
      </c>
      <c r="M95" s="162" t="s">
        <v>99</v>
      </c>
      <c r="N95" s="161" t="s">
        <v>91</v>
      </c>
      <c r="O95" s="161">
        <v>1</v>
      </c>
      <c r="P95" s="163">
        <v>1</v>
      </c>
      <c r="Q95" s="163"/>
      <c r="R95" s="162"/>
      <c r="S95" s="164">
        <f>TABLAINV[[#This Row],[Conteo Físico]]-TABLAINV[[#This Row],[Cant. UND]]</f>
        <v>0</v>
      </c>
      <c r="T9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5" s="165" t="str">
        <f>IFERROR(IF(MOD(TABLAINV[[#This Row],[C]],2)=0,"PAR","IMPAR"),"Zona")</f>
        <v>IMPAR</v>
      </c>
      <c r="W95" s="166"/>
      <c r="X95" s="167">
        <f>IFERROR(IF(TABLAINV[[#This Row],[Cant. UND]]=0,TABLAINV[[#This Row],[PMV]]*TABLAINV[[#This Row],[Conteo Físico]],TABLAINV[[#This Row],[PMV]]*TABLAINV[[#This Row],[Cant. UND]]),0)</f>
        <v>0</v>
      </c>
      <c r="Y95" s="167">
        <f>IFERROR(ABS(TABLAINV[[#This Row],[PMV]]*TABLAINV[[#This Row],[Diferencia]]),0)</f>
        <v>0</v>
      </c>
      <c r="Z95" s="168">
        <f>IFERROR(VLOOKUP(TABLAINV[[#This Row],[Codigo Estado]],unds!O:P,2,0),"PEND.")</f>
        <v>2001</v>
      </c>
      <c r="AA95" s="168" t="str">
        <f t="shared" si="7"/>
        <v>CD09</v>
      </c>
      <c r="AB95" s="169">
        <f t="shared" ca="1" si="8"/>
        <v>45827</v>
      </c>
      <c r="AC95" s="1"/>
      <c r="AD95" s="1"/>
      <c r="AE95" s="1"/>
      <c r="AF95" s="1"/>
    </row>
    <row r="96" spans="1:32" ht="15" customHeight="1" x14ac:dyDescent="0.2">
      <c r="A96" s="170" t="str">
        <f t="shared" si="6"/>
        <v>MRC01</v>
      </c>
      <c r="B96" s="160" t="str">
        <f>IF(TABLAINV[[#This Row],[Z]]="","",D96&amp;"."&amp;TEXT(E96,"000")&amp;"."&amp;TEXT(F96,"000")&amp;"."&amp;TEXT(G96,"000"))</f>
        <v>MR.C01.123.002</v>
      </c>
      <c r="C96" s="161"/>
      <c r="D96" s="162" t="s">
        <v>95</v>
      </c>
      <c r="E96" s="162" t="s">
        <v>96</v>
      </c>
      <c r="F96" s="162">
        <v>123</v>
      </c>
      <c r="G96" s="162">
        <v>2</v>
      </c>
      <c r="H96" s="162">
        <v>59505001</v>
      </c>
      <c r="I96" s="162" t="s">
        <v>194</v>
      </c>
      <c r="J96" s="171">
        <v>11</v>
      </c>
      <c r="K96" s="162" t="s">
        <v>64</v>
      </c>
      <c r="L96" s="163" t="s">
        <v>98</v>
      </c>
      <c r="M96" s="162" t="s">
        <v>99</v>
      </c>
      <c r="N96" s="161" t="s">
        <v>91</v>
      </c>
      <c r="O96" s="161">
        <v>11</v>
      </c>
      <c r="P96" s="163">
        <v>11</v>
      </c>
      <c r="Q96" s="163"/>
      <c r="R96" s="162"/>
      <c r="S96" s="164">
        <f>TABLAINV[[#This Row],[Conteo Físico]]-TABLAINV[[#This Row],[Cant. UND]]</f>
        <v>0</v>
      </c>
      <c r="T9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6" s="165" t="str">
        <f>IFERROR(IF(MOD(TABLAINV[[#This Row],[C]],2)=0,"PAR","IMPAR"),"Zona")</f>
        <v>IMPAR</v>
      </c>
      <c r="W96" s="166"/>
      <c r="X96" s="167">
        <f>IFERROR(IF(TABLAINV[[#This Row],[Cant. UND]]=0,TABLAINV[[#This Row],[PMV]]*TABLAINV[[#This Row],[Conteo Físico]],TABLAINV[[#This Row],[PMV]]*TABLAINV[[#This Row],[Cant. UND]]),0)</f>
        <v>0</v>
      </c>
      <c r="Y96" s="167">
        <f>IFERROR(ABS(TABLAINV[[#This Row],[PMV]]*TABLAINV[[#This Row],[Diferencia]]),0)</f>
        <v>0</v>
      </c>
      <c r="Z96" s="168">
        <f>IFERROR(VLOOKUP(TABLAINV[[#This Row],[Codigo Estado]],unds!O:P,2,0),"PEND.")</f>
        <v>2001</v>
      </c>
      <c r="AA96" s="168" t="str">
        <f t="shared" si="7"/>
        <v>CD09</v>
      </c>
      <c r="AB96" s="169">
        <f t="shared" ca="1" si="8"/>
        <v>45827</v>
      </c>
      <c r="AC96" s="1"/>
      <c r="AD96" s="1"/>
      <c r="AE96" s="1"/>
      <c r="AF96" s="1"/>
    </row>
    <row r="97" spans="1:32" ht="15" customHeight="1" x14ac:dyDescent="0.2">
      <c r="A97" s="170" t="str">
        <f t="shared" si="6"/>
        <v>MRC01</v>
      </c>
      <c r="B97" s="160" t="str">
        <f>IF(TABLAINV[[#This Row],[Z]]="","",D97&amp;"."&amp;TEXT(E97,"000")&amp;"."&amp;TEXT(F97,"000")&amp;"."&amp;TEXT(G97,"000"))</f>
        <v>MR.C01.124.002</v>
      </c>
      <c r="C97" s="161"/>
      <c r="D97" s="162" t="s">
        <v>95</v>
      </c>
      <c r="E97" s="162" t="s">
        <v>96</v>
      </c>
      <c r="F97" s="162">
        <v>124</v>
      </c>
      <c r="G97" s="162">
        <v>2</v>
      </c>
      <c r="H97" s="162">
        <v>1031962</v>
      </c>
      <c r="I97" s="162" t="s">
        <v>195</v>
      </c>
      <c r="J97" s="171">
        <v>18</v>
      </c>
      <c r="K97" s="162" t="s">
        <v>64</v>
      </c>
      <c r="L97" s="163" t="s">
        <v>98</v>
      </c>
      <c r="M97" s="162" t="s">
        <v>99</v>
      </c>
      <c r="N97" s="161" t="s">
        <v>91</v>
      </c>
      <c r="O97" s="161">
        <v>18</v>
      </c>
      <c r="P97" s="163">
        <v>18</v>
      </c>
      <c r="Q97" s="163"/>
      <c r="R97" s="162"/>
      <c r="S97" s="164">
        <f>TABLAINV[[#This Row],[Conteo Físico]]-TABLAINV[[#This Row],[Cant. UND]]</f>
        <v>0</v>
      </c>
      <c r="T9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7" s="165" t="str">
        <f>IFERROR(IF(MOD(TABLAINV[[#This Row],[C]],2)=0,"PAR","IMPAR"),"Zona")</f>
        <v>PAR</v>
      </c>
      <c r="W97" s="166"/>
      <c r="X97" s="167">
        <f>IFERROR(IF(TABLAINV[[#This Row],[Cant. UND]]=0,TABLAINV[[#This Row],[PMV]]*TABLAINV[[#This Row],[Conteo Físico]],TABLAINV[[#This Row],[PMV]]*TABLAINV[[#This Row],[Cant. UND]]),0)</f>
        <v>0</v>
      </c>
      <c r="Y97" s="167">
        <f>IFERROR(ABS(TABLAINV[[#This Row],[PMV]]*TABLAINV[[#This Row],[Diferencia]]),0)</f>
        <v>0</v>
      </c>
      <c r="Z97" s="168">
        <f>IFERROR(VLOOKUP(TABLAINV[[#This Row],[Codigo Estado]],unds!O:P,2,0),"PEND.")</f>
        <v>2001</v>
      </c>
      <c r="AA97" s="168" t="str">
        <f t="shared" si="7"/>
        <v>CD09</v>
      </c>
      <c r="AB97" s="169">
        <f t="shared" ca="1" si="8"/>
        <v>45827</v>
      </c>
      <c r="AC97" s="1"/>
      <c r="AD97" s="1"/>
      <c r="AE97" s="1"/>
      <c r="AF97" s="1"/>
    </row>
    <row r="98" spans="1:32" ht="15" customHeight="1" x14ac:dyDescent="0.2">
      <c r="A98" s="170" t="str">
        <f t="shared" si="6"/>
        <v>MRC01</v>
      </c>
      <c r="B98" s="160" t="str">
        <f>IF(TABLAINV[[#This Row],[Z]]="","",D98&amp;"."&amp;TEXT(E98,"000")&amp;"."&amp;TEXT(F98,"000")&amp;"."&amp;TEXT(G98,"000"))</f>
        <v>MR.C01.124.002</v>
      </c>
      <c r="C98" s="161"/>
      <c r="D98" s="162" t="s">
        <v>95</v>
      </c>
      <c r="E98" s="162" t="s">
        <v>96</v>
      </c>
      <c r="F98" s="162">
        <v>124</v>
      </c>
      <c r="G98" s="162">
        <v>2</v>
      </c>
      <c r="H98" s="162">
        <v>353462002</v>
      </c>
      <c r="I98" s="162" t="s">
        <v>196</v>
      </c>
      <c r="J98" s="171">
        <v>1</v>
      </c>
      <c r="K98" s="162" t="s">
        <v>64</v>
      </c>
      <c r="L98" s="163" t="s">
        <v>115</v>
      </c>
      <c r="M98" s="162" t="s">
        <v>99</v>
      </c>
      <c r="N98" s="161" t="s">
        <v>91</v>
      </c>
      <c r="O98" s="161">
        <v>1</v>
      </c>
      <c r="P98" s="163">
        <v>1</v>
      </c>
      <c r="Q98" s="163"/>
      <c r="R98" s="162"/>
      <c r="S98" s="164">
        <f>TABLAINV[[#This Row],[Conteo Físico]]-TABLAINV[[#This Row],[Cant. UND]]</f>
        <v>0</v>
      </c>
      <c r="T9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8" s="165" t="str">
        <f>IFERROR(IF(MOD(TABLAINV[[#This Row],[C]],2)=0,"PAR","IMPAR"),"Zona")</f>
        <v>PAR</v>
      </c>
      <c r="W98" s="166"/>
      <c r="X98" s="167">
        <f>IFERROR(IF(TABLAINV[[#This Row],[Cant. UND]]=0,TABLAINV[[#This Row],[PMV]]*TABLAINV[[#This Row],[Conteo Físico]],TABLAINV[[#This Row],[PMV]]*TABLAINV[[#This Row],[Cant. UND]]),0)</f>
        <v>0</v>
      </c>
      <c r="Y98" s="167">
        <f>IFERROR(ABS(TABLAINV[[#This Row],[PMV]]*TABLAINV[[#This Row],[Diferencia]]),0)</f>
        <v>0</v>
      </c>
      <c r="Z98" s="168">
        <f>IFERROR(VLOOKUP(TABLAINV[[#This Row],[Codigo Estado]],unds!O:P,2,0),"PEND.")</f>
        <v>2001</v>
      </c>
      <c r="AA98" s="168" t="str">
        <f t="shared" si="7"/>
        <v>CD09</v>
      </c>
      <c r="AB98" s="169">
        <f t="shared" ca="1" si="8"/>
        <v>45827</v>
      </c>
      <c r="AC98" s="1"/>
      <c r="AD98" s="1"/>
      <c r="AE98" s="1"/>
      <c r="AF98" s="1"/>
    </row>
    <row r="99" spans="1:32" ht="15" customHeight="1" x14ac:dyDescent="0.2">
      <c r="A99" s="170" t="str">
        <f t="shared" si="6"/>
        <v>MRC01</v>
      </c>
      <c r="B99" s="160" t="str">
        <f>IF(TABLAINV[[#This Row],[Z]]="","",D99&amp;"."&amp;TEXT(E99,"000")&amp;"."&amp;TEXT(F99,"000")&amp;"."&amp;TEXT(G99,"000"))</f>
        <v>MR.C01.124.002</v>
      </c>
      <c r="C99" s="161"/>
      <c r="D99" s="162" t="s">
        <v>95</v>
      </c>
      <c r="E99" s="162" t="s">
        <v>96</v>
      </c>
      <c r="F99" s="162">
        <v>124</v>
      </c>
      <c r="G99" s="162">
        <v>2</v>
      </c>
      <c r="H99" s="162">
        <v>4236</v>
      </c>
      <c r="I99" s="162" t="s">
        <v>197</v>
      </c>
      <c r="J99" s="171">
        <v>9</v>
      </c>
      <c r="K99" s="162" t="s">
        <v>64</v>
      </c>
      <c r="L99" s="163" t="s">
        <v>123</v>
      </c>
      <c r="M99" s="162" t="s">
        <v>111</v>
      </c>
      <c r="N99" s="161" t="s">
        <v>91</v>
      </c>
      <c r="O99" s="161">
        <v>9</v>
      </c>
      <c r="P99" s="163">
        <v>9</v>
      </c>
      <c r="Q99" s="163"/>
      <c r="R99" s="162"/>
      <c r="S99" s="164">
        <f>TABLAINV[[#This Row],[Conteo Físico]]-TABLAINV[[#This Row],[Cant. UND]]</f>
        <v>0</v>
      </c>
      <c r="T9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9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99" s="165" t="str">
        <f>IFERROR(IF(MOD(TABLAINV[[#This Row],[C]],2)=0,"PAR","IMPAR"),"Zona")</f>
        <v>PAR</v>
      </c>
      <c r="W99" s="166"/>
      <c r="X99" s="167">
        <f>IFERROR(IF(TABLAINV[[#This Row],[Cant. UND]]=0,TABLAINV[[#This Row],[PMV]]*TABLAINV[[#This Row],[Conteo Físico]],TABLAINV[[#This Row],[PMV]]*TABLAINV[[#This Row],[Cant. UND]]),0)</f>
        <v>0</v>
      </c>
      <c r="Y99" s="167">
        <f>IFERROR(ABS(TABLAINV[[#This Row],[PMV]]*TABLAINV[[#This Row],[Diferencia]]),0)</f>
        <v>0</v>
      </c>
      <c r="Z99" s="168">
        <f>IFERROR(VLOOKUP(TABLAINV[[#This Row],[Codigo Estado]],unds!O:P,2,0),"PEND.")</f>
        <v>2001</v>
      </c>
      <c r="AA99" s="168" t="str">
        <f t="shared" si="7"/>
        <v>CD09</v>
      </c>
      <c r="AB99" s="169">
        <f t="shared" ca="1" si="8"/>
        <v>45827</v>
      </c>
      <c r="AC99" s="1"/>
      <c r="AD99" s="1"/>
      <c r="AE99" s="1"/>
      <c r="AF99" s="1"/>
    </row>
    <row r="100" spans="1:32" ht="15" customHeight="1" x14ac:dyDescent="0.2">
      <c r="A100" s="170" t="str">
        <f t="shared" si="6"/>
        <v>MRC01</v>
      </c>
      <c r="B100" s="160" t="str">
        <f>IF(TABLAINV[[#This Row],[Z]]="","",D100&amp;"."&amp;TEXT(E100,"000")&amp;"."&amp;TEXT(F100,"000")&amp;"."&amp;TEXT(G100,"000"))</f>
        <v>MR.C01.124.002</v>
      </c>
      <c r="C100" s="161"/>
      <c r="D100" s="162" t="s">
        <v>95</v>
      </c>
      <c r="E100" s="162" t="s">
        <v>96</v>
      </c>
      <c r="F100" s="162">
        <v>124</v>
      </c>
      <c r="G100" s="162">
        <v>2</v>
      </c>
      <c r="H100" s="162">
        <v>49463005</v>
      </c>
      <c r="I100" s="162" t="s">
        <v>198</v>
      </c>
      <c r="J100" s="171">
        <v>3</v>
      </c>
      <c r="K100" s="162" t="s">
        <v>64</v>
      </c>
      <c r="L100" s="163" t="s">
        <v>115</v>
      </c>
      <c r="M100" s="162" t="s">
        <v>99</v>
      </c>
      <c r="N100" s="161" t="s">
        <v>91</v>
      </c>
      <c r="O100" s="161">
        <v>3</v>
      </c>
      <c r="P100" s="163">
        <v>3</v>
      </c>
      <c r="Q100" s="163"/>
      <c r="R100" s="162"/>
      <c r="S100" s="164">
        <f>TABLAINV[[#This Row],[Conteo Físico]]-TABLAINV[[#This Row],[Cant. UND]]</f>
        <v>0</v>
      </c>
      <c r="T10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0" s="165" t="str">
        <f>IFERROR(IF(MOD(TABLAINV[[#This Row],[C]],2)=0,"PAR","IMPAR"),"Zona")</f>
        <v>PAR</v>
      </c>
      <c r="W100" s="166"/>
      <c r="X100" s="167">
        <f>IFERROR(IF(TABLAINV[[#This Row],[Cant. UND]]=0,TABLAINV[[#This Row],[PMV]]*TABLAINV[[#This Row],[Conteo Físico]],TABLAINV[[#This Row],[PMV]]*TABLAINV[[#This Row],[Cant. UND]]),0)</f>
        <v>0</v>
      </c>
      <c r="Y100" s="167">
        <f>IFERROR(ABS(TABLAINV[[#This Row],[PMV]]*TABLAINV[[#This Row],[Diferencia]]),0)</f>
        <v>0</v>
      </c>
      <c r="Z100" s="168">
        <f>IFERROR(VLOOKUP(TABLAINV[[#This Row],[Codigo Estado]],unds!O:P,2,0),"PEND.")</f>
        <v>2001</v>
      </c>
      <c r="AA100" s="168" t="str">
        <f t="shared" si="7"/>
        <v>CD09</v>
      </c>
      <c r="AB100" s="169">
        <f t="shared" ca="1" si="8"/>
        <v>45827</v>
      </c>
      <c r="AC100" s="1"/>
      <c r="AD100" s="1"/>
      <c r="AE100" s="1"/>
      <c r="AF100" s="1"/>
    </row>
    <row r="101" spans="1:32" ht="15" customHeight="1" x14ac:dyDescent="0.2">
      <c r="A101" s="170" t="str">
        <f t="shared" si="6"/>
        <v>MRC01</v>
      </c>
      <c r="B101" s="160" t="str">
        <f>IF(TABLAINV[[#This Row],[Z]]="","",D101&amp;"."&amp;TEXT(E101,"000")&amp;"."&amp;TEXT(F101,"000")&amp;"."&amp;TEXT(G101,"000"))</f>
        <v>MR.C01.125.002</v>
      </c>
      <c r="C101" s="161"/>
      <c r="D101" s="162" t="s">
        <v>95</v>
      </c>
      <c r="E101" s="162" t="s">
        <v>96</v>
      </c>
      <c r="F101" s="162">
        <v>125</v>
      </c>
      <c r="G101" s="162">
        <v>2</v>
      </c>
      <c r="H101" s="162">
        <v>317947</v>
      </c>
      <c r="I101" s="162" t="s">
        <v>114</v>
      </c>
      <c r="J101" s="171">
        <v>11</v>
      </c>
      <c r="K101" s="162" t="s">
        <v>64</v>
      </c>
      <c r="L101" s="163" t="s">
        <v>115</v>
      </c>
      <c r="M101" s="162" t="s">
        <v>99</v>
      </c>
      <c r="N101" s="161" t="s">
        <v>91</v>
      </c>
      <c r="O101" s="161">
        <v>11</v>
      </c>
      <c r="P101" s="163">
        <v>11</v>
      </c>
      <c r="Q101" s="163"/>
      <c r="R101" s="162"/>
      <c r="S101" s="164">
        <f>TABLAINV[[#This Row],[Conteo Físico]]-TABLAINV[[#This Row],[Cant. UND]]</f>
        <v>0</v>
      </c>
      <c r="T10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1" s="165" t="str">
        <f>IFERROR(IF(MOD(TABLAINV[[#This Row],[C]],2)=0,"PAR","IMPAR"),"Zona")</f>
        <v>IMPAR</v>
      </c>
      <c r="W101" s="166"/>
      <c r="X101" s="167">
        <f>IFERROR(IF(TABLAINV[[#This Row],[Cant. UND]]=0,TABLAINV[[#This Row],[PMV]]*TABLAINV[[#This Row],[Conteo Físico]],TABLAINV[[#This Row],[PMV]]*TABLAINV[[#This Row],[Cant. UND]]),0)</f>
        <v>0</v>
      </c>
      <c r="Y101" s="167">
        <f>IFERROR(ABS(TABLAINV[[#This Row],[PMV]]*TABLAINV[[#This Row],[Diferencia]]),0)</f>
        <v>0</v>
      </c>
      <c r="Z101" s="168">
        <f>IFERROR(VLOOKUP(TABLAINV[[#This Row],[Codigo Estado]],unds!O:P,2,0),"PEND.")</f>
        <v>2001</v>
      </c>
      <c r="AA101" s="168" t="str">
        <f t="shared" si="7"/>
        <v>CD09</v>
      </c>
      <c r="AB101" s="169">
        <f t="shared" ca="1" si="8"/>
        <v>45827</v>
      </c>
      <c r="AC101" s="1"/>
      <c r="AD101" s="1"/>
      <c r="AE101" s="1"/>
      <c r="AF101" s="1"/>
    </row>
    <row r="102" spans="1:32" ht="15" customHeight="1" x14ac:dyDescent="0.2">
      <c r="A102" s="170" t="str">
        <f t="shared" si="6"/>
        <v>MRC01</v>
      </c>
      <c r="B102" s="160" t="str">
        <f>IF(TABLAINV[[#This Row],[Z]]="","",D102&amp;"."&amp;TEXT(E102,"000")&amp;"."&amp;TEXT(F102,"000")&amp;"."&amp;TEXT(G102,"000"))</f>
        <v>MR.C01.126.001</v>
      </c>
      <c r="C102" s="161"/>
      <c r="D102" s="162" t="s">
        <v>95</v>
      </c>
      <c r="E102" s="162" t="s">
        <v>96</v>
      </c>
      <c r="F102" s="162">
        <v>126</v>
      </c>
      <c r="G102" s="162">
        <v>1</v>
      </c>
      <c r="H102" s="162">
        <v>1031959</v>
      </c>
      <c r="I102" s="162" t="s">
        <v>199</v>
      </c>
      <c r="J102" s="171">
        <v>6</v>
      </c>
      <c r="K102" s="162" t="s">
        <v>64</v>
      </c>
      <c r="L102" s="163" t="s">
        <v>98</v>
      </c>
      <c r="M102" s="162" t="s">
        <v>99</v>
      </c>
      <c r="N102" s="161" t="s">
        <v>91</v>
      </c>
      <c r="O102" s="161">
        <v>6</v>
      </c>
      <c r="P102" s="163">
        <v>6</v>
      </c>
      <c r="Q102" s="163"/>
      <c r="R102" s="162"/>
      <c r="S102" s="164">
        <f>TABLAINV[[#This Row],[Conteo Físico]]-TABLAINV[[#This Row],[Cant. UND]]</f>
        <v>0</v>
      </c>
      <c r="T10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2" s="165" t="str">
        <f>IFERROR(IF(MOD(TABLAINV[[#This Row],[C]],2)=0,"PAR","IMPAR"),"Zona")</f>
        <v>PAR</v>
      </c>
      <c r="W102" s="166"/>
      <c r="X102" s="167">
        <f>IFERROR(IF(TABLAINV[[#This Row],[Cant. UND]]=0,TABLAINV[[#This Row],[PMV]]*TABLAINV[[#This Row],[Conteo Físico]],TABLAINV[[#This Row],[PMV]]*TABLAINV[[#This Row],[Cant. UND]]),0)</f>
        <v>0</v>
      </c>
      <c r="Y102" s="167">
        <f>IFERROR(ABS(TABLAINV[[#This Row],[PMV]]*TABLAINV[[#This Row],[Diferencia]]),0)</f>
        <v>0</v>
      </c>
      <c r="Z102" s="168">
        <f>IFERROR(VLOOKUP(TABLAINV[[#This Row],[Codigo Estado]],unds!O:P,2,0),"PEND.")</f>
        <v>2001</v>
      </c>
      <c r="AA102" s="168" t="str">
        <f t="shared" si="7"/>
        <v>CD09</v>
      </c>
      <c r="AB102" s="169">
        <f t="shared" ca="1" si="8"/>
        <v>45827</v>
      </c>
      <c r="AC102" s="1"/>
      <c r="AD102" s="1"/>
      <c r="AE102" s="1"/>
      <c r="AF102" s="1"/>
    </row>
    <row r="103" spans="1:32" ht="15" customHeight="1" x14ac:dyDescent="0.2">
      <c r="A103" s="170" t="str">
        <f t="shared" si="6"/>
        <v>MRC01</v>
      </c>
      <c r="B103" s="160" t="str">
        <f>IF(TABLAINV[[#This Row],[Z]]="","",D103&amp;"."&amp;TEXT(E103,"000")&amp;"."&amp;TEXT(F103,"000")&amp;"."&amp;TEXT(G103,"000"))</f>
        <v>MR.C01.126.002</v>
      </c>
      <c r="C103" s="161"/>
      <c r="D103" s="162" t="s">
        <v>95</v>
      </c>
      <c r="E103" s="162" t="s">
        <v>96</v>
      </c>
      <c r="F103" s="162">
        <v>126</v>
      </c>
      <c r="G103" s="162">
        <v>2</v>
      </c>
      <c r="H103" s="162">
        <v>1031957</v>
      </c>
      <c r="I103" s="162" t="s">
        <v>200</v>
      </c>
      <c r="J103" s="171">
        <v>12</v>
      </c>
      <c r="K103" s="162" t="s">
        <v>64</v>
      </c>
      <c r="L103" s="163" t="s">
        <v>98</v>
      </c>
      <c r="M103" s="162" t="s">
        <v>99</v>
      </c>
      <c r="N103" s="161" t="s">
        <v>91</v>
      </c>
      <c r="O103" s="161">
        <v>12</v>
      </c>
      <c r="P103" s="163">
        <v>12</v>
      </c>
      <c r="Q103" s="163"/>
      <c r="R103" s="162"/>
      <c r="S103" s="164">
        <f>TABLAINV[[#This Row],[Conteo Físico]]-TABLAINV[[#This Row],[Cant. UND]]</f>
        <v>0</v>
      </c>
      <c r="T10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3" s="165" t="str">
        <f>IFERROR(IF(MOD(TABLAINV[[#This Row],[C]],2)=0,"PAR","IMPAR"),"Zona")</f>
        <v>PAR</v>
      </c>
      <c r="W103" s="166"/>
      <c r="X103" s="167">
        <f>IFERROR(IF(TABLAINV[[#This Row],[Cant. UND]]=0,TABLAINV[[#This Row],[PMV]]*TABLAINV[[#This Row],[Conteo Físico]],TABLAINV[[#This Row],[PMV]]*TABLAINV[[#This Row],[Cant. UND]]),0)</f>
        <v>0</v>
      </c>
      <c r="Y103" s="167">
        <f>IFERROR(ABS(TABLAINV[[#This Row],[PMV]]*TABLAINV[[#This Row],[Diferencia]]),0)</f>
        <v>0</v>
      </c>
      <c r="Z103" s="168">
        <f>IFERROR(VLOOKUP(TABLAINV[[#This Row],[Codigo Estado]],unds!O:P,2,0),"PEND.")</f>
        <v>2001</v>
      </c>
      <c r="AA103" s="168" t="str">
        <f t="shared" si="7"/>
        <v>CD09</v>
      </c>
      <c r="AB103" s="169">
        <f t="shared" ca="1" si="8"/>
        <v>45827</v>
      </c>
      <c r="AC103" s="1"/>
      <c r="AD103" s="1"/>
      <c r="AE103" s="1"/>
      <c r="AF103" s="1"/>
    </row>
    <row r="104" spans="1:32" ht="15" customHeight="1" x14ac:dyDescent="0.2">
      <c r="A104" s="170" t="str">
        <f t="shared" si="6"/>
        <v>MRC01</v>
      </c>
      <c r="B104" s="160" t="str">
        <f>IF(TABLAINV[[#This Row],[Z]]="","",D104&amp;"."&amp;TEXT(E104,"000")&amp;"."&amp;TEXT(F104,"000")&amp;"."&amp;TEXT(G104,"000"))</f>
        <v>MR.C01.126.002</v>
      </c>
      <c r="C104" s="161"/>
      <c r="D104" s="162" t="s">
        <v>95</v>
      </c>
      <c r="E104" s="162" t="s">
        <v>96</v>
      </c>
      <c r="F104" s="162">
        <v>126</v>
      </c>
      <c r="G104" s="162">
        <v>2</v>
      </c>
      <c r="H104" s="162">
        <v>892485</v>
      </c>
      <c r="I104" s="162" t="s">
        <v>167</v>
      </c>
      <c r="J104" s="171">
        <v>1</v>
      </c>
      <c r="K104" s="162" t="s">
        <v>64</v>
      </c>
      <c r="L104" s="163" t="s">
        <v>115</v>
      </c>
      <c r="M104" s="162" t="s">
        <v>99</v>
      </c>
      <c r="N104" s="161" t="s">
        <v>91</v>
      </c>
      <c r="O104" s="161">
        <v>1</v>
      </c>
      <c r="P104" s="163">
        <v>1</v>
      </c>
      <c r="Q104" s="163"/>
      <c r="R104" s="162"/>
      <c r="S104" s="164">
        <f>TABLAINV[[#This Row],[Conteo Físico]]-TABLAINV[[#This Row],[Cant. UND]]</f>
        <v>0</v>
      </c>
      <c r="T10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4" s="165" t="str">
        <f>IFERROR(IF(MOD(TABLAINV[[#This Row],[C]],2)=0,"PAR","IMPAR"),"Zona")</f>
        <v>PAR</v>
      </c>
      <c r="W104" s="166"/>
      <c r="X104" s="167">
        <f>IFERROR(IF(TABLAINV[[#This Row],[Cant. UND]]=0,TABLAINV[[#This Row],[PMV]]*TABLAINV[[#This Row],[Conteo Físico]],TABLAINV[[#This Row],[PMV]]*TABLAINV[[#This Row],[Cant. UND]]),0)</f>
        <v>0</v>
      </c>
      <c r="Y104" s="167">
        <f>IFERROR(ABS(TABLAINV[[#This Row],[PMV]]*TABLAINV[[#This Row],[Diferencia]]),0)</f>
        <v>0</v>
      </c>
      <c r="Z104" s="168">
        <f>IFERROR(VLOOKUP(TABLAINV[[#This Row],[Codigo Estado]],unds!O:P,2,0),"PEND.")</f>
        <v>2001</v>
      </c>
      <c r="AA104" s="168" t="str">
        <f t="shared" si="7"/>
        <v>CD09</v>
      </c>
      <c r="AB104" s="169">
        <f t="shared" ca="1" si="8"/>
        <v>45827</v>
      </c>
      <c r="AC104" s="1"/>
      <c r="AD104" s="1"/>
      <c r="AE104" s="1"/>
      <c r="AF104" s="1"/>
    </row>
    <row r="105" spans="1:32" ht="15" customHeight="1" x14ac:dyDescent="0.2">
      <c r="A105" s="170" t="str">
        <f t="shared" si="6"/>
        <v>MRC01</v>
      </c>
      <c r="B105" s="160" t="str">
        <f>IF(TABLAINV[[#This Row],[Z]]="","",D105&amp;"."&amp;TEXT(E105,"000")&amp;"."&amp;TEXT(F105,"000")&amp;"."&amp;TEXT(G105,"000"))</f>
        <v>MR.C01.127.001</v>
      </c>
      <c r="C105" s="161"/>
      <c r="D105" s="162" t="s">
        <v>95</v>
      </c>
      <c r="E105" s="162" t="s">
        <v>96</v>
      </c>
      <c r="F105" s="162">
        <v>127</v>
      </c>
      <c r="G105" s="162">
        <v>1</v>
      </c>
      <c r="H105" s="162">
        <v>727300</v>
      </c>
      <c r="I105" s="162" t="s">
        <v>201</v>
      </c>
      <c r="J105" s="171">
        <v>12</v>
      </c>
      <c r="K105" s="162" t="s">
        <v>64</v>
      </c>
      <c r="L105" s="163" t="s">
        <v>115</v>
      </c>
      <c r="M105" s="162" t="s">
        <v>99</v>
      </c>
      <c r="N105" s="161" t="s">
        <v>91</v>
      </c>
      <c r="O105" s="161">
        <v>12</v>
      </c>
      <c r="P105" s="163">
        <v>12</v>
      </c>
      <c r="Q105" s="163"/>
      <c r="R105" s="162"/>
      <c r="S105" s="164">
        <f>TABLAINV[[#This Row],[Conteo Físico]]-TABLAINV[[#This Row],[Cant. UND]]</f>
        <v>0</v>
      </c>
      <c r="T10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5" s="165" t="str">
        <f>IFERROR(IF(MOD(TABLAINV[[#This Row],[C]],2)=0,"PAR","IMPAR"),"Zona")</f>
        <v>IMPAR</v>
      </c>
      <c r="W105" s="166"/>
      <c r="X105" s="167">
        <f>IFERROR(IF(TABLAINV[[#This Row],[Cant. UND]]=0,TABLAINV[[#This Row],[PMV]]*TABLAINV[[#This Row],[Conteo Físico]],TABLAINV[[#This Row],[PMV]]*TABLAINV[[#This Row],[Cant. UND]]),0)</f>
        <v>0</v>
      </c>
      <c r="Y105" s="167">
        <f>IFERROR(ABS(TABLAINV[[#This Row],[PMV]]*TABLAINV[[#This Row],[Diferencia]]),0)</f>
        <v>0</v>
      </c>
      <c r="Z105" s="168">
        <f>IFERROR(VLOOKUP(TABLAINV[[#This Row],[Codigo Estado]],unds!O:P,2,0),"PEND.")</f>
        <v>2001</v>
      </c>
      <c r="AA105" s="168" t="str">
        <f t="shared" si="7"/>
        <v>CD09</v>
      </c>
      <c r="AB105" s="169">
        <f t="shared" ca="1" si="8"/>
        <v>45827</v>
      </c>
      <c r="AC105" s="1"/>
      <c r="AD105" s="1"/>
      <c r="AE105" s="1"/>
      <c r="AF105" s="1"/>
    </row>
    <row r="106" spans="1:32" ht="15" customHeight="1" x14ac:dyDescent="0.2">
      <c r="A106" s="170" t="str">
        <f t="shared" si="6"/>
        <v>MRC01</v>
      </c>
      <c r="B106" s="160" t="str">
        <f>IF(TABLAINV[[#This Row],[Z]]="","",D106&amp;"."&amp;TEXT(E106,"000")&amp;"."&amp;TEXT(F106,"000")&amp;"."&amp;TEXT(G106,"000"))</f>
        <v>MR.C01.127.002</v>
      </c>
      <c r="C106" s="161"/>
      <c r="D106" s="162" t="s">
        <v>95</v>
      </c>
      <c r="E106" s="162" t="s">
        <v>96</v>
      </c>
      <c r="F106" s="162">
        <v>127</v>
      </c>
      <c r="G106" s="162">
        <v>2</v>
      </c>
      <c r="H106" s="162">
        <v>913116</v>
      </c>
      <c r="I106" s="162" t="s">
        <v>202</v>
      </c>
      <c r="J106" s="171">
        <v>6</v>
      </c>
      <c r="K106" s="162" t="s">
        <v>64</v>
      </c>
      <c r="L106" s="163" t="s">
        <v>115</v>
      </c>
      <c r="M106" s="162" t="s">
        <v>99</v>
      </c>
      <c r="N106" s="161" t="s">
        <v>91</v>
      </c>
      <c r="O106" s="161">
        <v>6</v>
      </c>
      <c r="P106" s="163">
        <v>6</v>
      </c>
      <c r="Q106" s="163"/>
      <c r="R106" s="162"/>
      <c r="S106" s="164">
        <f>TABLAINV[[#This Row],[Conteo Físico]]-TABLAINV[[#This Row],[Cant. UND]]</f>
        <v>0</v>
      </c>
      <c r="T10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6" s="165" t="str">
        <f>IFERROR(IF(MOD(TABLAINV[[#This Row],[C]],2)=0,"PAR","IMPAR"),"Zona")</f>
        <v>IMPAR</v>
      </c>
      <c r="W106" s="166"/>
      <c r="X106" s="167">
        <f>IFERROR(IF(TABLAINV[[#This Row],[Cant. UND]]=0,TABLAINV[[#This Row],[PMV]]*TABLAINV[[#This Row],[Conteo Físico]],TABLAINV[[#This Row],[PMV]]*TABLAINV[[#This Row],[Cant. UND]]),0)</f>
        <v>0</v>
      </c>
      <c r="Y106" s="167">
        <f>IFERROR(ABS(TABLAINV[[#This Row],[PMV]]*TABLAINV[[#This Row],[Diferencia]]),0)</f>
        <v>0</v>
      </c>
      <c r="Z106" s="168">
        <f>IFERROR(VLOOKUP(TABLAINV[[#This Row],[Codigo Estado]],unds!O:P,2,0),"PEND.")</f>
        <v>2001</v>
      </c>
      <c r="AA106" s="168" t="str">
        <f t="shared" si="7"/>
        <v>CD09</v>
      </c>
      <c r="AB106" s="169">
        <f t="shared" ca="1" si="8"/>
        <v>45827</v>
      </c>
      <c r="AC106" s="1"/>
      <c r="AD106" s="1"/>
      <c r="AE106" s="1"/>
      <c r="AF106" s="1"/>
    </row>
    <row r="107" spans="1:32" ht="15" customHeight="1" x14ac:dyDescent="0.2">
      <c r="A107" s="170" t="str">
        <f t="shared" si="6"/>
        <v>MRC01</v>
      </c>
      <c r="B107" s="160" t="str">
        <f>IF(TABLAINV[[#This Row],[Z]]="","",D107&amp;"."&amp;TEXT(E107,"000")&amp;"."&amp;TEXT(F107,"000")&amp;"."&amp;TEXT(G107,"000"))</f>
        <v>MR.C01.127.003</v>
      </c>
      <c r="C107" s="161"/>
      <c r="D107" s="162" t="s">
        <v>95</v>
      </c>
      <c r="E107" s="162" t="s">
        <v>96</v>
      </c>
      <c r="F107" s="162">
        <v>127</v>
      </c>
      <c r="G107" s="162">
        <v>3</v>
      </c>
      <c r="H107" s="162">
        <v>998267</v>
      </c>
      <c r="I107" s="162" t="s">
        <v>183</v>
      </c>
      <c r="J107" s="171">
        <v>15</v>
      </c>
      <c r="K107" s="162" t="s">
        <v>64</v>
      </c>
      <c r="L107" s="163" t="s">
        <v>184</v>
      </c>
      <c r="M107" s="162" t="s">
        <v>99</v>
      </c>
      <c r="N107" s="161" t="s">
        <v>91</v>
      </c>
      <c r="O107" s="161">
        <v>15</v>
      </c>
      <c r="P107" s="163">
        <v>15</v>
      </c>
      <c r="Q107" s="163"/>
      <c r="R107" s="162"/>
      <c r="S107" s="164">
        <f>TABLAINV[[#This Row],[Conteo Físico]]-TABLAINV[[#This Row],[Cant. UND]]</f>
        <v>0</v>
      </c>
      <c r="T10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7" s="165" t="str">
        <f>IFERROR(IF(MOD(TABLAINV[[#This Row],[C]],2)=0,"PAR","IMPAR"),"Zona")</f>
        <v>IMPAR</v>
      </c>
      <c r="W107" s="166"/>
      <c r="X107" s="167">
        <f>IFERROR(IF(TABLAINV[[#This Row],[Cant. UND]]=0,TABLAINV[[#This Row],[PMV]]*TABLAINV[[#This Row],[Conteo Físico]],TABLAINV[[#This Row],[PMV]]*TABLAINV[[#This Row],[Cant. UND]]),0)</f>
        <v>0</v>
      </c>
      <c r="Y107" s="167">
        <f>IFERROR(ABS(TABLAINV[[#This Row],[PMV]]*TABLAINV[[#This Row],[Diferencia]]),0)</f>
        <v>0</v>
      </c>
      <c r="Z107" s="168">
        <f>IFERROR(VLOOKUP(TABLAINV[[#This Row],[Codigo Estado]],unds!O:P,2,0),"PEND.")</f>
        <v>2001</v>
      </c>
      <c r="AA107" s="168" t="str">
        <f t="shared" si="7"/>
        <v>CD09</v>
      </c>
      <c r="AB107" s="169">
        <f t="shared" ca="1" si="8"/>
        <v>45827</v>
      </c>
      <c r="AC107" s="1"/>
      <c r="AD107" s="1"/>
      <c r="AE107" s="1"/>
      <c r="AF107" s="1"/>
    </row>
    <row r="108" spans="1:32" ht="15" customHeight="1" x14ac:dyDescent="0.2">
      <c r="A108" s="170" t="str">
        <f t="shared" si="6"/>
        <v>MRC01</v>
      </c>
      <c r="B108" s="160" t="str">
        <f>IF(TABLAINV[[#This Row],[Z]]="","",D108&amp;"."&amp;TEXT(E108,"000")&amp;"."&amp;TEXT(F108,"000")&amp;"."&amp;TEXT(G108,"000"))</f>
        <v>MR.C01.128.001</v>
      </c>
      <c r="C108" s="161"/>
      <c r="D108" s="162" t="s">
        <v>95</v>
      </c>
      <c r="E108" s="162" t="s">
        <v>96</v>
      </c>
      <c r="F108" s="162">
        <v>128</v>
      </c>
      <c r="G108" s="162">
        <v>1</v>
      </c>
      <c r="H108" s="162">
        <v>558891</v>
      </c>
      <c r="I108" s="162" t="s">
        <v>203</v>
      </c>
      <c r="J108" s="171">
        <v>6</v>
      </c>
      <c r="K108" s="162" t="s">
        <v>64</v>
      </c>
      <c r="L108" s="163" t="s">
        <v>98</v>
      </c>
      <c r="M108" s="162" t="s">
        <v>99</v>
      </c>
      <c r="N108" s="161" t="s">
        <v>91</v>
      </c>
      <c r="O108" s="161">
        <v>6</v>
      </c>
      <c r="P108" s="163">
        <v>6</v>
      </c>
      <c r="Q108" s="163"/>
      <c r="R108" s="162"/>
      <c r="S108" s="164">
        <f>TABLAINV[[#This Row],[Conteo Físico]]-TABLAINV[[#This Row],[Cant. UND]]</f>
        <v>0</v>
      </c>
      <c r="T10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8" s="165" t="str">
        <f>IFERROR(IF(MOD(TABLAINV[[#This Row],[C]],2)=0,"PAR","IMPAR"),"Zona")</f>
        <v>PAR</v>
      </c>
      <c r="W108" s="166"/>
      <c r="X108" s="167">
        <f>IFERROR(IF(TABLAINV[[#This Row],[Cant. UND]]=0,TABLAINV[[#This Row],[PMV]]*TABLAINV[[#This Row],[Conteo Físico]],TABLAINV[[#This Row],[PMV]]*TABLAINV[[#This Row],[Cant. UND]]),0)</f>
        <v>0</v>
      </c>
      <c r="Y108" s="167">
        <f>IFERROR(ABS(TABLAINV[[#This Row],[PMV]]*TABLAINV[[#This Row],[Diferencia]]),0)</f>
        <v>0</v>
      </c>
      <c r="Z108" s="168">
        <f>IFERROR(VLOOKUP(TABLAINV[[#This Row],[Codigo Estado]],unds!O:P,2,0),"PEND.")</f>
        <v>2001</v>
      </c>
      <c r="AA108" s="168" t="str">
        <f t="shared" si="7"/>
        <v>CD09</v>
      </c>
      <c r="AB108" s="169">
        <f t="shared" ca="1" si="8"/>
        <v>45827</v>
      </c>
      <c r="AC108" s="1"/>
      <c r="AD108" s="1"/>
      <c r="AE108" s="1"/>
      <c r="AF108" s="1"/>
    </row>
    <row r="109" spans="1:32" ht="15" customHeight="1" x14ac:dyDescent="0.2">
      <c r="A109" s="170" t="str">
        <f t="shared" si="6"/>
        <v>MRC01</v>
      </c>
      <c r="B109" s="160" t="str">
        <f>IF(TABLAINV[[#This Row],[Z]]="","",D109&amp;"."&amp;TEXT(E109,"000")&amp;"."&amp;TEXT(F109,"000")&amp;"."&amp;TEXT(G109,"000"))</f>
        <v>MR.C01.128.002</v>
      </c>
      <c r="C109" s="161"/>
      <c r="D109" s="162" t="s">
        <v>95</v>
      </c>
      <c r="E109" s="162" t="s">
        <v>96</v>
      </c>
      <c r="F109" s="162">
        <v>128</v>
      </c>
      <c r="G109" s="162">
        <v>2</v>
      </c>
      <c r="H109" s="162">
        <v>1031956</v>
      </c>
      <c r="I109" s="162" t="s">
        <v>204</v>
      </c>
      <c r="J109" s="171">
        <v>12</v>
      </c>
      <c r="K109" s="162" t="s">
        <v>64</v>
      </c>
      <c r="L109" s="163" t="s">
        <v>98</v>
      </c>
      <c r="M109" s="162" t="s">
        <v>99</v>
      </c>
      <c r="N109" s="161" t="s">
        <v>91</v>
      </c>
      <c r="O109" s="161">
        <v>12</v>
      </c>
      <c r="P109" s="163">
        <v>12</v>
      </c>
      <c r="Q109" s="163"/>
      <c r="R109" s="162"/>
      <c r="S109" s="164">
        <f>TABLAINV[[#This Row],[Conteo Físico]]-TABLAINV[[#This Row],[Cant. UND]]</f>
        <v>0</v>
      </c>
      <c r="T10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0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09" s="165" t="str">
        <f>IFERROR(IF(MOD(TABLAINV[[#This Row],[C]],2)=0,"PAR","IMPAR"),"Zona")</f>
        <v>PAR</v>
      </c>
      <c r="W109" s="166"/>
      <c r="X109" s="167">
        <f>IFERROR(IF(TABLAINV[[#This Row],[Cant. UND]]=0,TABLAINV[[#This Row],[PMV]]*TABLAINV[[#This Row],[Conteo Físico]],TABLAINV[[#This Row],[PMV]]*TABLAINV[[#This Row],[Cant. UND]]),0)</f>
        <v>0</v>
      </c>
      <c r="Y109" s="167">
        <f>IFERROR(ABS(TABLAINV[[#This Row],[PMV]]*TABLAINV[[#This Row],[Diferencia]]),0)</f>
        <v>0</v>
      </c>
      <c r="Z109" s="168">
        <f>IFERROR(VLOOKUP(TABLAINV[[#This Row],[Codigo Estado]],unds!O:P,2,0),"PEND.")</f>
        <v>2001</v>
      </c>
      <c r="AA109" s="168" t="str">
        <f t="shared" si="7"/>
        <v>CD09</v>
      </c>
      <c r="AB109" s="169">
        <f t="shared" ca="1" si="8"/>
        <v>45827</v>
      </c>
      <c r="AC109" s="1"/>
      <c r="AD109" s="1"/>
      <c r="AE109" s="1"/>
      <c r="AF109" s="1"/>
    </row>
    <row r="110" spans="1:32" ht="15" customHeight="1" x14ac:dyDescent="0.2">
      <c r="A110" s="170" t="str">
        <f t="shared" si="6"/>
        <v>MRC01</v>
      </c>
      <c r="B110" s="160" t="str">
        <f>IF(TABLAINV[[#This Row],[Z]]="","",D110&amp;"."&amp;TEXT(E110,"000")&amp;"."&amp;TEXT(F110,"000")&amp;"."&amp;TEXT(G110,"000"))</f>
        <v>MR.C01.128.003</v>
      </c>
      <c r="C110" s="161"/>
      <c r="D110" s="162" t="s">
        <v>95</v>
      </c>
      <c r="E110" s="162" t="s">
        <v>96</v>
      </c>
      <c r="F110" s="162">
        <v>128</v>
      </c>
      <c r="G110" s="162">
        <v>3</v>
      </c>
      <c r="H110" s="162">
        <v>70125</v>
      </c>
      <c r="I110" s="162" t="s">
        <v>205</v>
      </c>
      <c r="J110" s="171">
        <v>9</v>
      </c>
      <c r="K110" s="162" t="s">
        <v>64</v>
      </c>
      <c r="L110" s="163" t="s">
        <v>115</v>
      </c>
      <c r="M110" s="162" t="s">
        <v>99</v>
      </c>
      <c r="N110" s="161" t="s">
        <v>91</v>
      </c>
      <c r="O110" s="161">
        <v>9</v>
      </c>
      <c r="P110" s="163">
        <v>9</v>
      </c>
      <c r="Q110" s="163"/>
      <c r="R110" s="162"/>
      <c r="S110" s="164">
        <f>TABLAINV[[#This Row],[Conteo Físico]]-TABLAINV[[#This Row],[Cant. UND]]</f>
        <v>0</v>
      </c>
      <c r="T11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0" s="165" t="str">
        <f>IFERROR(IF(MOD(TABLAINV[[#This Row],[C]],2)=0,"PAR","IMPAR"),"Zona")</f>
        <v>PAR</v>
      </c>
      <c r="W110" s="166"/>
      <c r="X110" s="167">
        <f>IFERROR(IF(TABLAINV[[#This Row],[Cant. UND]]=0,TABLAINV[[#This Row],[PMV]]*TABLAINV[[#This Row],[Conteo Físico]],TABLAINV[[#This Row],[PMV]]*TABLAINV[[#This Row],[Cant. UND]]),0)</f>
        <v>0</v>
      </c>
      <c r="Y110" s="167">
        <f>IFERROR(ABS(TABLAINV[[#This Row],[PMV]]*TABLAINV[[#This Row],[Diferencia]]),0)</f>
        <v>0</v>
      </c>
      <c r="Z110" s="168">
        <f>IFERROR(VLOOKUP(TABLAINV[[#This Row],[Codigo Estado]],unds!O:P,2,0),"PEND.")</f>
        <v>2001</v>
      </c>
      <c r="AA110" s="168" t="str">
        <f t="shared" si="7"/>
        <v>CD09</v>
      </c>
      <c r="AB110" s="169">
        <f t="shared" ca="1" si="8"/>
        <v>45827</v>
      </c>
      <c r="AC110" s="1"/>
      <c r="AD110" s="1"/>
      <c r="AE110" s="1"/>
      <c r="AF110" s="1"/>
    </row>
    <row r="111" spans="1:32" ht="15" customHeight="1" x14ac:dyDescent="0.2">
      <c r="A111" s="170" t="str">
        <f t="shared" si="6"/>
        <v>MRC01</v>
      </c>
      <c r="B111" s="160" t="str">
        <f>IF(TABLAINV[[#This Row],[Z]]="","",D111&amp;"."&amp;TEXT(E111,"000")&amp;"."&amp;TEXT(F111,"000")&amp;"."&amp;TEXT(G111,"000"))</f>
        <v>MR.C01.128.003</v>
      </c>
      <c r="C111" s="161"/>
      <c r="D111" s="162" t="s">
        <v>95</v>
      </c>
      <c r="E111" s="162" t="s">
        <v>96</v>
      </c>
      <c r="F111" s="162">
        <v>128</v>
      </c>
      <c r="G111" s="162">
        <v>3</v>
      </c>
      <c r="H111" s="162">
        <v>750562001</v>
      </c>
      <c r="I111" s="162" t="s">
        <v>206</v>
      </c>
      <c r="J111" s="171">
        <v>10</v>
      </c>
      <c r="K111" s="162" t="s">
        <v>64</v>
      </c>
      <c r="L111" s="163" t="s">
        <v>184</v>
      </c>
      <c r="M111" s="162" t="s">
        <v>99</v>
      </c>
      <c r="N111" s="161" t="s">
        <v>91</v>
      </c>
      <c r="O111" s="161">
        <v>10</v>
      </c>
      <c r="P111" s="163">
        <v>10</v>
      </c>
      <c r="Q111" s="163"/>
      <c r="R111" s="162"/>
      <c r="S111" s="164">
        <f>TABLAINV[[#This Row],[Conteo Físico]]-TABLAINV[[#This Row],[Cant. UND]]</f>
        <v>0</v>
      </c>
      <c r="T11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1" s="165" t="str">
        <f>IFERROR(IF(MOD(TABLAINV[[#This Row],[C]],2)=0,"PAR","IMPAR"),"Zona")</f>
        <v>PAR</v>
      </c>
      <c r="W111" s="166"/>
      <c r="X111" s="167">
        <f>IFERROR(IF(TABLAINV[[#This Row],[Cant. UND]]=0,TABLAINV[[#This Row],[PMV]]*TABLAINV[[#This Row],[Conteo Físico]],TABLAINV[[#This Row],[PMV]]*TABLAINV[[#This Row],[Cant. UND]]),0)</f>
        <v>0</v>
      </c>
      <c r="Y111" s="167">
        <f>IFERROR(ABS(TABLAINV[[#This Row],[PMV]]*TABLAINV[[#This Row],[Diferencia]]),0)</f>
        <v>0</v>
      </c>
      <c r="Z111" s="168">
        <f>IFERROR(VLOOKUP(TABLAINV[[#This Row],[Codigo Estado]],unds!O:P,2,0),"PEND.")</f>
        <v>2001</v>
      </c>
      <c r="AA111" s="168" t="str">
        <f t="shared" si="7"/>
        <v>CD09</v>
      </c>
      <c r="AB111" s="169">
        <f t="shared" ca="1" si="8"/>
        <v>45827</v>
      </c>
      <c r="AC111" s="1"/>
      <c r="AD111" s="1"/>
      <c r="AE111" s="1"/>
      <c r="AF111" s="1"/>
    </row>
    <row r="112" spans="1:32" ht="15" customHeight="1" x14ac:dyDescent="0.2">
      <c r="A112" s="170" t="str">
        <f t="shared" si="6"/>
        <v>MRC01</v>
      </c>
      <c r="B112" s="160" t="str">
        <f>IF(TABLAINV[[#This Row],[Z]]="","",D112&amp;"."&amp;TEXT(E112,"000")&amp;"."&amp;TEXT(F112,"000")&amp;"."&amp;TEXT(G112,"000"))</f>
        <v>MR.C01.129.001</v>
      </c>
      <c r="C112" s="161"/>
      <c r="D112" s="162" t="s">
        <v>95</v>
      </c>
      <c r="E112" s="162" t="s">
        <v>96</v>
      </c>
      <c r="F112" s="162">
        <v>129</v>
      </c>
      <c r="G112" s="162">
        <v>1</v>
      </c>
      <c r="H112" s="162">
        <v>735373001</v>
      </c>
      <c r="I112" s="162" t="s">
        <v>207</v>
      </c>
      <c r="J112" s="171">
        <v>20</v>
      </c>
      <c r="K112" s="162" t="s">
        <v>64</v>
      </c>
      <c r="L112" s="163" t="s">
        <v>113</v>
      </c>
      <c r="M112" s="162" t="s">
        <v>99</v>
      </c>
      <c r="N112" s="161" t="s">
        <v>91</v>
      </c>
      <c r="O112" s="161">
        <v>20</v>
      </c>
      <c r="P112" s="163">
        <v>20</v>
      </c>
      <c r="Q112" s="163"/>
      <c r="R112" s="162"/>
      <c r="S112" s="164">
        <f>TABLAINV[[#This Row],[Conteo Físico]]-TABLAINV[[#This Row],[Cant. UND]]</f>
        <v>0</v>
      </c>
      <c r="T11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2" s="165" t="str">
        <f>IFERROR(IF(MOD(TABLAINV[[#This Row],[C]],2)=0,"PAR","IMPAR"),"Zona")</f>
        <v>IMPAR</v>
      </c>
      <c r="W112" s="166"/>
      <c r="X112" s="167">
        <f>IFERROR(IF(TABLAINV[[#This Row],[Cant. UND]]=0,TABLAINV[[#This Row],[PMV]]*TABLAINV[[#This Row],[Conteo Físico]],TABLAINV[[#This Row],[PMV]]*TABLAINV[[#This Row],[Cant. UND]]),0)</f>
        <v>0</v>
      </c>
      <c r="Y112" s="167">
        <f>IFERROR(ABS(TABLAINV[[#This Row],[PMV]]*TABLAINV[[#This Row],[Diferencia]]),0)</f>
        <v>0</v>
      </c>
      <c r="Z112" s="168">
        <f>IFERROR(VLOOKUP(TABLAINV[[#This Row],[Codigo Estado]],unds!O:P,2,0),"PEND.")</f>
        <v>2001</v>
      </c>
      <c r="AA112" s="168" t="str">
        <f t="shared" si="7"/>
        <v>CD09</v>
      </c>
      <c r="AB112" s="169">
        <f t="shared" ca="1" si="8"/>
        <v>45827</v>
      </c>
      <c r="AC112" s="1"/>
      <c r="AD112" s="1"/>
      <c r="AE112" s="1"/>
      <c r="AF112" s="1"/>
    </row>
    <row r="113" spans="1:32" ht="15" customHeight="1" x14ac:dyDescent="0.2">
      <c r="A113" s="170" t="str">
        <f t="shared" si="6"/>
        <v>MRC01</v>
      </c>
      <c r="B113" s="160" t="str">
        <f>IF(TABLAINV[[#This Row],[Z]]="","",D113&amp;"."&amp;TEXT(E113,"000")&amp;"."&amp;TEXT(F113,"000")&amp;"."&amp;TEXT(G113,"000"))</f>
        <v>MR.C01.129.002</v>
      </c>
      <c r="C113" s="161"/>
      <c r="D113" s="162" t="s">
        <v>95</v>
      </c>
      <c r="E113" s="162" t="s">
        <v>96</v>
      </c>
      <c r="F113" s="162">
        <v>129</v>
      </c>
      <c r="G113" s="162">
        <v>2</v>
      </c>
      <c r="H113" s="162">
        <v>342607</v>
      </c>
      <c r="I113" s="162" t="s">
        <v>126</v>
      </c>
      <c r="J113" s="171">
        <v>4</v>
      </c>
      <c r="K113" s="162" t="s">
        <v>64</v>
      </c>
      <c r="L113" s="163" t="s">
        <v>113</v>
      </c>
      <c r="M113" s="162" t="s">
        <v>99</v>
      </c>
      <c r="N113" s="161" t="s">
        <v>91</v>
      </c>
      <c r="O113" s="161">
        <v>4</v>
      </c>
      <c r="P113" s="163">
        <v>4</v>
      </c>
      <c r="Q113" s="163"/>
      <c r="R113" s="162"/>
      <c r="S113" s="164">
        <f>TABLAINV[[#This Row],[Conteo Físico]]-TABLAINV[[#This Row],[Cant. UND]]</f>
        <v>0</v>
      </c>
      <c r="T11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3" s="165" t="str">
        <f>IFERROR(IF(MOD(TABLAINV[[#This Row],[C]],2)=0,"PAR","IMPAR"),"Zona")</f>
        <v>IMPAR</v>
      </c>
      <c r="W113" s="166"/>
      <c r="X113" s="167">
        <f>IFERROR(IF(TABLAINV[[#This Row],[Cant. UND]]=0,TABLAINV[[#This Row],[PMV]]*TABLAINV[[#This Row],[Conteo Físico]],TABLAINV[[#This Row],[PMV]]*TABLAINV[[#This Row],[Cant. UND]]),0)</f>
        <v>0</v>
      </c>
      <c r="Y113" s="167">
        <f>IFERROR(ABS(TABLAINV[[#This Row],[PMV]]*TABLAINV[[#This Row],[Diferencia]]),0)</f>
        <v>0</v>
      </c>
      <c r="Z113" s="168">
        <f>IFERROR(VLOOKUP(TABLAINV[[#This Row],[Codigo Estado]],unds!O:P,2,0),"PEND.")</f>
        <v>2001</v>
      </c>
      <c r="AA113" s="168" t="str">
        <f t="shared" si="7"/>
        <v>CD09</v>
      </c>
      <c r="AB113" s="169">
        <f t="shared" ca="1" si="8"/>
        <v>45827</v>
      </c>
      <c r="AC113" s="1"/>
      <c r="AD113" s="1"/>
      <c r="AE113" s="1"/>
      <c r="AF113" s="1"/>
    </row>
    <row r="114" spans="1:32" ht="15" customHeight="1" x14ac:dyDescent="0.2">
      <c r="A114" s="170" t="str">
        <f t="shared" si="6"/>
        <v>MRC01</v>
      </c>
      <c r="B114" s="160" t="str">
        <f>IF(TABLAINV[[#This Row],[Z]]="","",D114&amp;"."&amp;TEXT(E114,"000")&amp;"."&amp;TEXT(F114,"000")&amp;"."&amp;TEXT(G114,"000"))</f>
        <v>MR.C01.129.003</v>
      </c>
      <c r="C114" s="161"/>
      <c r="D114" s="162" t="s">
        <v>95</v>
      </c>
      <c r="E114" s="162" t="s">
        <v>96</v>
      </c>
      <c r="F114" s="162">
        <v>129</v>
      </c>
      <c r="G114" s="162">
        <v>3</v>
      </c>
      <c r="H114" s="162">
        <v>789725</v>
      </c>
      <c r="I114" s="162" t="s">
        <v>208</v>
      </c>
      <c r="J114" s="171">
        <v>11</v>
      </c>
      <c r="K114" s="162" t="s">
        <v>64</v>
      </c>
      <c r="L114" s="163" t="s">
        <v>98</v>
      </c>
      <c r="M114" s="162" t="s">
        <v>99</v>
      </c>
      <c r="N114" s="161" t="s">
        <v>91</v>
      </c>
      <c r="O114" s="161">
        <v>11</v>
      </c>
      <c r="P114" s="163">
        <v>11</v>
      </c>
      <c r="Q114" s="163"/>
      <c r="R114" s="162"/>
      <c r="S114" s="164">
        <f>TABLAINV[[#This Row],[Conteo Físico]]-TABLAINV[[#This Row],[Cant. UND]]</f>
        <v>0</v>
      </c>
      <c r="T11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4" s="165" t="str">
        <f>IFERROR(IF(MOD(TABLAINV[[#This Row],[C]],2)=0,"PAR","IMPAR"),"Zona")</f>
        <v>IMPAR</v>
      </c>
      <c r="W114" s="166"/>
      <c r="X114" s="167">
        <f>IFERROR(IF(TABLAINV[[#This Row],[Cant. UND]]=0,TABLAINV[[#This Row],[PMV]]*TABLAINV[[#This Row],[Conteo Físico]],TABLAINV[[#This Row],[PMV]]*TABLAINV[[#This Row],[Cant. UND]]),0)</f>
        <v>0</v>
      </c>
      <c r="Y114" s="167">
        <f>IFERROR(ABS(TABLAINV[[#This Row],[PMV]]*TABLAINV[[#This Row],[Diferencia]]),0)</f>
        <v>0</v>
      </c>
      <c r="Z114" s="168">
        <f>IFERROR(VLOOKUP(TABLAINV[[#This Row],[Codigo Estado]],unds!O:P,2,0),"PEND.")</f>
        <v>2001</v>
      </c>
      <c r="AA114" s="168" t="str">
        <f t="shared" si="7"/>
        <v>CD09</v>
      </c>
      <c r="AB114" s="169">
        <f t="shared" ca="1" si="8"/>
        <v>45827</v>
      </c>
      <c r="AC114" s="1"/>
      <c r="AD114" s="1"/>
      <c r="AE114" s="1"/>
      <c r="AF114" s="1"/>
    </row>
    <row r="115" spans="1:32" ht="15" customHeight="1" x14ac:dyDescent="0.2">
      <c r="A115" s="170" t="str">
        <f t="shared" si="6"/>
        <v>MRC01</v>
      </c>
      <c r="B115" s="160" t="str">
        <f>IF(TABLAINV[[#This Row],[Z]]="","",D115&amp;"."&amp;TEXT(E115,"000")&amp;"."&amp;TEXT(F115,"000")&amp;"."&amp;TEXT(G115,"000"))</f>
        <v>MR.C01.130.001</v>
      </c>
      <c r="C115" s="161"/>
      <c r="D115" s="162" t="s">
        <v>95</v>
      </c>
      <c r="E115" s="162" t="s">
        <v>96</v>
      </c>
      <c r="F115" s="162">
        <v>130</v>
      </c>
      <c r="G115" s="162">
        <v>1</v>
      </c>
      <c r="H115" s="162">
        <v>49463004</v>
      </c>
      <c r="I115" s="162" t="s">
        <v>209</v>
      </c>
      <c r="J115" s="171">
        <v>24</v>
      </c>
      <c r="K115" s="162" t="s">
        <v>64</v>
      </c>
      <c r="L115" s="163" t="s">
        <v>115</v>
      </c>
      <c r="M115" s="162" t="s">
        <v>99</v>
      </c>
      <c r="N115" s="161" t="s">
        <v>91</v>
      </c>
      <c r="O115" s="161">
        <v>24</v>
      </c>
      <c r="P115" s="163">
        <v>24</v>
      </c>
      <c r="Q115" s="163"/>
      <c r="R115" s="162"/>
      <c r="S115" s="164">
        <f>TABLAINV[[#This Row],[Conteo Físico]]-TABLAINV[[#This Row],[Cant. UND]]</f>
        <v>0</v>
      </c>
      <c r="T11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5" s="165" t="str">
        <f>IFERROR(IF(MOD(TABLAINV[[#This Row],[C]],2)=0,"PAR","IMPAR"),"Zona")</f>
        <v>PAR</v>
      </c>
      <c r="W115" s="166"/>
      <c r="X115" s="167">
        <f>IFERROR(IF(TABLAINV[[#This Row],[Cant. UND]]=0,TABLAINV[[#This Row],[PMV]]*TABLAINV[[#This Row],[Conteo Físico]],TABLAINV[[#This Row],[PMV]]*TABLAINV[[#This Row],[Cant. UND]]),0)</f>
        <v>0</v>
      </c>
      <c r="Y115" s="167">
        <f>IFERROR(ABS(TABLAINV[[#This Row],[PMV]]*TABLAINV[[#This Row],[Diferencia]]),0)</f>
        <v>0</v>
      </c>
      <c r="Z115" s="168">
        <f>IFERROR(VLOOKUP(TABLAINV[[#This Row],[Codigo Estado]],unds!O:P,2,0),"PEND.")</f>
        <v>2001</v>
      </c>
      <c r="AA115" s="168" t="str">
        <f t="shared" si="7"/>
        <v>CD09</v>
      </c>
      <c r="AB115" s="169">
        <f t="shared" ca="1" si="8"/>
        <v>45827</v>
      </c>
      <c r="AC115" s="1"/>
      <c r="AD115" s="1"/>
      <c r="AE115" s="1"/>
      <c r="AF115" s="1"/>
    </row>
    <row r="116" spans="1:32" ht="15" customHeight="1" x14ac:dyDescent="0.2">
      <c r="A116" s="170" t="str">
        <f t="shared" si="6"/>
        <v>MRC01</v>
      </c>
      <c r="B116" s="160" t="str">
        <f>IF(TABLAINV[[#This Row],[Z]]="","",D116&amp;"."&amp;TEXT(E116,"000")&amp;"."&amp;TEXT(F116,"000")&amp;"."&amp;TEXT(G116,"000"))</f>
        <v>MR.C01.130.001</v>
      </c>
      <c r="C116" s="161"/>
      <c r="D116" s="162" t="s">
        <v>95</v>
      </c>
      <c r="E116" s="162" t="s">
        <v>96</v>
      </c>
      <c r="F116" s="162">
        <v>130</v>
      </c>
      <c r="G116" s="162">
        <v>1</v>
      </c>
      <c r="H116" s="162">
        <v>735373003</v>
      </c>
      <c r="I116" s="162" t="s">
        <v>210</v>
      </c>
      <c r="J116" s="171">
        <v>4</v>
      </c>
      <c r="K116" s="162" t="s">
        <v>64</v>
      </c>
      <c r="L116" s="163" t="s">
        <v>113</v>
      </c>
      <c r="M116" s="162" t="s">
        <v>99</v>
      </c>
      <c r="N116" s="161" t="s">
        <v>91</v>
      </c>
      <c r="O116" s="161">
        <v>4</v>
      </c>
      <c r="P116" s="163">
        <v>4</v>
      </c>
      <c r="Q116" s="163"/>
      <c r="R116" s="162"/>
      <c r="S116" s="164">
        <f>TABLAINV[[#This Row],[Conteo Físico]]-TABLAINV[[#This Row],[Cant. UND]]</f>
        <v>0</v>
      </c>
      <c r="T11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6" s="165" t="str">
        <f>IFERROR(IF(MOD(TABLAINV[[#This Row],[C]],2)=0,"PAR","IMPAR"),"Zona")</f>
        <v>PAR</v>
      </c>
      <c r="W116" s="166"/>
      <c r="X116" s="167">
        <f>IFERROR(IF(TABLAINV[[#This Row],[Cant. UND]]=0,TABLAINV[[#This Row],[PMV]]*TABLAINV[[#This Row],[Conteo Físico]],TABLAINV[[#This Row],[PMV]]*TABLAINV[[#This Row],[Cant. UND]]),0)</f>
        <v>0</v>
      </c>
      <c r="Y116" s="167">
        <f>IFERROR(ABS(TABLAINV[[#This Row],[PMV]]*TABLAINV[[#This Row],[Diferencia]]),0)</f>
        <v>0</v>
      </c>
      <c r="Z116" s="168">
        <f>IFERROR(VLOOKUP(TABLAINV[[#This Row],[Codigo Estado]],unds!O:P,2,0),"PEND.")</f>
        <v>2001</v>
      </c>
      <c r="AA116" s="168" t="str">
        <f t="shared" si="7"/>
        <v>CD09</v>
      </c>
      <c r="AB116" s="169">
        <f t="shared" ca="1" si="8"/>
        <v>45827</v>
      </c>
      <c r="AC116" s="1"/>
      <c r="AD116" s="1"/>
      <c r="AE116" s="1"/>
      <c r="AF116" s="1"/>
    </row>
    <row r="117" spans="1:32" ht="15" customHeight="1" x14ac:dyDescent="0.2">
      <c r="A117" s="170" t="str">
        <f t="shared" si="6"/>
        <v>MRC01</v>
      </c>
      <c r="B117" s="160" t="str">
        <f>IF(TABLAINV[[#This Row],[Z]]="","",D117&amp;"."&amp;TEXT(E117,"000")&amp;"."&amp;TEXT(F117,"000")&amp;"."&amp;TEXT(G117,"000"))</f>
        <v>MR.C01.130.002</v>
      </c>
      <c r="C117" s="161"/>
      <c r="D117" s="162" t="s">
        <v>95</v>
      </c>
      <c r="E117" s="162" t="s">
        <v>96</v>
      </c>
      <c r="F117" s="162">
        <v>130</v>
      </c>
      <c r="G117" s="162">
        <v>2</v>
      </c>
      <c r="H117" s="162">
        <v>562742</v>
      </c>
      <c r="I117" s="162" t="s">
        <v>211</v>
      </c>
      <c r="J117" s="171">
        <v>2</v>
      </c>
      <c r="K117" s="162" t="s">
        <v>64</v>
      </c>
      <c r="L117" s="163" t="s">
        <v>212</v>
      </c>
      <c r="M117" s="162" t="s">
        <v>99</v>
      </c>
      <c r="N117" s="161" t="s">
        <v>91</v>
      </c>
      <c r="O117" s="161">
        <v>2</v>
      </c>
      <c r="P117" s="163">
        <v>2</v>
      </c>
      <c r="Q117" s="163"/>
      <c r="R117" s="162"/>
      <c r="S117" s="164">
        <f>TABLAINV[[#This Row],[Conteo Físico]]-TABLAINV[[#This Row],[Cant. UND]]</f>
        <v>0</v>
      </c>
      <c r="T11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7" s="165" t="str">
        <f>IFERROR(IF(MOD(TABLAINV[[#This Row],[C]],2)=0,"PAR","IMPAR"),"Zona")</f>
        <v>PAR</v>
      </c>
      <c r="W117" s="166"/>
      <c r="X117" s="167">
        <f>IFERROR(IF(TABLAINV[[#This Row],[Cant. UND]]=0,TABLAINV[[#This Row],[PMV]]*TABLAINV[[#This Row],[Conteo Físico]],TABLAINV[[#This Row],[PMV]]*TABLAINV[[#This Row],[Cant. UND]]),0)</f>
        <v>0</v>
      </c>
      <c r="Y117" s="167">
        <f>IFERROR(ABS(TABLAINV[[#This Row],[PMV]]*TABLAINV[[#This Row],[Diferencia]]),0)</f>
        <v>0</v>
      </c>
      <c r="Z117" s="168">
        <f>IFERROR(VLOOKUP(TABLAINV[[#This Row],[Codigo Estado]],unds!O:P,2,0),"PEND.")</f>
        <v>2001</v>
      </c>
      <c r="AA117" s="168" t="str">
        <f t="shared" si="7"/>
        <v>CD09</v>
      </c>
      <c r="AB117" s="169">
        <f t="shared" ca="1" si="8"/>
        <v>45827</v>
      </c>
      <c r="AC117" s="1"/>
      <c r="AD117" s="1"/>
      <c r="AE117" s="1"/>
      <c r="AF117" s="1"/>
    </row>
    <row r="118" spans="1:32" ht="15" customHeight="1" x14ac:dyDescent="0.2">
      <c r="A118" s="170" t="str">
        <f t="shared" si="6"/>
        <v>MRC01</v>
      </c>
      <c r="B118" s="160" t="str">
        <f>IF(TABLAINV[[#This Row],[Z]]="","",D118&amp;"."&amp;TEXT(E118,"000")&amp;"."&amp;TEXT(F118,"000")&amp;"."&amp;TEXT(G118,"000"))</f>
        <v>MR.C01.130.002</v>
      </c>
      <c r="C118" s="161"/>
      <c r="D118" s="162" t="s">
        <v>95</v>
      </c>
      <c r="E118" s="162" t="s">
        <v>96</v>
      </c>
      <c r="F118" s="162">
        <v>130</v>
      </c>
      <c r="G118" s="162">
        <v>2</v>
      </c>
      <c r="H118" s="162">
        <v>735373003</v>
      </c>
      <c r="I118" s="162" t="s">
        <v>210</v>
      </c>
      <c r="J118" s="171">
        <v>8</v>
      </c>
      <c r="K118" s="162" t="s">
        <v>64</v>
      </c>
      <c r="L118" s="163" t="s">
        <v>113</v>
      </c>
      <c r="M118" s="162" t="s">
        <v>99</v>
      </c>
      <c r="N118" s="161" t="s">
        <v>91</v>
      </c>
      <c r="O118" s="161">
        <v>8</v>
      </c>
      <c r="P118" s="163">
        <v>8</v>
      </c>
      <c r="Q118" s="163"/>
      <c r="R118" s="162"/>
      <c r="S118" s="164">
        <f>TABLAINV[[#This Row],[Conteo Físico]]-TABLAINV[[#This Row],[Cant. UND]]</f>
        <v>0</v>
      </c>
      <c r="T11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8" s="165" t="str">
        <f>IFERROR(IF(MOD(TABLAINV[[#This Row],[C]],2)=0,"PAR","IMPAR"),"Zona")</f>
        <v>PAR</v>
      </c>
      <c r="W118" s="166"/>
      <c r="X118" s="167">
        <f>IFERROR(IF(TABLAINV[[#This Row],[Cant. UND]]=0,TABLAINV[[#This Row],[PMV]]*TABLAINV[[#This Row],[Conteo Físico]],TABLAINV[[#This Row],[PMV]]*TABLAINV[[#This Row],[Cant. UND]]),0)</f>
        <v>0</v>
      </c>
      <c r="Y118" s="167">
        <f>IFERROR(ABS(TABLAINV[[#This Row],[PMV]]*TABLAINV[[#This Row],[Diferencia]]),0)</f>
        <v>0</v>
      </c>
      <c r="Z118" s="168">
        <f>IFERROR(VLOOKUP(TABLAINV[[#This Row],[Codigo Estado]],unds!O:P,2,0),"PEND.")</f>
        <v>2001</v>
      </c>
      <c r="AA118" s="168" t="str">
        <f t="shared" si="7"/>
        <v>CD09</v>
      </c>
      <c r="AB118" s="169">
        <f t="shared" ca="1" si="8"/>
        <v>45827</v>
      </c>
      <c r="AC118" s="1"/>
      <c r="AD118" s="1"/>
      <c r="AE118" s="1"/>
      <c r="AF118" s="1"/>
    </row>
    <row r="119" spans="1:32" ht="15" customHeight="1" x14ac:dyDescent="0.2">
      <c r="A119" s="170" t="str">
        <f t="shared" si="6"/>
        <v>MRC01</v>
      </c>
      <c r="B119" s="160" t="str">
        <f>IF(TABLAINV[[#This Row],[Z]]="","",D119&amp;"."&amp;TEXT(E119,"000")&amp;"."&amp;TEXT(F119,"000")&amp;"."&amp;TEXT(G119,"000"))</f>
        <v>MR.C01.130.003</v>
      </c>
      <c r="C119" s="161"/>
      <c r="D119" s="162" t="s">
        <v>95</v>
      </c>
      <c r="E119" s="162" t="s">
        <v>96</v>
      </c>
      <c r="F119" s="162">
        <v>130</v>
      </c>
      <c r="G119" s="162">
        <v>3</v>
      </c>
      <c r="H119" s="162">
        <v>4759</v>
      </c>
      <c r="I119" s="162" t="s">
        <v>213</v>
      </c>
      <c r="J119" s="171">
        <v>34</v>
      </c>
      <c r="K119" s="162" t="s">
        <v>64</v>
      </c>
      <c r="L119" s="163" t="s">
        <v>161</v>
      </c>
      <c r="M119" s="162" t="s">
        <v>99</v>
      </c>
      <c r="N119" s="161" t="s">
        <v>91</v>
      </c>
      <c r="O119" s="161">
        <v>34</v>
      </c>
      <c r="P119" s="163">
        <v>34</v>
      </c>
      <c r="Q119" s="163"/>
      <c r="R119" s="162"/>
      <c r="S119" s="164">
        <f>TABLAINV[[#This Row],[Conteo Físico]]-TABLAINV[[#This Row],[Cant. UND]]</f>
        <v>0</v>
      </c>
      <c r="T11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1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19" s="165" t="str">
        <f>IFERROR(IF(MOD(TABLAINV[[#This Row],[C]],2)=0,"PAR","IMPAR"),"Zona")</f>
        <v>PAR</v>
      </c>
      <c r="W119" s="166"/>
      <c r="X119" s="167">
        <f>IFERROR(IF(TABLAINV[[#This Row],[Cant. UND]]=0,TABLAINV[[#This Row],[PMV]]*TABLAINV[[#This Row],[Conteo Físico]],TABLAINV[[#This Row],[PMV]]*TABLAINV[[#This Row],[Cant. UND]]),0)</f>
        <v>0</v>
      </c>
      <c r="Y119" s="167">
        <f>IFERROR(ABS(TABLAINV[[#This Row],[PMV]]*TABLAINV[[#This Row],[Diferencia]]),0)</f>
        <v>0</v>
      </c>
      <c r="Z119" s="168">
        <f>IFERROR(VLOOKUP(TABLAINV[[#This Row],[Codigo Estado]],unds!O:P,2,0),"PEND.")</f>
        <v>2001</v>
      </c>
      <c r="AA119" s="168" t="str">
        <f t="shared" si="7"/>
        <v>CD09</v>
      </c>
      <c r="AB119" s="169">
        <f t="shared" ca="1" si="8"/>
        <v>45827</v>
      </c>
      <c r="AC119" s="1"/>
      <c r="AD119" s="1"/>
      <c r="AE119" s="1"/>
      <c r="AF119" s="1"/>
    </row>
    <row r="120" spans="1:32" ht="15" customHeight="1" x14ac:dyDescent="0.2">
      <c r="A120" s="170" t="str">
        <f t="shared" si="6"/>
        <v>MRC01</v>
      </c>
      <c r="B120" s="160" t="str">
        <f>IF(TABLAINV[[#This Row],[Z]]="","",D120&amp;"."&amp;TEXT(E120,"000")&amp;"."&amp;TEXT(F120,"000")&amp;"."&amp;TEXT(G120,"000"))</f>
        <v>MR.C01.130.003</v>
      </c>
      <c r="C120" s="161"/>
      <c r="D120" s="162" t="s">
        <v>95</v>
      </c>
      <c r="E120" s="162" t="s">
        <v>96</v>
      </c>
      <c r="F120" s="162">
        <v>130</v>
      </c>
      <c r="G120" s="162">
        <v>3</v>
      </c>
      <c r="H120" s="162">
        <v>531747</v>
      </c>
      <c r="I120" s="162" t="s">
        <v>214</v>
      </c>
      <c r="J120" s="171">
        <v>6</v>
      </c>
      <c r="K120" s="162" t="s">
        <v>64</v>
      </c>
      <c r="L120" s="163" t="s">
        <v>115</v>
      </c>
      <c r="M120" s="162" t="s">
        <v>99</v>
      </c>
      <c r="N120" s="161" t="s">
        <v>91</v>
      </c>
      <c r="O120" s="161">
        <v>6</v>
      </c>
      <c r="P120" s="163">
        <v>6</v>
      </c>
      <c r="Q120" s="163"/>
      <c r="R120" s="162"/>
      <c r="S120" s="164">
        <f>TABLAINV[[#This Row],[Conteo Físico]]-TABLAINV[[#This Row],[Cant. UND]]</f>
        <v>0</v>
      </c>
      <c r="T12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0" s="165" t="str">
        <f>IFERROR(IF(MOD(TABLAINV[[#This Row],[C]],2)=0,"PAR","IMPAR"),"Zona")</f>
        <v>PAR</v>
      </c>
      <c r="W120" s="166"/>
      <c r="X120" s="167">
        <f>IFERROR(IF(TABLAINV[[#This Row],[Cant. UND]]=0,TABLAINV[[#This Row],[PMV]]*TABLAINV[[#This Row],[Conteo Físico]],TABLAINV[[#This Row],[PMV]]*TABLAINV[[#This Row],[Cant. UND]]),0)</f>
        <v>0</v>
      </c>
      <c r="Y120" s="167">
        <f>IFERROR(ABS(TABLAINV[[#This Row],[PMV]]*TABLAINV[[#This Row],[Diferencia]]),0)</f>
        <v>0</v>
      </c>
      <c r="Z120" s="168">
        <f>IFERROR(VLOOKUP(TABLAINV[[#This Row],[Codigo Estado]],unds!O:P,2,0),"PEND.")</f>
        <v>2001</v>
      </c>
      <c r="AA120" s="168" t="str">
        <f t="shared" si="7"/>
        <v>CD09</v>
      </c>
      <c r="AB120" s="169">
        <f t="shared" ca="1" si="8"/>
        <v>45827</v>
      </c>
      <c r="AC120" s="1"/>
      <c r="AD120" s="1"/>
      <c r="AE120" s="1"/>
      <c r="AF120" s="1"/>
    </row>
    <row r="121" spans="1:32" ht="15" customHeight="1" x14ac:dyDescent="0.2">
      <c r="A121" s="170" t="str">
        <f t="shared" si="6"/>
        <v>MRC01</v>
      </c>
      <c r="B121" s="160" t="str">
        <f>IF(TABLAINV[[#This Row],[Z]]="","",D121&amp;"."&amp;TEXT(E121,"000")&amp;"."&amp;TEXT(F121,"000")&amp;"."&amp;TEXT(G121,"000"))</f>
        <v>MR.C01.130.003</v>
      </c>
      <c r="C121" s="161"/>
      <c r="D121" s="162" t="s">
        <v>95</v>
      </c>
      <c r="E121" s="162" t="s">
        <v>96</v>
      </c>
      <c r="F121" s="162">
        <v>130</v>
      </c>
      <c r="G121" s="162">
        <v>3</v>
      </c>
      <c r="H121" s="162">
        <v>533047006</v>
      </c>
      <c r="I121" s="162" t="s">
        <v>215</v>
      </c>
      <c r="J121" s="171">
        <v>20</v>
      </c>
      <c r="K121" s="162" t="s">
        <v>64</v>
      </c>
      <c r="L121" s="163" t="s">
        <v>108</v>
      </c>
      <c r="M121" s="162" t="s">
        <v>99</v>
      </c>
      <c r="N121" s="161" t="s">
        <v>91</v>
      </c>
      <c r="O121" s="161">
        <v>20</v>
      </c>
      <c r="P121" s="163">
        <v>20</v>
      </c>
      <c r="Q121" s="163"/>
      <c r="R121" s="162"/>
      <c r="S121" s="164">
        <f>TABLAINV[[#This Row],[Conteo Físico]]-TABLAINV[[#This Row],[Cant. UND]]</f>
        <v>0</v>
      </c>
      <c r="T12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1" s="165" t="str">
        <f>IFERROR(IF(MOD(TABLAINV[[#This Row],[C]],2)=0,"PAR","IMPAR"),"Zona")</f>
        <v>PAR</v>
      </c>
      <c r="W121" s="166"/>
      <c r="X121" s="167">
        <f>IFERROR(IF(TABLAINV[[#This Row],[Cant. UND]]=0,TABLAINV[[#This Row],[PMV]]*TABLAINV[[#This Row],[Conteo Físico]],TABLAINV[[#This Row],[PMV]]*TABLAINV[[#This Row],[Cant. UND]]),0)</f>
        <v>0</v>
      </c>
      <c r="Y121" s="167">
        <f>IFERROR(ABS(TABLAINV[[#This Row],[PMV]]*TABLAINV[[#This Row],[Diferencia]]),0)</f>
        <v>0</v>
      </c>
      <c r="Z121" s="168">
        <f>IFERROR(VLOOKUP(TABLAINV[[#This Row],[Codigo Estado]],unds!O:P,2,0),"PEND.")</f>
        <v>2001</v>
      </c>
      <c r="AA121" s="168" t="str">
        <f t="shared" si="7"/>
        <v>CD09</v>
      </c>
      <c r="AB121" s="169">
        <f t="shared" ca="1" si="8"/>
        <v>45827</v>
      </c>
      <c r="AC121" s="1"/>
      <c r="AD121" s="1"/>
      <c r="AE121" s="1"/>
      <c r="AF121" s="1"/>
    </row>
    <row r="122" spans="1:32" ht="15" customHeight="1" x14ac:dyDescent="0.2">
      <c r="A122" s="170" t="str">
        <f t="shared" si="6"/>
        <v>MRC01</v>
      </c>
      <c r="B122" s="160" t="str">
        <f>IF(TABLAINV[[#This Row],[Z]]="","",D122&amp;"."&amp;TEXT(E122,"000")&amp;"."&amp;TEXT(F122,"000")&amp;"."&amp;TEXT(G122,"000"))</f>
        <v>MR.C01.135.001</v>
      </c>
      <c r="C122" s="161"/>
      <c r="D122" s="162" t="s">
        <v>95</v>
      </c>
      <c r="E122" s="162" t="s">
        <v>96</v>
      </c>
      <c r="F122" s="162">
        <v>135</v>
      </c>
      <c r="G122" s="162">
        <v>1</v>
      </c>
      <c r="H122" s="162">
        <v>203744</v>
      </c>
      <c r="I122" s="162" t="s">
        <v>216</v>
      </c>
      <c r="J122" s="171">
        <v>4</v>
      </c>
      <c r="K122" s="162" t="s">
        <v>64</v>
      </c>
      <c r="L122" s="163" t="s">
        <v>115</v>
      </c>
      <c r="M122" s="162" t="s">
        <v>99</v>
      </c>
      <c r="N122" s="161" t="s">
        <v>91</v>
      </c>
      <c r="O122" s="161">
        <v>4</v>
      </c>
      <c r="P122" s="163">
        <v>4</v>
      </c>
      <c r="Q122" s="163"/>
      <c r="R122" s="162"/>
      <c r="S122" s="164">
        <f>TABLAINV[[#This Row],[Conteo Físico]]-TABLAINV[[#This Row],[Cant. UND]]</f>
        <v>0</v>
      </c>
      <c r="T12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2" s="165" t="str">
        <f>IFERROR(IF(MOD(TABLAINV[[#This Row],[C]],2)=0,"PAR","IMPAR"),"Zona")</f>
        <v>IMPAR</v>
      </c>
      <c r="W122" s="166"/>
      <c r="X122" s="167">
        <f>IFERROR(IF(TABLAINV[[#This Row],[Cant. UND]]=0,TABLAINV[[#This Row],[PMV]]*TABLAINV[[#This Row],[Conteo Físico]],TABLAINV[[#This Row],[PMV]]*TABLAINV[[#This Row],[Cant. UND]]),0)</f>
        <v>0</v>
      </c>
      <c r="Y122" s="167">
        <f>IFERROR(ABS(TABLAINV[[#This Row],[PMV]]*TABLAINV[[#This Row],[Diferencia]]),0)</f>
        <v>0</v>
      </c>
      <c r="Z122" s="168">
        <f>IFERROR(VLOOKUP(TABLAINV[[#This Row],[Codigo Estado]],unds!O:P,2,0),"PEND.")</f>
        <v>2001</v>
      </c>
      <c r="AA122" s="168" t="str">
        <f t="shared" si="7"/>
        <v>CD09</v>
      </c>
      <c r="AB122" s="169">
        <f t="shared" ca="1" si="8"/>
        <v>45827</v>
      </c>
      <c r="AC122" s="1"/>
      <c r="AD122" s="1"/>
      <c r="AE122" s="1"/>
      <c r="AF122" s="1"/>
    </row>
    <row r="123" spans="1:32" ht="15" customHeight="1" x14ac:dyDescent="0.2">
      <c r="A123" s="170" t="str">
        <f t="shared" si="6"/>
        <v>MRC01</v>
      </c>
      <c r="B123" s="160" t="str">
        <f>IF(TABLAINV[[#This Row],[Z]]="","",D123&amp;"."&amp;TEXT(E123,"000")&amp;"."&amp;TEXT(F123,"000")&amp;"."&amp;TEXT(G123,"000"))</f>
        <v>MR.C01.135.001</v>
      </c>
      <c r="C123" s="161"/>
      <c r="D123" s="162" t="s">
        <v>95</v>
      </c>
      <c r="E123" s="162" t="s">
        <v>96</v>
      </c>
      <c r="F123" s="162">
        <v>135</v>
      </c>
      <c r="G123" s="162">
        <v>1</v>
      </c>
      <c r="H123" s="162">
        <v>4231</v>
      </c>
      <c r="I123" s="162" t="s">
        <v>217</v>
      </c>
      <c r="J123" s="171">
        <v>6</v>
      </c>
      <c r="K123" s="162" t="s">
        <v>64</v>
      </c>
      <c r="L123" s="163" t="s">
        <v>218</v>
      </c>
      <c r="M123" s="162" t="s">
        <v>99</v>
      </c>
      <c r="N123" s="161" t="s">
        <v>91</v>
      </c>
      <c r="O123" s="161">
        <v>6</v>
      </c>
      <c r="P123" s="163">
        <v>6</v>
      </c>
      <c r="Q123" s="163"/>
      <c r="R123" s="162"/>
      <c r="S123" s="164">
        <f>TABLAINV[[#This Row],[Conteo Físico]]-TABLAINV[[#This Row],[Cant. UND]]</f>
        <v>0</v>
      </c>
      <c r="T12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3" s="165" t="str">
        <f>IFERROR(IF(MOD(TABLAINV[[#This Row],[C]],2)=0,"PAR","IMPAR"),"Zona")</f>
        <v>IMPAR</v>
      </c>
      <c r="W123" s="166"/>
      <c r="X123" s="167">
        <f>IFERROR(IF(TABLAINV[[#This Row],[Cant. UND]]=0,TABLAINV[[#This Row],[PMV]]*TABLAINV[[#This Row],[Conteo Físico]],TABLAINV[[#This Row],[PMV]]*TABLAINV[[#This Row],[Cant. UND]]),0)</f>
        <v>0</v>
      </c>
      <c r="Y123" s="167">
        <f>IFERROR(ABS(TABLAINV[[#This Row],[PMV]]*TABLAINV[[#This Row],[Diferencia]]),0)</f>
        <v>0</v>
      </c>
      <c r="Z123" s="168">
        <f>IFERROR(VLOOKUP(TABLAINV[[#This Row],[Codigo Estado]],unds!O:P,2,0),"PEND.")</f>
        <v>2001</v>
      </c>
      <c r="AA123" s="168" t="str">
        <f t="shared" si="7"/>
        <v>CD09</v>
      </c>
      <c r="AB123" s="169">
        <f t="shared" ca="1" si="8"/>
        <v>45827</v>
      </c>
      <c r="AC123" s="1"/>
      <c r="AD123" s="1"/>
      <c r="AE123" s="1"/>
      <c r="AF123" s="1"/>
    </row>
    <row r="124" spans="1:32" ht="15" customHeight="1" x14ac:dyDescent="0.2">
      <c r="A124" s="170" t="str">
        <f t="shared" si="6"/>
        <v>MRC01</v>
      </c>
      <c r="B124" s="160" t="str">
        <f>IF(TABLAINV[[#This Row],[Z]]="","",D124&amp;"."&amp;TEXT(E124,"000")&amp;"."&amp;TEXT(F124,"000")&amp;"."&amp;TEXT(G124,"000"))</f>
        <v>MR.C01.135.001</v>
      </c>
      <c r="C124" s="161"/>
      <c r="D124" s="162" t="s">
        <v>95</v>
      </c>
      <c r="E124" s="162" t="s">
        <v>96</v>
      </c>
      <c r="F124" s="162">
        <v>135</v>
      </c>
      <c r="G124" s="162">
        <v>1</v>
      </c>
      <c r="H124" s="162">
        <v>735373001</v>
      </c>
      <c r="I124" s="162" t="s">
        <v>207</v>
      </c>
      <c r="J124" s="171">
        <v>2</v>
      </c>
      <c r="K124" s="162" t="s">
        <v>64</v>
      </c>
      <c r="L124" s="163" t="s">
        <v>113</v>
      </c>
      <c r="M124" s="162" t="s">
        <v>99</v>
      </c>
      <c r="N124" s="161" t="s">
        <v>91</v>
      </c>
      <c r="O124" s="161">
        <v>2</v>
      </c>
      <c r="P124" s="163">
        <v>2</v>
      </c>
      <c r="Q124" s="163"/>
      <c r="R124" s="162"/>
      <c r="S124" s="164">
        <f>TABLAINV[[#This Row],[Conteo Físico]]-TABLAINV[[#This Row],[Cant. UND]]</f>
        <v>0</v>
      </c>
      <c r="T12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4" s="165" t="str">
        <f>IFERROR(IF(MOD(TABLAINV[[#This Row],[C]],2)=0,"PAR","IMPAR"),"Zona")</f>
        <v>IMPAR</v>
      </c>
      <c r="W124" s="166"/>
      <c r="X124" s="167">
        <f>IFERROR(IF(TABLAINV[[#This Row],[Cant. UND]]=0,TABLAINV[[#This Row],[PMV]]*TABLAINV[[#This Row],[Conteo Físico]],TABLAINV[[#This Row],[PMV]]*TABLAINV[[#This Row],[Cant. UND]]),0)</f>
        <v>0</v>
      </c>
      <c r="Y124" s="167">
        <f>IFERROR(ABS(TABLAINV[[#This Row],[PMV]]*TABLAINV[[#This Row],[Diferencia]]),0)</f>
        <v>0</v>
      </c>
      <c r="Z124" s="168">
        <f>IFERROR(VLOOKUP(TABLAINV[[#This Row],[Codigo Estado]],unds!O:P,2,0),"PEND.")</f>
        <v>2001</v>
      </c>
      <c r="AA124" s="168" t="str">
        <f t="shared" si="7"/>
        <v>CD09</v>
      </c>
      <c r="AB124" s="169">
        <f t="shared" ca="1" si="8"/>
        <v>45827</v>
      </c>
      <c r="AC124" s="1"/>
      <c r="AD124" s="1"/>
      <c r="AE124" s="1"/>
      <c r="AF124" s="1"/>
    </row>
    <row r="125" spans="1:32" ht="15" customHeight="1" x14ac:dyDescent="0.2">
      <c r="A125" s="170" t="str">
        <f t="shared" si="6"/>
        <v>MRC01</v>
      </c>
      <c r="B125" s="160" t="str">
        <f>IF(TABLAINV[[#This Row],[Z]]="","",D125&amp;"."&amp;TEXT(E125,"000")&amp;"."&amp;TEXT(F125,"000")&amp;"."&amp;TEXT(G125,"000"))</f>
        <v>MR.C01.135.002</v>
      </c>
      <c r="C125" s="161"/>
      <c r="D125" s="162" t="s">
        <v>95</v>
      </c>
      <c r="E125" s="162" t="s">
        <v>96</v>
      </c>
      <c r="F125" s="162">
        <v>135</v>
      </c>
      <c r="G125" s="162">
        <v>2</v>
      </c>
      <c r="H125" s="162">
        <v>373210</v>
      </c>
      <c r="I125" s="162" t="s">
        <v>219</v>
      </c>
      <c r="J125" s="171">
        <v>2</v>
      </c>
      <c r="K125" s="162" t="s">
        <v>64</v>
      </c>
      <c r="L125" s="163" t="s">
        <v>98</v>
      </c>
      <c r="M125" s="162" t="s">
        <v>99</v>
      </c>
      <c r="N125" s="161" t="s">
        <v>91</v>
      </c>
      <c r="O125" s="161">
        <v>2</v>
      </c>
      <c r="P125" s="163">
        <v>2</v>
      </c>
      <c r="Q125" s="163"/>
      <c r="R125" s="162"/>
      <c r="S125" s="164">
        <f>TABLAINV[[#This Row],[Conteo Físico]]-TABLAINV[[#This Row],[Cant. UND]]</f>
        <v>0</v>
      </c>
      <c r="T12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5" s="165" t="str">
        <f>IFERROR(IF(MOD(TABLAINV[[#This Row],[C]],2)=0,"PAR","IMPAR"),"Zona")</f>
        <v>IMPAR</v>
      </c>
      <c r="W125" s="166"/>
      <c r="X125" s="167">
        <f>IFERROR(IF(TABLAINV[[#This Row],[Cant. UND]]=0,TABLAINV[[#This Row],[PMV]]*TABLAINV[[#This Row],[Conteo Físico]],TABLAINV[[#This Row],[PMV]]*TABLAINV[[#This Row],[Cant. UND]]),0)</f>
        <v>0</v>
      </c>
      <c r="Y125" s="167">
        <f>IFERROR(ABS(TABLAINV[[#This Row],[PMV]]*TABLAINV[[#This Row],[Diferencia]]),0)</f>
        <v>0</v>
      </c>
      <c r="Z125" s="168">
        <f>IFERROR(VLOOKUP(TABLAINV[[#This Row],[Codigo Estado]],unds!O:P,2,0),"PEND.")</f>
        <v>2001</v>
      </c>
      <c r="AA125" s="168" t="str">
        <f t="shared" si="7"/>
        <v>CD09</v>
      </c>
      <c r="AB125" s="169">
        <f t="shared" ca="1" si="8"/>
        <v>45827</v>
      </c>
      <c r="AC125" s="1"/>
      <c r="AD125" s="1"/>
      <c r="AE125" s="1"/>
      <c r="AF125" s="1"/>
    </row>
    <row r="126" spans="1:32" ht="15" customHeight="1" x14ac:dyDescent="0.2">
      <c r="A126" s="170" t="str">
        <f t="shared" si="6"/>
        <v>MRC01</v>
      </c>
      <c r="B126" s="160" t="str">
        <f>IF(TABLAINV[[#This Row],[Z]]="","",D126&amp;"."&amp;TEXT(E126,"000")&amp;"."&amp;TEXT(F126,"000")&amp;"."&amp;TEXT(G126,"000"))</f>
        <v>MR.C01.135.002</v>
      </c>
      <c r="C126" s="161"/>
      <c r="D126" s="162" t="s">
        <v>95</v>
      </c>
      <c r="E126" s="162" t="s">
        <v>96</v>
      </c>
      <c r="F126" s="162">
        <v>135</v>
      </c>
      <c r="G126" s="162">
        <v>2</v>
      </c>
      <c r="H126" s="162">
        <v>4724</v>
      </c>
      <c r="I126" s="162" t="s">
        <v>220</v>
      </c>
      <c r="J126" s="171">
        <v>12</v>
      </c>
      <c r="K126" s="162" t="s">
        <v>64</v>
      </c>
      <c r="L126" s="163" t="s">
        <v>221</v>
      </c>
      <c r="M126" s="162" t="s">
        <v>99</v>
      </c>
      <c r="N126" s="161" t="s">
        <v>91</v>
      </c>
      <c r="O126" s="161">
        <v>12</v>
      </c>
      <c r="P126" s="163">
        <v>12</v>
      </c>
      <c r="Q126" s="163"/>
      <c r="R126" s="162"/>
      <c r="S126" s="164">
        <f>TABLAINV[[#This Row],[Conteo Físico]]-TABLAINV[[#This Row],[Cant. UND]]</f>
        <v>0</v>
      </c>
      <c r="T12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6" s="165" t="str">
        <f>IFERROR(IF(MOD(TABLAINV[[#This Row],[C]],2)=0,"PAR","IMPAR"),"Zona")</f>
        <v>IMPAR</v>
      </c>
      <c r="W126" s="166"/>
      <c r="X126" s="167">
        <f>IFERROR(IF(TABLAINV[[#This Row],[Cant. UND]]=0,TABLAINV[[#This Row],[PMV]]*TABLAINV[[#This Row],[Conteo Físico]],TABLAINV[[#This Row],[PMV]]*TABLAINV[[#This Row],[Cant. UND]]),0)</f>
        <v>0</v>
      </c>
      <c r="Y126" s="167">
        <f>IFERROR(ABS(TABLAINV[[#This Row],[PMV]]*TABLAINV[[#This Row],[Diferencia]]),0)</f>
        <v>0</v>
      </c>
      <c r="Z126" s="168">
        <f>IFERROR(VLOOKUP(TABLAINV[[#This Row],[Codigo Estado]],unds!O:P,2,0),"PEND.")</f>
        <v>2001</v>
      </c>
      <c r="AA126" s="168" t="str">
        <f t="shared" si="7"/>
        <v>CD09</v>
      </c>
      <c r="AB126" s="169">
        <f t="shared" ca="1" si="8"/>
        <v>45827</v>
      </c>
      <c r="AC126" s="1"/>
      <c r="AD126" s="1"/>
      <c r="AE126" s="1"/>
      <c r="AF126" s="1"/>
    </row>
    <row r="127" spans="1:32" ht="15" customHeight="1" x14ac:dyDescent="0.2">
      <c r="A127" s="170" t="str">
        <f t="shared" si="6"/>
        <v>MRC01</v>
      </c>
      <c r="B127" s="160" t="str">
        <f>IF(TABLAINV[[#This Row],[Z]]="","",D127&amp;"."&amp;TEXT(E127,"000")&amp;"."&amp;TEXT(F127,"000")&amp;"."&amp;TEXT(G127,"000"))</f>
        <v>MR.C01.136.002</v>
      </c>
      <c r="C127" s="161"/>
      <c r="D127" s="162" t="s">
        <v>95</v>
      </c>
      <c r="E127" s="162" t="s">
        <v>96</v>
      </c>
      <c r="F127" s="162">
        <v>136</v>
      </c>
      <c r="G127" s="162">
        <v>2</v>
      </c>
      <c r="H127" s="162">
        <v>143829</v>
      </c>
      <c r="I127" s="162" t="s">
        <v>222</v>
      </c>
      <c r="J127" s="171">
        <v>3</v>
      </c>
      <c r="K127" s="162" t="s">
        <v>64</v>
      </c>
      <c r="L127" s="163" t="s">
        <v>115</v>
      </c>
      <c r="M127" s="162" t="s">
        <v>99</v>
      </c>
      <c r="N127" s="161" t="s">
        <v>91</v>
      </c>
      <c r="O127" s="161">
        <v>3</v>
      </c>
      <c r="P127" s="163">
        <v>3</v>
      </c>
      <c r="Q127" s="163"/>
      <c r="R127" s="162"/>
      <c r="S127" s="164">
        <f>TABLAINV[[#This Row],[Conteo Físico]]-TABLAINV[[#This Row],[Cant. UND]]</f>
        <v>0</v>
      </c>
      <c r="T12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7" s="165" t="str">
        <f>IFERROR(IF(MOD(TABLAINV[[#This Row],[C]],2)=0,"PAR","IMPAR"),"Zona")</f>
        <v>PAR</v>
      </c>
      <c r="W127" s="166"/>
      <c r="X127" s="167">
        <f>IFERROR(IF(TABLAINV[[#This Row],[Cant. UND]]=0,TABLAINV[[#This Row],[PMV]]*TABLAINV[[#This Row],[Conteo Físico]],TABLAINV[[#This Row],[PMV]]*TABLAINV[[#This Row],[Cant. UND]]),0)</f>
        <v>0</v>
      </c>
      <c r="Y127" s="167">
        <f>IFERROR(ABS(TABLAINV[[#This Row],[PMV]]*TABLAINV[[#This Row],[Diferencia]]),0)</f>
        <v>0</v>
      </c>
      <c r="Z127" s="168">
        <f>IFERROR(VLOOKUP(TABLAINV[[#This Row],[Codigo Estado]],unds!O:P,2,0),"PEND.")</f>
        <v>2001</v>
      </c>
      <c r="AA127" s="168" t="str">
        <f t="shared" si="7"/>
        <v>CD09</v>
      </c>
      <c r="AB127" s="169">
        <f t="shared" ca="1" si="8"/>
        <v>45827</v>
      </c>
      <c r="AC127" s="1"/>
      <c r="AD127" s="1"/>
      <c r="AE127" s="1"/>
      <c r="AF127" s="1"/>
    </row>
    <row r="128" spans="1:32" ht="15" customHeight="1" x14ac:dyDescent="0.2">
      <c r="A128" s="170" t="str">
        <f t="shared" si="6"/>
        <v>MRC01</v>
      </c>
      <c r="B128" s="160" t="str">
        <f>IF(TABLAINV[[#This Row],[Z]]="","",D128&amp;"."&amp;TEXT(E128,"000")&amp;"."&amp;TEXT(F128,"000")&amp;"."&amp;TEXT(G128,"000"))</f>
        <v>MR.C01.136.002</v>
      </c>
      <c r="C128" s="161"/>
      <c r="D128" s="162" t="s">
        <v>95</v>
      </c>
      <c r="E128" s="162" t="s">
        <v>96</v>
      </c>
      <c r="F128" s="162">
        <v>136</v>
      </c>
      <c r="G128" s="162">
        <v>2</v>
      </c>
      <c r="H128" s="162">
        <v>567791</v>
      </c>
      <c r="I128" s="162" t="s">
        <v>223</v>
      </c>
      <c r="J128" s="171">
        <v>13</v>
      </c>
      <c r="K128" s="162" t="s">
        <v>64</v>
      </c>
      <c r="L128" s="163" t="s">
        <v>184</v>
      </c>
      <c r="M128" s="162" t="s">
        <v>99</v>
      </c>
      <c r="N128" s="161" t="s">
        <v>91</v>
      </c>
      <c r="O128" s="161">
        <v>13</v>
      </c>
      <c r="P128" s="163">
        <v>13</v>
      </c>
      <c r="Q128" s="163"/>
      <c r="R128" s="162"/>
      <c r="S128" s="164">
        <f>TABLAINV[[#This Row],[Conteo Físico]]-TABLAINV[[#This Row],[Cant. UND]]</f>
        <v>0</v>
      </c>
      <c r="T12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8" s="165" t="str">
        <f>IFERROR(IF(MOD(TABLAINV[[#This Row],[C]],2)=0,"PAR","IMPAR"),"Zona")</f>
        <v>PAR</v>
      </c>
      <c r="W128" s="166"/>
      <c r="X128" s="167">
        <f>IFERROR(IF(TABLAINV[[#This Row],[Cant. UND]]=0,TABLAINV[[#This Row],[PMV]]*TABLAINV[[#This Row],[Conteo Físico]],TABLAINV[[#This Row],[PMV]]*TABLAINV[[#This Row],[Cant. UND]]),0)</f>
        <v>0</v>
      </c>
      <c r="Y128" s="167">
        <f>IFERROR(ABS(TABLAINV[[#This Row],[PMV]]*TABLAINV[[#This Row],[Diferencia]]),0)</f>
        <v>0</v>
      </c>
      <c r="Z128" s="168">
        <f>IFERROR(VLOOKUP(TABLAINV[[#This Row],[Codigo Estado]],unds!O:P,2,0),"PEND.")</f>
        <v>2001</v>
      </c>
      <c r="AA128" s="168" t="str">
        <f t="shared" si="7"/>
        <v>CD09</v>
      </c>
      <c r="AB128" s="169">
        <f t="shared" ca="1" si="8"/>
        <v>45827</v>
      </c>
      <c r="AC128" s="1"/>
      <c r="AD128" s="1"/>
      <c r="AE128" s="1"/>
      <c r="AF128" s="1"/>
    </row>
    <row r="129" spans="1:32" ht="15" customHeight="1" x14ac:dyDescent="0.2">
      <c r="A129" s="170" t="str">
        <f t="shared" si="6"/>
        <v>MRC01</v>
      </c>
      <c r="B129" s="160" t="str">
        <f>IF(TABLAINV[[#This Row],[Z]]="","",D129&amp;"."&amp;TEXT(E129,"000")&amp;"."&amp;TEXT(F129,"000")&amp;"."&amp;TEXT(G129,"000"))</f>
        <v>MR.C01.136.002</v>
      </c>
      <c r="C129" s="161"/>
      <c r="D129" s="162" t="s">
        <v>95</v>
      </c>
      <c r="E129" s="162" t="s">
        <v>96</v>
      </c>
      <c r="F129" s="162">
        <v>136</v>
      </c>
      <c r="G129" s="162">
        <v>2</v>
      </c>
      <c r="H129" s="162">
        <v>735373002</v>
      </c>
      <c r="I129" s="162" t="s">
        <v>224</v>
      </c>
      <c r="J129" s="171">
        <v>3</v>
      </c>
      <c r="K129" s="162" t="s">
        <v>64</v>
      </c>
      <c r="L129" s="163" t="s">
        <v>113</v>
      </c>
      <c r="M129" s="162" t="s">
        <v>99</v>
      </c>
      <c r="N129" s="161" t="s">
        <v>91</v>
      </c>
      <c r="O129" s="161">
        <v>3</v>
      </c>
      <c r="P129" s="163">
        <v>3</v>
      </c>
      <c r="Q129" s="163"/>
      <c r="R129" s="162"/>
      <c r="S129" s="164">
        <f>TABLAINV[[#This Row],[Conteo Físico]]-TABLAINV[[#This Row],[Cant. UND]]</f>
        <v>0</v>
      </c>
      <c r="T12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2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29" s="165" t="str">
        <f>IFERROR(IF(MOD(TABLAINV[[#This Row],[C]],2)=0,"PAR","IMPAR"),"Zona")</f>
        <v>PAR</v>
      </c>
      <c r="W129" s="166"/>
      <c r="X129" s="167">
        <f>IFERROR(IF(TABLAINV[[#This Row],[Cant. UND]]=0,TABLAINV[[#This Row],[PMV]]*TABLAINV[[#This Row],[Conteo Físico]],TABLAINV[[#This Row],[PMV]]*TABLAINV[[#This Row],[Cant. UND]]),0)</f>
        <v>0</v>
      </c>
      <c r="Y129" s="167">
        <f>IFERROR(ABS(TABLAINV[[#This Row],[PMV]]*TABLAINV[[#This Row],[Diferencia]]),0)</f>
        <v>0</v>
      </c>
      <c r="Z129" s="168">
        <f>IFERROR(VLOOKUP(TABLAINV[[#This Row],[Codigo Estado]],unds!O:P,2,0),"PEND.")</f>
        <v>2001</v>
      </c>
      <c r="AA129" s="168" t="str">
        <f t="shared" si="7"/>
        <v>CD09</v>
      </c>
      <c r="AB129" s="169">
        <f t="shared" ca="1" si="8"/>
        <v>45827</v>
      </c>
      <c r="AC129" s="1"/>
      <c r="AD129" s="1"/>
      <c r="AE129" s="1"/>
      <c r="AF129" s="1"/>
    </row>
    <row r="130" spans="1:32" ht="15" customHeight="1" x14ac:dyDescent="0.2">
      <c r="A130" s="170" t="str">
        <f t="shared" si="6"/>
        <v>MRC01</v>
      </c>
      <c r="B130" s="160" t="str">
        <f>IF(TABLAINV[[#This Row],[Z]]="","",D130&amp;"."&amp;TEXT(E130,"000")&amp;"."&amp;TEXT(F130,"000")&amp;"."&amp;TEXT(G130,"000"))</f>
        <v>MR.C01.136.003</v>
      </c>
      <c r="C130" s="161"/>
      <c r="D130" s="162" t="s">
        <v>95</v>
      </c>
      <c r="E130" s="162" t="s">
        <v>96</v>
      </c>
      <c r="F130" s="162">
        <v>136</v>
      </c>
      <c r="G130" s="162">
        <v>3</v>
      </c>
      <c r="H130" s="162">
        <v>374077</v>
      </c>
      <c r="I130" s="162" t="s">
        <v>225</v>
      </c>
      <c r="J130" s="171">
        <v>10</v>
      </c>
      <c r="K130" s="162" t="s">
        <v>64</v>
      </c>
      <c r="L130" s="163" t="s">
        <v>212</v>
      </c>
      <c r="M130" s="162" t="s">
        <v>99</v>
      </c>
      <c r="N130" s="161" t="s">
        <v>91</v>
      </c>
      <c r="O130" s="161">
        <v>10</v>
      </c>
      <c r="P130" s="163">
        <v>10</v>
      </c>
      <c r="Q130" s="163"/>
      <c r="R130" s="162"/>
      <c r="S130" s="164">
        <f>TABLAINV[[#This Row],[Conteo Físico]]-TABLAINV[[#This Row],[Cant. UND]]</f>
        <v>0</v>
      </c>
      <c r="T13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0" s="165" t="str">
        <f>IFERROR(IF(MOD(TABLAINV[[#This Row],[C]],2)=0,"PAR","IMPAR"),"Zona")</f>
        <v>PAR</v>
      </c>
      <c r="W130" s="166"/>
      <c r="X130" s="167">
        <f>IFERROR(IF(TABLAINV[[#This Row],[Cant. UND]]=0,TABLAINV[[#This Row],[PMV]]*TABLAINV[[#This Row],[Conteo Físico]],TABLAINV[[#This Row],[PMV]]*TABLAINV[[#This Row],[Cant. UND]]),0)</f>
        <v>0</v>
      </c>
      <c r="Y130" s="167">
        <f>IFERROR(ABS(TABLAINV[[#This Row],[PMV]]*TABLAINV[[#This Row],[Diferencia]]),0)</f>
        <v>0</v>
      </c>
      <c r="Z130" s="168">
        <f>IFERROR(VLOOKUP(TABLAINV[[#This Row],[Codigo Estado]],unds!O:P,2,0),"PEND.")</f>
        <v>2001</v>
      </c>
      <c r="AA130" s="168" t="str">
        <f t="shared" si="7"/>
        <v>CD09</v>
      </c>
      <c r="AB130" s="169">
        <f t="shared" ca="1" si="8"/>
        <v>45827</v>
      </c>
      <c r="AC130" s="1"/>
      <c r="AD130" s="1"/>
      <c r="AE130" s="1"/>
      <c r="AF130" s="1"/>
    </row>
    <row r="131" spans="1:32" ht="15" customHeight="1" x14ac:dyDescent="0.2">
      <c r="A131" s="170" t="str">
        <f t="shared" si="6"/>
        <v>MRC01</v>
      </c>
      <c r="B131" s="160" t="str">
        <f>IF(TABLAINV[[#This Row],[Z]]="","",D131&amp;"."&amp;TEXT(E131,"000")&amp;"."&amp;TEXT(F131,"000")&amp;"."&amp;TEXT(G131,"000"))</f>
        <v>MR.C01.136.003</v>
      </c>
      <c r="C131" s="161"/>
      <c r="D131" s="162" t="s">
        <v>95</v>
      </c>
      <c r="E131" s="162" t="s">
        <v>96</v>
      </c>
      <c r="F131" s="162">
        <v>136</v>
      </c>
      <c r="G131" s="162">
        <v>3</v>
      </c>
      <c r="H131" s="162">
        <v>4763</v>
      </c>
      <c r="I131" s="162" t="s">
        <v>226</v>
      </c>
      <c r="J131" s="171">
        <v>13</v>
      </c>
      <c r="K131" s="162" t="s">
        <v>64</v>
      </c>
      <c r="L131" s="163" t="s">
        <v>161</v>
      </c>
      <c r="M131" s="162" t="s">
        <v>99</v>
      </c>
      <c r="N131" s="161" t="s">
        <v>91</v>
      </c>
      <c r="O131" s="161">
        <v>13</v>
      </c>
      <c r="P131" s="163">
        <v>13</v>
      </c>
      <c r="Q131" s="163"/>
      <c r="R131" s="162"/>
      <c r="S131" s="164">
        <f>TABLAINV[[#This Row],[Conteo Físico]]-TABLAINV[[#This Row],[Cant. UND]]</f>
        <v>0</v>
      </c>
      <c r="T13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1" s="165" t="str">
        <f>IFERROR(IF(MOD(TABLAINV[[#This Row],[C]],2)=0,"PAR","IMPAR"),"Zona")</f>
        <v>PAR</v>
      </c>
      <c r="W131" s="166"/>
      <c r="X131" s="167">
        <f>IFERROR(IF(TABLAINV[[#This Row],[Cant. UND]]=0,TABLAINV[[#This Row],[PMV]]*TABLAINV[[#This Row],[Conteo Físico]],TABLAINV[[#This Row],[PMV]]*TABLAINV[[#This Row],[Cant. UND]]),0)</f>
        <v>0</v>
      </c>
      <c r="Y131" s="167">
        <f>IFERROR(ABS(TABLAINV[[#This Row],[PMV]]*TABLAINV[[#This Row],[Diferencia]]),0)</f>
        <v>0</v>
      </c>
      <c r="Z131" s="168">
        <f>IFERROR(VLOOKUP(TABLAINV[[#This Row],[Codigo Estado]],unds!O:P,2,0),"PEND.")</f>
        <v>2001</v>
      </c>
      <c r="AA131" s="168" t="str">
        <f t="shared" si="7"/>
        <v>CD09</v>
      </c>
      <c r="AB131" s="169">
        <f t="shared" ca="1" si="8"/>
        <v>45827</v>
      </c>
      <c r="AC131" s="1"/>
      <c r="AD131" s="1"/>
      <c r="AE131" s="1"/>
      <c r="AF131" s="1"/>
    </row>
    <row r="132" spans="1:32" ht="15" customHeight="1" x14ac:dyDescent="0.2">
      <c r="A132" s="170" t="str">
        <f t="shared" si="6"/>
        <v>MRC01</v>
      </c>
      <c r="B132" s="160" t="str">
        <f>IF(TABLAINV[[#This Row],[Z]]="","",D132&amp;"."&amp;TEXT(E132,"000")&amp;"."&amp;TEXT(F132,"000")&amp;"."&amp;TEXT(G132,"000"))</f>
        <v>MR.C01.136.003</v>
      </c>
      <c r="C132" s="161"/>
      <c r="D132" s="162" t="s">
        <v>95</v>
      </c>
      <c r="E132" s="162" t="s">
        <v>96</v>
      </c>
      <c r="F132" s="162">
        <v>136</v>
      </c>
      <c r="G132" s="162">
        <v>3</v>
      </c>
      <c r="H132" s="162">
        <v>768637001</v>
      </c>
      <c r="I132" s="162" t="s">
        <v>227</v>
      </c>
      <c r="J132" s="171">
        <v>12</v>
      </c>
      <c r="K132" s="162" t="s">
        <v>64</v>
      </c>
      <c r="L132" s="163" t="s">
        <v>98</v>
      </c>
      <c r="M132" s="162" t="s">
        <v>99</v>
      </c>
      <c r="N132" s="161" t="s">
        <v>91</v>
      </c>
      <c r="O132" s="161">
        <v>12</v>
      </c>
      <c r="P132" s="163">
        <v>12</v>
      </c>
      <c r="Q132" s="163"/>
      <c r="R132" s="162"/>
      <c r="S132" s="164">
        <f>TABLAINV[[#This Row],[Conteo Físico]]-TABLAINV[[#This Row],[Cant. UND]]</f>
        <v>0</v>
      </c>
      <c r="T13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2" s="165" t="str">
        <f>IFERROR(IF(MOD(TABLAINV[[#This Row],[C]],2)=0,"PAR","IMPAR"),"Zona")</f>
        <v>PAR</v>
      </c>
      <c r="W132" s="166"/>
      <c r="X132" s="167">
        <f>IFERROR(IF(TABLAINV[[#This Row],[Cant. UND]]=0,TABLAINV[[#This Row],[PMV]]*TABLAINV[[#This Row],[Conteo Físico]],TABLAINV[[#This Row],[PMV]]*TABLAINV[[#This Row],[Cant. UND]]),0)</f>
        <v>0</v>
      </c>
      <c r="Y132" s="167">
        <f>IFERROR(ABS(TABLAINV[[#This Row],[PMV]]*TABLAINV[[#This Row],[Diferencia]]),0)</f>
        <v>0</v>
      </c>
      <c r="Z132" s="168">
        <f>IFERROR(VLOOKUP(TABLAINV[[#This Row],[Codigo Estado]],unds!O:P,2,0),"PEND.")</f>
        <v>2001</v>
      </c>
      <c r="AA132" s="168" t="str">
        <f t="shared" si="7"/>
        <v>CD09</v>
      </c>
      <c r="AB132" s="169">
        <f t="shared" ca="1" si="8"/>
        <v>45827</v>
      </c>
      <c r="AC132" s="1"/>
      <c r="AD132" s="1"/>
      <c r="AE132" s="1"/>
      <c r="AF132" s="1"/>
    </row>
    <row r="133" spans="1:32" ht="15" customHeight="1" x14ac:dyDescent="0.2">
      <c r="A133" s="170" t="str">
        <f t="shared" si="6"/>
        <v>MRC01</v>
      </c>
      <c r="B133" s="160" t="str">
        <f>IF(TABLAINV[[#This Row],[Z]]="","",D133&amp;"."&amp;TEXT(E133,"000")&amp;"."&amp;TEXT(F133,"000")&amp;"."&amp;TEXT(G133,"000"))</f>
        <v>MR.C01.136.003</v>
      </c>
      <c r="C133" s="161"/>
      <c r="D133" s="162" t="s">
        <v>95</v>
      </c>
      <c r="E133" s="162" t="s">
        <v>96</v>
      </c>
      <c r="F133" s="162">
        <v>136</v>
      </c>
      <c r="G133" s="162">
        <v>3</v>
      </c>
      <c r="H133" s="162">
        <v>789726</v>
      </c>
      <c r="I133" s="162" t="s">
        <v>228</v>
      </c>
      <c r="J133" s="171">
        <v>2</v>
      </c>
      <c r="K133" s="162" t="s">
        <v>64</v>
      </c>
      <c r="L133" s="163" t="s">
        <v>98</v>
      </c>
      <c r="M133" s="162" t="s">
        <v>99</v>
      </c>
      <c r="N133" s="161" t="s">
        <v>91</v>
      </c>
      <c r="O133" s="161">
        <v>2</v>
      </c>
      <c r="P133" s="163">
        <v>2</v>
      </c>
      <c r="Q133" s="163"/>
      <c r="R133" s="162"/>
      <c r="S133" s="164">
        <f>TABLAINV[[#This Row],[Conteo Físico]]-TABLAINV[[#This Row],[Cant. UND]]</f>
        <v>0</v>
      </c>
      <c r="T13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3" s="165" t="str">
        <f>IFERROR(IF(MOD(TABLAINV[[#This Row],[C]],2)=0,"PAR","IMPAR"),"Zona")</f>
        <v>PAR</v>
      </c>
      <c r="W133" s="166"/>
      <c r="X133" s="167">
        <f>IFERROR(IF(TABLAINV[[#This Row],[Cant. UND]]=0,TABLAINV[[#This Row],[PMV]]*TABLAINV[[#This Row],[Conteo Físico]],TABLAINV[[#This Row],[PMV]]*TABLAINV[[#This Row],[Cant. UND]]),0)</f>
        <v>0</v>
      </c>
      <c r="Y133" s="167">
        <f>IFERROR(ABS(TABLAINV[[#This Row],[PMV]]*TABLAINV[[#This Row],[Diferencia]]),0)</f>
        <v>0</v>
      </c>
      <c r="Z133" s="168">
        <f>IFERROR(VLOOKUP(TABLAINV[[#This Row],[Codigo Estado]],unds!O:P,2,0),"PEND.")</f>
        <v>2001</v>
      </c>
      <c r="AA133" s="168" t="str">
        <f t="shared" si="7"/>
        <v>CD09</v>
      </c>
      <c r="AB133" s="169">
        <f t="shared" ca="1" si="8"/>
        <v>45827</v>
      </c>
      <c r="AC133" s="1"/>
      <c r="AD133" s="1"/>
      <c r="AE133" s="1"/>
      <c r="AF133" s="1"/>
    </row>
    <row r="134" spans="1:32" ht="15" customHeight="1" x14ac:dyDescent="0.2">
      <c r="A134" s="170" t="str">
        <f t="shared" si="6"/>
        <v>MRC01</v>
      </c>
      <c r="B134" s="160" t="str">
        <f>IF(TABLAINV[[#This Row],[Z]]="","",D134&amp;"."&amp;TEXT(E134,"000")&amp;"."&amp;TEXT(F134,"000")&amp;"."&amp;TEXT(G134,"000"))</f>
        <v>MR.C01.137.001</v>
      </c>
      <c r="C134" s="161"/>
      <c r="D134" s="162" t="s">
        <v>95</v>
      </c>
      <c r="E134" s="162" t="s">
        <v>96</v>
      </c>
      <c r="F134" s="162">
        <v>137</v>
      </c>
      <c r="G134" s="162">
        <v>1</v>
      </c>
      <c r="H134" s="162">
        <v>4231</v>
      </c>
      <c r="I134" s="162" t="s">
        <v>217</v>
      </c>
      <c r="J134" s="171">
        <v>19</v>
      </c>
      <c r="K134" s="162" t="s">
        <v>64</v>
      </c>
      <c r="L134" s="163" t="s">
        <v>218</v>
      </c>
      <c r="M134" s="162" t="s">
        <v>99</v>
      </c>
      <c r="N134" s="161" t="s">
        <v>91</v>
      </c>
      <c r="O134" s="161">
        <v>19</v>
      </c>
      <c r="P134" s="163">
        <v>19</v>
      </c>
      <c r="Q134" s="163"/>
      <c r="R134" s="162"/>
      <c r="S134" s="164">
        <f>TABLAINV[[#This Row],[Conteo Físico]]-TABLAINV[[#This Row],[Cant. UND]]</f>
        <v>0</v>
      </c>
      <c r="T13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4" s="165" t="str">
        <f>IFERROR(IF(MOD(TABLAINV[[#This Row],[C]],2)=0,"PAR","IMPAR"),"Zona")</f>
        <v>IMPAR</v>
      </c>
      <c r="W134" s="166"/>
      <c r="X134" s="167">
        <f>IFERROR(IF(TABLAINV[[#This Row],[Cant. UND]]=0,TABLAINV[[#This Row],[PMV]]*TABLAINV[[#This Row],[Conteo Físico]],TABLAINV[[#This Row],[PMV]]*TABLAINV[[#This Row],[Cant. UND]]),0)</f>
        <v>0</v>
      </c>
      <c r="Y134" s="167">
        <f>IFERROR(ABS(TABLAINV[[#This Row],[PMV]]*TABLAINV[[#This Row],[Diferencia]]),0)</f>
        <v>0</v>
      </c>
      <c r="Z134" s="168">
        <f>IFERROR(VLOOKUP(TABLAINV[[#This Row],[Codigo Estado]],unds!O:P,2,0),"PEND.")</f>
        <v>2001</v>
      </c>
      <c r="AA134" s="168" t="str">
        <f t="shared" si="7"/>
        <v>CD09</v>
      </c>
      <c r="AB134" s="169">
        <f t="shared" ca="1" si="8"/>
        <v>45827</v>
      </c>
      <c r="AC134" s="1"/>
      <c r="AD134" s="1"/>
      <c r="AE134" s="1"/>
      <c r="AF134" s="1"/>
    </row>
    <row r="135" spans="1:32" ht="15" customHeight="1" x14ac:dyDescent="0.2">
      <c r="A135" s="170" t="str">
        <f t="shared" si="6"/>
        <v>MRC01</v>
      </c>
      <c r="B135" s="160" t="str">
        <f>IF(TABLAINV[[#This Row],[Z]]="","",D135&amp;"."&amp;TEXT(E135,"000")&amp;"."&amp;TEXT(F135,"000")&amp;"."&amp;TEXT(G135,"000"))</f>
        <v>MR.C01.137.001</v>
      </c>
      <c r="C135" s="161"/>
      <c r="D135" s="162" t="s">
        <v>95</v>
      </c>
      <c r="E135" s="162" t="s">
        <v>96</v>
      </c>
      <c r="F135" s="162">
        <v>137</v>
      </c>
      <c r="G135" s="162">
        <v>1</v>
      </c>
      <c r="H135" s="162">
        <v>735373002</v>
      </c>
      <c r="I135" s="162" t="s">
        <v>224</v>
      </c>
      <c r="J135" s="171">
        <v>4</v>
      </c>
      <c r="K135" s="162" t="s">
        <v>64</v>
      </c>
      <c r="L135" s="163" t="s">
        <v>113</v>
      </c>
      <c r="M135" s="162" t="s">
        <v>99</v>
      </c>
      <c r="N135" s="161" t="s">
        <v>91</v>
      </c>
      <c r="O135" s="161">
        <v>4</v>
      </c>
      <c r="P135" s="163">
        <v>4</v>
      </c>
      <c r="Q135" s="163"/>
      <c r="R135" s="162"/>
      <c r="S135" s="164">
        <f>TABLAINV[[#This Row],[Conteo Físico]]-TABLAINV[[#This Row],[Cant. UND]]</f>
        <v>0</v>
      </c>
      <c r="T13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5" s="165" t="str">
        <f>IFERROR(IF(MOD(TABLAINV[[#This Row],[C]],2)=0,"PAR","IMPAR"),"Zona")</f>
        <v>IMPAR</v>
      </c>
      <c r="W135" s="166"/>
      <c r="X135" s="167">
        <f>IFERROR(IF(TABLAINV[[#This Row],[Cant. UND]]=0,TABLAINV[[#This Row],[PMV]]*TABLAINV[[#This Row],[Conteo Físico]],TABLAINV[[#This Row],[PMV]]*TABLAINV[[#This Row],[Cant. UND]]),0)</f>
        <v>0</v>
      </c>
      <c r="Y135" s="167">
        <f>IFERROR(ABS(TABLAINV[[#This Row],[PMV]]*TABLAINV[[#This Row],[Diferencia]]),0)</f>
        <v>0</v>
      </c>
      <c r="Z135" s="168">
        <f>IFERROR(VLOOKUP(TABLAINV[[#This Row],[Codigo Estado]],unds!O:P,2,0),"PEND.")</f>
        <v>2001</v>
      </c>
      <c r="AA135" s="168" t="str">
        <f t="shared" si="7"/>
        <v>CD09</v>
      </c>
      <c r="AB135" s="169">
        <f t="shared" ca="1" si="8"/>
        <v>45827</v>
      </c>
      <c r="AC135" s="1"/>
      <c r="AD135" s="1"/>
      <c r="AE135" s="1"/>
      <c r="AF135" s="1"/>
    </row>
    <row r="136" spans="1:32" ht="15" customHeight="1" x14ac:dyDescent="0.2">
      <c r="A136" s="170" t="str">
        <f t="shared" si="6"/>
        <v>MRC01</v>
      </c>
      <c r="B136" s="160" t="str">
        <f>IF(TABLAINV[[#This Row],[Z]]="","",D136&amp;"."&amp;TEXT(E136,"000")&amp;"."&amp;TEXT(F136,"000")&amp;"."&amp;TEXT(G136,"000"))</f>
        <v>MR.C01.137.003</v>
      </c>
      <c r="C136" s="161"/>
      <c r="D136" s="162" t="s">
        <v>95</v>
      </c>
      <c r="E136" s="162" t="s">
        <v>96</v>
      </c>
      <c r="F136" s="162">
        <v>137</v>
      </c>
      <c r="G136" s="162">
        <v>3</v>
      </c>
      <c r="H136" s="162">
        <v>1024536</v>
      </c>
      <c r="I136" s="162" t="s">
        <v>229</v>
      </c>
      <c r="J136" s="171">
        <v>1</v>
      </c>
      <c r="K136" s="162" t="s">
        <v>64</v>
      </c>
      <c r="L136" s="163" t="s">
        <v>108</v>
      </c>
      <c r="M136" s="162" t="s">
        <v>99</v>
      </c>
      <c r="N136" s="161" t="s">
        <v>91</v>
      </c>
      <c r="O136" s="161">
        <v>1</v>
      </c>
      <c r="P136" s="163">
        <v>1</v>
      </c>
      <c r="Q136" s="163"/>
      <c r="R136" s="162"/>
      <c r="S136" s="164">
        <f>TABLAINV[[#This Row],[Conteo Físico]]-TABLAINV[[#This Row],[Cant. UND]]</f>
        <v>0</v>
      </c>
      <c r="T13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6" s="165" t="str">
        <f>IFERROR(IF(MOD(TABLAINV[[#This Row],[C]],2)=0,"PAR","IMPAR"),"Zona")</f>
        <v>IMPAR</v>
      </c>
      <c r="W136" s="166"/>
      <c r="X136" s="167">
        <f>IFERROR(IF(TABLAINV[[#This Row],[Cant. UND]]=0,TABLAINV[[#This Row],[PMV]]*TABLAINV[[#This Row],[Conteo Físico]],TABLAINV[[#This Row],[PMV]]*TABLAINV[[#This Row],[Cant. UND]]),0)</f>
        <v>0</v>
      </c>
      <c r="Y136" s="167">
        <f>IFERROR(ABS(TABLAINV[[#This Row],[PMV]]*TABLAINV[[#This Row],[Diferencia]]),0)</f>
        <v>0</v>
      </c>
      <c r="Z136" s="168">
        <f>IFERROR(VLOOKUP(TABLAINV[[#This Row],[Codigo Estado]],unds!O:P,2,0),"PEND.")</f>
        <v>2001</v>
      </c>
      <c r="AA136" s="168" t="str">
        <f t="shared" si="7"/>
        <v>CD09</v>
      </c>
      <c r="AB136" s="169">
        <f t="shared" ca="1" si="8"/>
        <v>45827</v>
      </c>
      <c r="AC136" s="1"/>
      <c r="AD136" s="1"/>
      <c r="AE136" s="1"/>
      <c r="AF136" s="1"/>
    </row>
    <row r="137" spans="1:32" ht="15" customHeight="1" x14ac:dyDescent="0.2">
      <c r="A137" s="170" t="str">
        <f t="shared" si="6"/>
        <v>MRC01</v>
      </c>
      <c r="B137" s="160" t="str">
        <f>IF(TABLAINV[[#This Row],[Z]]="","",D137&amp;"."&amp;TEXT(E137,"000")&amp;"."&amp;TEXT(F137,"000")&amp;"."&amp;TEXT(G137,"000"))</f>
        <v>MR.C01.137.003</v>
      </c>
      <c r="C137" s="161"/>
      <c r="D137" s="162" t="s">
        <v>95</v>
      </c>
      <c r="E137" s="162" t="s">
        <v>96</v>
      </c>
      <c r="F137" s="162">
        <v>137</v>
      </c>
      <c r="G137" s="162">
        <v>3</v>
      </c>
      <c r="H137" s="162">
        <v>464456</v>
      </c>
      <c r="I137" s="162" t="s">
        <v>230</v>
      </c>
      <c r="J137" s="171">
        <v>3</v>
      </c>
      <c r="K137" s="162" t="s">
        <v>64</v>
      </c>
      <c r="L137" s="163" t="s">
        <v>184</v>
      </c>
      <c r="M137" s="162" t="s">
        <v>99</v>
      </c>
      <c r="N137" s="161" t="s">
        <v>91</v>
      </c>
      <c r="O137" s="161">
        <v>3</v>
      </c>
      <c r="P137" s="163">
        <v>3</v>
      </c>
      <c r="Q137" s="163"/>
      <c r="R137" s="162"/>
      <c r="S137" s="164">
        <f>TABLAINV[[#This Row],[Conteo Físico]]-TABLAINV[[#This Row],[Cant. UND]]</f>
        <v>0</v>
      </c>
      <c r="T13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7" s="165" t="str">
        <f>IFERROR(IF(MOD(TABLAINV[[#This Row],[C]],2)=0,"PAR","IMPAR"),"Zona")</f>
        <v>IMPAR</v>
      </c>
      <c r="W137" s="166"/>
      <c r="X137" s="167">
        <f>IFERROR(IF(TABLAINV[[#This Row],[Cant. UND]]=0,TABLAINV[[#This Row],[PMV]]*TABLAINV[[#This Row],[Conteo Físico]],TABLAINV[[#This Row],[PMV]]*TABLAINV[[#This Row],[Cant. UND]]),0)</f>
        <v>0</v>
      </c>
      <c r="Y137" s="167">
        <f>IFERROR(ABS(TABLAINV[[#This Row],[PMV]]*TABLAINV[[#This Row],[Diferencia]]),0)</f>
        <v>0</v>
      </c>
      <c r="Z137" s="168">
        <f>IFERROR(VLOOKUP(TABLAINV[[#This Row],[Codigo Estado]],unds!O:P,2,0),"PEND.")</f>
        <v>2001</v>
      </c>
      <c r="AA137" s="168" t="str">
        <f t="shared" si="7"/>
        <v>CD09</v>
      </c>
      <c r="AB137" s="169">
        <f t="shared" ca="1" si="8"/>
        <v>45827</v>
      </c>
      <c r="AC137" s="1"/>
      <c r="AD137" s="1"/>
      <c r="AE137" s="1"/>
      <c r="AF137" s="1"/>
    </row>
    <row r="138" spans="1:32" ht="15" customHeight="1" x14ac:dyDescent="0.2">
      <c r="A138" s="170" t="str">
        <f t="shared" ref="A138:A201" si="9">D138&amp;E138</f>
        <v>MRC01</v>
      </c>
      <c r="B138" s="160" t="str">
        <f>IF(TABLAINV[[#This Row],[Z]]="","",D138&amp;"."&amp;TEXT(E138,"000")&amp;"."&amp;TEXT(F138,"000")&amp;"."&amp;TEXT(G138,"000"))</f>
        <v>MR.C01.137.003</v>
      </c>
      <c r="C138" s="161"/>
      <c r="D138" s="162" t="s">
        <v>95</v>
      </c>
      <c r="E138" s="162" t="s">
        <v>96</v>
      </c>
      <c r="F138" s="162">
        <v>137</v>
      </c>
      <c r="G138" s="162">
        <v>3</v>
      </c>
      <c r="H138" s="162">
        <v>49463006</v>
      </c>
      <c r="I138" s="162" t="s">
        <v>231</v>
      </c>
      <c r="J138" s="171">
        <v>9</v>
      </c>
      <c r="K138" s="162" t="s">
        <v>64</v>
      </c>
      <c r="L138" s="163" t="s">
        <v>115</v>
      </c>
      <c r="M138" s="162" t="s">
        <v>99</v>
      </c>
      <c r="N138" s="161" t="s">
        <v>91</v>
      </c>
      <c r="O138" s="161">
        <v>9</v>
      </c>
      <c r="P138" s="163">
        <v>9</v>
      </c>
      <c r="Q138" s="163"/>
      <c r="R138" s="162"/>
      <c r="S138" s="164">
        <f>TABLAINV[[#This Row],[Conteo Físico]]-TABLAINV[[#This Row],[Cant. UND]]</f>
        <v>0</v>
      </c>
      <c r="T13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8" s="165" t="str">
        <f>IFERROR(IF(MOD(TABLAINV[[#This Row],[C]],2)=0,"PAR","IMPAR"),"Zona")</f>
        <v>IMPAR</v>
      </c>
      <c r="W138" s="166"/>
      <c r="X138" s="167">
        <f>IFERROR(IF(TABLAINV[[#This Row],[Cant. UND]]=0,TABLAINV[[#This Row],[PMV]]*TABLAINV[[#This Row],[Conteo Físico]],TABLAINV[[#This Row],[PMV]]*TABLAINV[[#This Row],[Cant. UND]]),0)</f>
        <v>0</v>
      </c>
      <c r="Y138" s="167">
        <f>IFERROR(ABS(TABLAINV[[#This Row],[PMV]]*TABLAINV[[#This Row],[Diferencia]]),0)</f>
        <v>0</v>
      </c>
      <c r="Z138" s="168">
        <f>IFERROR(VLOOKUP(TABLAINV[[#This Row],[Codigo Estado]],unds!O:P,2,0),"PEND.")</f>
        <v>2001</v>
      </c>
      <c r="AA138" s="168" t="str">
        <f t="shared" ref="AA138:AA201" si="10">$AA$1</f>
        <v>CD09</v>
      </c>
      <c r="AB138" s="169">
        <f t="shared" ref="AB138:AB201" ca="1" si="11">TODAY()</f>
        <v>45827</v>
      </c>
      <c r="AC138" s="1"/>
      <c r="AD138" s="1"/>
      <c r="AE138" s="1"/>
      <c r="AF138" s="1"/>
    </row>
    <row r="139" spans="1:32" ht="15" customHeight="1" x14ac:dyDescent="0.2">
      <c r="A139" s="170" t="str">
        <f t="shared" si="9"/>
        <v>MRC01</v>
      </c>
      <c r="B139" s="160" t="str">
        <f>IF(TABLAINV[[#This Row],[Z]]="","",D139&amp;"."&amp;TEXT(E139,"000")&amp;"."&amp;TEXT(F139,"000")&amp;"."&amp;TEXT(G139,"000"))</f>
        <v>MR.C01.137.003</v>
      </c>
      <c r="C139" s="161"/>
      <c r="D139" s="162" t="s">
        <v>95</v>
      </c>
      <c r="E139" s="162" t="s">
        <v>96</v>
      </c>
      <c r="F139" s="162">
        <v>137</v>
      </c>
      <c r="G139" s="162">
        <v>3</v>
      </c>
      <c r="H139" s="162">
        <v>954239003</v>
      </c>
      <c r="I139" s="162" t="s">
        <v>232</v>
      </c>
      <c r="J139" s="171">
        <v>2</v>
      </c>
      <c r="K139" s="162" t="s">
        <v>64</v>
      </c>
      <c r="L139" s="163" t="s">
        <v>233</v>
      </c>
      <c r="M139" s="162" t="s">
        <v>99</v>
      </c>
      <c r="N139" s="161" t="s">
        <v>91</v>
      </c>
      <c r="O139" s="161">
        <v>2</v>
      </c>
      <c r="P139" s="163">
        <v>2</v>
      </c>
      <c r="Q139" s="163"/>
      <c r="R139" s="162"/>
      <c r="S139" s="164">
        <f>TABLAINV[[#This Row],[Conteo Físico]]-TABLAINV[[#This Row],[Cant. UND]]</f>
        <v>0</v>
      </c>
      <c r="T13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3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39" s="165" t="str">
        <f>IFERROR(IF(MOD(TABLAINV[[#This Row],[C]],2)=0,"PAR","IMPAR"),"Zona")</f>
        <v>IMPAR</v>
      </c>
      <c r="W139" s="166"/>
      <c r="X139" s="167">
        <f>IFERROR(IF(TABLAINV[[#This Row],[Cant. UND]]=0,TABLAINV[[#This Row],[PMV]]*TABLAINV[[#This Row],[Conteo Físico]],TABLAINV[[#This Row],[PMV]]*TABLAINV[[#This Row],[Cant. UND]]),0)</f>
        <v>0</v>
      </c>
      <c r="Y139" s="167">
        <f>IFERROR(ABS(TABLAINV[[#This Row],[PMV]]*TABLAINV[[#This Row],[Diferencia]]),0)</f>
        <v>0</v>
      </c>
      <c r="Z139" s="168">
        <f>IFERROR(VLOOKUP(TABLAINV[[#This Row],[Codigo Estado]],unds!O:P,2,0),"PEND.")</f>
        <v>2001</v>
      </c>
      <c r="AA139" s="168" t="str">
        <f t="shared" si="10"/>
        <v>CD09</v>
      </c>
      <c r="AB139" s="169">
        <f t="shared" ca="1" si="11"/>
        <v>45827</v>
      </c>
      <c r="AC139" s="1"/>
      <c r="AD139" s="1"/>
      <c r="AE139" s="1"/>
      <c r="AF139" s="1"/>
    </row>
    <row r="140" spans="1:32" ht="15" customHeight="1" x14ac:dyDescent="0.2">
      <c r="A140" s="170" t="str">
        <f t="shared" si="9"/>
        <v>MRC01</v>
      </c>
      <c r="B140" s="160" t="str">
        <f>IF(TABLAINV[[#This Row],[Z]]="","",D140&amp;"."&amp;TEXT(E140,"000")&amp;"."&amp;TEXT(F140,"000")&amp;"."&amp;TEXT(G140,"000"))</f>
        <v>MR.C01.138.001</v>
      </c>
      <c r="C140" s="161"/>
      <c r="D140" s="162" t="s">
        <v>95</v>
      </c>
      <c r="E140" s="162" t="s">
        <v>96</v>
      </c>
      <c r="F140" s="162">
        <v>138</v>
      </c>
      <c r="G140" s="162">
        <v>1</v>
      </c>
      <c r="H140" s="162">
        <v>115544</v>
      </c>
      <c r="I140" s="162" t="s">
        <v>234</v>
      </c>
      <c r="J140" s="171">
        <v>18</v>
      </c>
      <c r="K140" s="162" t="s">
        <v>64</v>
      </c>
      <c r="L140" s="163" t="s">
        <v>98</v>
      </c>
      <c r="M140" s="162" t="s">
        <v>99</v>
      </c>
      <c r="N140" s="161" t="s">
        <v>91</v>
      </c>
      <c r="O140" s="161">
        <v>18</v>
      </c>
      <c r="P140" s="163">
        <v>18</v>
      </c>
      <c r="Q140" s="163"/>
      <c r="R140" s="162"/>
      <c r="S140" s="164">
        <f>TABLAINV[[#This Row],[Conteo Físico]]-TABLAINV[[#This Row],[Cant. UND]]</f>
        <v>0</v>
      </c>
      <c r="T14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0" s="165" t="str">
        <f>IFERROR(IF(MOD(TABLAINV[[#This Row],[C]],2)=0,"PAR","IMPAR"),"Zona")</f>
        <v>PAR</v>
      </c>
      <c r="W140" s="166"/>
      <c r="X140" s="167">
        <f>IFERROR(IF(TABLAINV[[#This Row],[Cant. UND]]=0,TABLAINV[[#This Row],[PMV]]*TABLAINV[[#This Row],[Conteo Físico]],TABLAINV[[#This Row],[PMV]]*TABLAINV[[#This Row],[Cant. UND]]),0)</f>
        <v>0</v>
      </c>
      <c r="Y140" s="167">
        <f>IFERROR(ABS(TABLAINV[[#This Row],[PMV]]*TABLAINV[[#This Row],[Diferencia]]),0)</f>
        <v>0</v>
      </c>
      <c r="Z140" s="168">
        <f>IFERROR(VLOOKUP(TABLAINV[[#This Row],[Codigo Estado]],unds!O:P,2,0),"PEND.")</f>
        <v>2001</v>
      </c>
      <c r="AA140" s="168" t="str">
        <f t="shared" si="10"/>
        <v>CD09</v>
      </c>
      <c r="AB140" s="169">
        <f t="shared" ca="1" si="11"/>
        <v>45827</v>
      </c>
      <c r="AC140" s="1"/>
      <c r="AD140" s="1"/>
      <c r="AE140" s="1"/>
      <c r="AF140" s="1"/>
    </row>
    <row r="141" spans="1:32" ht="15" customHeight="1" x14ac:dyDescent="0.2">
      <c r="A141" s="170" t="str">
        <f t="shared" si="9"/>
        <v>MRC01</v>
      </c>
      <c r="B141" s="160" t="str">
        <f>IF(TABLAINV[[#This Row],[Z]]="","",D141&amp;"."&amp;TEXT(E141,"000")&amp;"."&amp;TEXT(F141,"000")&amp;"."&amp;TEXT(G141,"000"))</f>
        <v>MR.C01.138.001</v>
      </c>
      <c r="C141" s="161"/>
      <c r="D141" s="162" t="s">
        <v>95</v>
      </c>
      <c r="E141" s="162" t="s">
        <v>96</v>
      </c>
      <c r="F141" s="162">
        <v>138</v>
      </c>
      <c r="G141" s="162">
        <v>1</v>
      </c>
      <c r="H141" s="162">
        <v>4257</v>
      </c>
      <c r="I141" s="162" t="s">
        <v>235</v>
      </c>
      <c r="J141" s="171">
        <v>12</v>
      </c>
      <c r="K141" s="162" t="s">
        <v>64</v>
      </c>
      <c r="L141" s="163" t="s">
        <v>236</v>
      </c>
      <c r="M141" s="162" t="s">
        <v>135</v>
      </c>
      <c r="N141" s="161" t="s">
        <v>91</v>
      </c>
      <c r="O141" s="161">
        <v>12</v>
      </c>
      <c r="P141" s="163">
        <v>12</v>
      </c>
      <c r="Q141" s="163"/>
      <c r="R141" s="162"/>
      <c r="S141" s="164">
        <f>TABLAINV[[#This Row],[Conteo Físico]]-TABLAINV[[#This Row],[Cant. UND]]</f>
        <v>0</v>
      </c>
      <c r="T14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1" s="165" t="str">
        <f>IFERROR(IF(MOD(TABLAINV[[#This Row],[C]],2)=0,"PAR","IMPAR"),"Zona")</f>
        <v>PAR</v>
      </c>
      <c r="W141" s="166"/>
      <c r="X141" s="167">
        <f>IFERROR(IF(TABLAINV[[#This Row],[Cant. UND]]=0,TABLAINV[[#This Row],[PMV]]*TABLAINV[[#This Row],[Conteo Físico]],TABLAINV[[#This Row],[PMV]]*TABLAINV[[#This Row],[Cant. UND]]),0)</f>
        <v>0</v>
      </c>
      <c r="Y141" s="167">
        <f>IFERROR(ABS(TABLAINV[[#This Row],[PMV]]*TABLAINV[[#This Row],[Diferencia]]),0)</f>
        <v>0</v>
      </c>
      <c r="Z141" s="168">
        <f>IFERROR(VLOOKUP(TABLAINV[[#This Row],[Codigo Estado]],unds!O:P,2,0),"PEND.")</f>
        <v>2001</v>
      </c>
      <c r="AA141" s="168" t="str">
        <f t="shared" si="10"/>
        <v>CD09</v>
      </c>
      <c r="AB141" s="169">
        <f t="shared" ca="1" si="11"/>
        <v>45827</v>
      </c>
      <c r="AC141" s="1"/>
      <c r="AD141" s="1"/>
      <c r="AE141" s="1"/>
      <c r="AF141" s="1"/>
    </row>
    <row r="142" spans="1:32" ht="15" customHeight="1" x14ac:dyDescent="0.2">
      <c r="A142" s="170" t="str">
        <f t="shared" si="9"/>
        <v>MRC01</v>
      </c>
      <c r="B142" s="160" t="str">
        <f>IF(TABLAINV[[#This Row],[Z]]="","",D142&amp;"."&amp;TEXT(E142,"000")&amp;"."&amp;TEXT(F142,"000")&amp;"."&amp;TEXT(G142,"000"))</f>
        <v>MR.C01.138.001</v>
      </c>
      <c r="C142" s="161"/>
      <c r="D142" s="162" t="s">
        <v>95</v>
      </c>
      <c r="E142" s="162" t="s">
        <v>96</v>
      </c>
      <c r="F142" s="162">
        <v>138</v>
      </c>
      <c r="G142" s="162">
        <v>1</v>
      </c>
      <c r="H142" s="162">
        <v>787636</v>
      </c>
      <c r="I142" s="162" t="s">
        <v>237</v>
      </c>
      <c r="J142" s="171">
        <v>6</v>
      </c>
      <c r="K142" s="162" t="s">
        <v>64</v>
      </c>
      <c r="L142" s="163" t="s">
        <v>164</v>
      </c>
      <c r="M142" s="162" t="s">
        <v>99</v>
      </c>
      <c r="N142" s="161" t="s">
        <v>91</v>
      </c>
      <c r="O142" s="161">
        <v>6</v>
      </c>
      <c r="P142" s="163">
        <v>6</v>
      </c>
      <c r="Q142" s="163"/>
      <c r="R142" s="162"/>
      <c r="S142" s="164">
        <f>TABLAINV[[#This Row],[Conteo Físico]]-TABLAINV[[#This Row],[Cant. UND]]</f>
        <v>0</v>
      </c>
      <c r="T14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2" s="165" t="str">
        <f>IFERROR(IF(MOD(TABLAINV[[#This Row],[C]],2)=0,"PAR","IMPAR"),"Zona")</f>
        <v>PAR</v>
      </c>
      <c r="W142" s="166"/>
      <c r="X142" s="167">
        <f>IFERROR(IF(TABLAINV[[#This Row],[Cant. UND]]=0,TABLAINV[[#This Row],[PMV]]*TABLAINV[[#This Row],[Conteo Físico]],TABLAINV[[#This Row],[PMV]]*TABLAINV[[#This Row],[Cant. UND]]),0)</f>
        <v>0</v>
      </c>
      <c r="Y142" s="167">
        <f>IFERROR(ABS(TABLAINV[[#This Row],[PMV]]*TABLAINV[[#This Row],[Diferencia]]),0)</f>
        <v>0</v>
      </c>
      <c r="Z142" s="168">
        <f>IFERROR(VLOOKUP(TABLAINV[[#This Row],[Codigo Estado]],unds!O:P,2,0),"PEND.")</f>
        <v>2001</v>
      </c>
      <c r="AA142" s="168" t="str">
        <f t="shared" si="10"/>
        <v>CD09</v>
      </c>
      <c r="AB142" s="169">
        <f t="shared" ca="1" si="11"/>
        <v>45827</v>
      </c>
      <c r="AC142" s="1"/>
      <c r="AD142" s="1"/>
      <c r="AE142" s="1"/>
      <c r="AF142" s="1"/>
    </row>
    <row r="143" spans="1:32" ht="15" customHeight="1" x14ac:dyDescent="0.2">
      <c r="A143" s="170" t="str">
        <f t="shared" si="9"/>
        <v>MRC01</v>
      </c>
      <c r="B143" s="160" t="str">
        <f>IF(TABLAINV[[#This Row],[Z]]="","",D143&amp;"."&amp;TEXT(E143,"000")&amp;"."&amp;TEXT(F143,"000")&amp;"."&amp;TEXT(G143,"000"))</f>
        <v>MR.C01.138.002</v>
      </c>
      <c r="C143" s="161"/>
      <c r="D143" s="162" t="s">
        <v>95</v>
      </c>
      <c r="E143" s="162" t="s">
        <v>96</v>
      </c>
      <c r="F143" s="162">
        <v>138</v>
      </c>
      <c r="G143" s="162">
        <v>2</v>
      </c>
      <c r="H143" s="162">
        <v>4259</v>
      </c>
      <c r="I143" s="162" t="s">
        <v>238</v>
      </c>
      <c r="J143" s="171">
        <v>20</v>
      </c>
      <c r="K143" s="162" t="s">
        <v>64</v>
      </c>
      <c r="L143" s="163" t="s">
        <v>239</v>
      </c>
      <c r="M143" s="162" t="s">
        <v>135</v>
      </c>
      <c r="N143" s="161" t="s">
        <v>91</v>
      </c>
      <c r="O143" s="161">
        <v>20</v>
      </c>
      <c r="P143" s="163">
        <v>20</v>
      </c>
      <c r="Q143" s="163"/>
      <c r="R143" s="162"/>
      <c r="S143" s="164">
        <f>TABLAINV[[#This Row],[Conteo Físico]]-TABLAINV[[#This Row],[Cant. UND]]</f>
        <v>0</v>
      </c>
      <c r="T14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3" s="165" t="str">
        <f>IFERROR(IF(MOD(TABLAINV[[#This Row],[C]],2)=0,"PAR","IMPAR"),"Zona")</f>
        <v>PAR</v>
      </c>
      <c r="W143" s="166"/>
      <c r="X143" s="167">
        <f>IFERROR(IF(TABLAINV[[#This Row],[Cant. UND]]=0,TABLAINV[[#This Row],[PMV]]*TABLAINV[[#This Row],[Conteo Físico]],TABLAINV[[#This Row],[PMV]]*TABLAINV[[#This Row],[Cant. UND]]),0)</f>
        <v>0</v>
      </c>
      <c r="Y143" s="167">
        <f>IFERROR(ABS(TABLAINV[[#This Row],[PMV]]*TABLAINV[[#This Row],[Diferencia]]),0)</f>
        <v>0</v>
      </c>
      <c r="Z143" s="168">
        <f>IFERROR(VLOOKUP(TABLAINV[[#This Row],[Codigo Estado]],unds!O:P,2,0),"PEND.")</f>
        <v>2001</v>
      </c>
      <c r="AA143" s="168" t="str">
        <f t="shared" si="10"/>
        <v>CD09</v>
      </c>
      <c r="AB143" s="169">
        <f t="shared" ca="1" si="11"/>
        <v>45827</v>
      </c>
      <c r="AC143" s="1"/>
      <c r="AD143" s="1"/>
      <c r="AE143" s="1"/>
      <c r="AF143" s="1"/>
    </row>
    <row r="144" spans="1:32" ht="15" customHeight="1" x14ac:dyDescent="0.2">
      <c r="A144" s="170" t="str">
        <f t="shared" si="9"/>
        <v>MRC01</v>
      </c>
      <c r="B144" s="160" t="str">
        <f>IF(TABLAINV[[#This Row],[Z]]="","",D144&amp;"."&amp;TEXT(E144,"000")&amp;"."&amp;TEXT(F144,"000")&amp;"."&amp;TEXT(G144,"000"))</f>
        <v>MR.C01.138.003</v>
      </c>
      <c r="C144" s="161"/>
      <c r="D144" s="162" t="s">
        <v>95</v>
      </c>
      <c r="E144" s="162" t="s">
        <v>96</v>
      </c>
      <c r="F144" s="162">
        <v>138</v>
      </c>
      <c r="G144" s="162">
        <v>3</v>
      </c>
      <c r="H144" s="162">
        <v>1024535</v>
      </c>
      <c r="I144" s="162" t="s">
        <v>240</v>
      </c>
      <c r="J144" s="171">
        <v>32</v>
      </c>
      <c r="K144" s="162" t="s">
        <v>64</v>
      </c>
      <c r="L144" s="163" t="s">
        <v>108</v>
      </c>
      <c r="M144" s="162" t="s">
        <v>99</v>
      </c>
      <c r="N144" s="161" t="s">
        <v>91</v>
      </c>
      <c r="O144" s="161">
        <v>32</v>
      </c>
      <c r="P144" s="163">
        <v>32</v>
      </c>
      <c r="Q144" s="163"/>
      <c r="R144" s="162"/>
      <c r="S144" s="164">
        <f>TABLAINV[[#This Row],[Conteo Físico]]-TABLAINV[[#This Row],[Cant. UND]]</f>
        <v>0</v>
      </c>
      <c r="T14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4" s="165" t="str">
        <f>IFERROR(IF(MOD(TABLAINV[[#This Row],[C]],2)=0,"PAR","IMPAR"),"Zona")</f>
        <v>PAR</v>
      </c>
      <c r="W144" s="166"/>
      <c r="X144" s="167">
        <f>IFERROR(IF(TABLAINV[[#This Row],[Cant. UND]]=0,TABLAINV[[#This Row],[PMV]]*TABLAINV[[#This Row],[Conteo Físico]],TABLAINV[[#This Row],[PMV]]*TABLAINV[[#This Row],[Cant. UND]]),0)</f>
        <v>0</v>
      </c>
      <c r="Y144" s="167">
        <f>IFERROR(ABS(TABLAINV[[#This Row],[PMV]]*TABLAINV[[#This Row],[Diferencia]]),0)</f>
        <v>0</v>
      </c>
      <c r="Z144" s="168">
        <f>IFERROR(VLOOKUP(TABLAINV[[#This Row],[Codigo Estado]],unds!O:P,2,0),"PEND.")</f>
        <v>2001</v>
      </c>
      <c r="AA144" s="168" t="str">
        <f t="shared" si="10"/>
        <v>CD09</v>
      </c>
      <c r="AB144" s="169">
        <f t="shared" ca="1" si="11"/>
        <v>45827</v>
      </c>
      <c r="AC144" s="1"/>
      <c r="AD144" s="1"/>
      <c r="AE144" s="1"/>
      <c r="AF144" s="1"/>
    </row>
    <row r="145" spans="1:32" ht="15" customHeight="1" x14ac:dyDescent="0.2">
      <c r="A145" s="170" t="str">
        <f t="shared" si="9"/>
        <v>MRC01</v>
      </c>
      <c r="B145" s="160" t="str">
        <f>IF(TABLAINV[[#This Row],[Z]]="","",D145&amp;"."&amp;TEXT(E145,"000")&amp;"."&amp;TEXT(F145,"000")&amp;"."&amp;TEXT(G145,"000"))</f>
        <v>MR.C01.138.003</v>
      </c>
      <c r="C145" s="161"/>
      <c r="D145" s="162" t="s">
        <v>95</v>
      </c>
      <c r="E145" s="162" t="s">
        <v>96</v>
      </c>
      <c r="F145" s="162">
        <v>138</v>
      </c>
      <c r="G145" s="162">
        <v>3</v>
      </c>
      <c r="H145" s="162">
        <v>374076</v>
      </c>
      <c r="I145" s="162" t="s">
        <v>241</v>
      </c>
      <c r="J145" s="171">
        <v>5</v>
      </c>
      <c r="K145" s="162" t="s">
        <v>64</v>
      </c>
      <c r="L145" s="163" t="s">
        <v>212</v>
      </c>
      <c r="M145" s="162" t="s">
        <v>99</v>
      </c>
      <c r="N145" s="161" t="s">
        <v>91</v>
      </c>
      <c r="O145" s="161">
        <v>5</v>
      </c>
      <c r="P145" s="163">
        <v>5</v>
      </c>
      <c r="Q145" s="163"/>
      <c r="R145" s="162"/>
      <c r="S145" s="164">
        <f>TABLAINV[[#This Row],[Conteo Físico]]-TABLAINV[[#This Row],[Cant. UND]]</f>
        <v>0</v>
      </c>
      <c r="T14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5" s="165" t="str">
        <f>IFERROR(IF(MOD(TABLAINV[[#This Row],[C]],2)=0,"PAR","IMPAR"),"Zona")</f>
        <v>PAR</v>
      </c>
      <c r="W145" s="166"/>
      <c r="X145" s="167">
        <f>IFERROR(IF(TABLAINV[[#This Row],[Cant. UND]]=0,TABLAINV[[#This Row],[PMV]]*TABLAINV[[#This Row],[Conteo Físico]],TABLAINV[[#This Row],[PMV]]*TABLAINV[[#This Row],[Cant. UND]]),0)</f>
        <v>0</v>
      </c>
      <c r="Y145" s="167">
        <f>IFERROR(ABS(TABLAINV[[#This Row],[PMV]]*TABLAINV[[#This Row],[Diferencia]]),0)</f>
        <v>0</v>
      </c>
      <c r="Z145" s="168">
        <f>IFERROR(VLOOKUP(TABLAINV[[#This Row],[Codigo Estado]],unds!O:P,2,0),"PEND.")</f>
        <v>2001</v>
      </c>
      <c r="AA145" s="168" t="str">
        <f t="shared" si="10"/>
        <v>CD09</v>
      </c>
      <c r="AB145" s="169">
        <f t="shared" ca="1" si="11"/>
        <v>45827</v>
      </c>
      <c r="AC145" s="1"/>
      <c r="AD145" s="1"/>
      <c r="AE145" s="1"/>
      <c r="AF145" s="1"/>
    </row>
    <row r="146" spans="1:32" ht="15" customHeight="1" x14ac:dyDescent="0.2">
      <c r="A146" s="170" t="str">
        <f t="shared" si="9"/>
        <v>MRC01</v>
      </c>
      <c r="B146" s="160" t="str">
        <f>IF(TABLAINV[[#This Row],[Z]]="","",D146&amp;"."&amp;TEXT(E146,"000")&amp;"."&amp;TEXT(F146,"000")&amp;"."&amp;TEXT(G146,"000"))</f>
        <v>MR.C01.143.001</v>
      </c>
      <c r="C146" s="161"/>
      <c r="D146" s="162" t="s">
        <v>95</v>
      </c>
      <c r="E146" s="162" t="s">
        <v>96</v>
      </c>
      <c r="F146" s="162">
        <v>143</v>
      </c>
      <c r="G146" s="162">
        <v>1</v>
      </c>
      <c r="H146" s="162">
        <v>62650</v>
      </c>
      <c r="I146" s="162" t="s">
        <v>242</v>
      </c>
      <c r="J146" s="171">
        <v>6</v>
      </c>
      <c r="K146" s="162" t="s">
        <v>64</v>
      </c>
      <c r="L146" s="163" t="s">
        <v>110</v>
      </c>
      <c r="M146" s="162" t="s">
        <v>135</v>
      </c>
      <c r="N146" s="161" t="s">
        <v>91</v>
      </c>
      <c r="O146" s="161">
        <v>6</v>
      </c>
      <c r="P146" s="163">
        <v>6</v>
      </c>
      <c r="Q146" s="163"/>
      <c r="R146" s="162"/>
      <c r="S146" s="164">
        <f>TABLAINV[[#This Row],[Conteo Físico]]-TABLAINV[[#This Row],[Cant. UND]]</f>
        <v>0</v>
      </c>
      <c r="T14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6" s="165" t="str">
        <f>IFERROR(IF(MOD(TABLAINV[[#This Row],[C]],2)=0,"PAR","IMPAR"),"Zona")</f>
        <v>IMPAR</v>
      </c>
      <c r="W146" s="166"/>
      <c r="X146" s="167">
        <f>IFERROR(IF(TABLAINV[[#This Row],[Cant. UND]]=0,TABLAINV[[#This Row],[PMV]]*TABLAINV[[#This Row],[Conteo Físico]],TABLAINV[[#This Row],[PMV]]*TABLAINV[[#This Row],[Cant. UND]]),0)</f>
        <v>0</v>
      </c>
      <c r="Y146" s="167">
        <f>IFERROR(ABS(TABLAINV[[#This Row],[PMV]]*TABLAINV[[#This Row],[Diferencia]]),0)</f>
        <v>0</v>
      </c>
      <c r="Z146" s="168">
        <f>IFERROR(VLOOKUP(TABLAINV[[#This Row],[Codigo Estado]],unds!O:P,2,0),"PEND.")</f>
        <v>2001</v>
      </c>
      <c r="AA146" s="168" t="str">
        <f t="shared" si="10"/>
        <v>CD09</v>
      </c>
      <c r="AB146" s="169">
        <f t="shared" ca="1" si="11"/>
        <v>45827</v>
      </c>
      <c r="AC146" s="1"/>
      <c r="AD146" s="1"/>
      <c r="AE146" s="1"/>
      <c r="AF146" s="1"/>
    </row>
    <row r="147" spans="1:32" ht="15" customHeight="1" x14ac:dyDescent="0.2">
      <c r="A147" s="170" t="str">
        <f t="shared" si="9"/>
        <v>MRC01</v>
      </c>
      <c r="B147" s="160" t="str">
        <f>IF(TABLAINV[[#This Row],[Z]]="","",D147&amp;"."&amp;TEXT(E147,"000")&amp;"."&amp;TEXT(F147,"000")&amp;"."&amp;TEXT(G147,"000"))</f>
        <v>MR.C01.143.001</v>
      </c>
      <c r="C147" s="161"/>
      <c r="D147" s="162" t="s">
        <v>95</v>
      </c>
      <c r="E147" s="162" t="s">
        <v>96</v>
      </c>
      <c r="F147" s="162">
        <v>143</v>
      </c>
      <c r="G147" s="162">
        <v>1</v>
      </c>
      <c r="H147" s="162">
        <v>754392</v>
      </c>
      <c r="I147" s="162" t="s">
        <v>243</v>
      </c>
      <c r="J147" s="171">
        <v>2</v>
      </c>
      <c r="K147" s="162" t="s">
        <v>64</v>
      </c>
      <c r="L147" s="163" t="s">
        <v>244</v>
      </c>
      <c r="M147" s="162" t="s">
        <v>99</v>
      </c>
      <c r="N147" s="161" t="s">
        <v>91</v>
      </c>
      <c r="O147" s="161">
        <v>2</v>
      </c>
      <c r="P147" s="163">
        <v>2</v>
      </c>
      <c r="Q147" s="163"/>
      <c r="R147" s="162"/>
      <c r="S147" s="164">
        <f>TABLAINV[[#This Row],[Conteo Físico]]-TABLAINV[[#This Row],[Cant. UND]]</f>
        <v>0</v>
      </c>
      <c r="T14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7" s="165" t="str">
        <f>IFERROR(IF(MOD(TABLAINV[[#This Row],[C]],2)=0,"PAR","IMPAR"),"Zona")</f>
        <v>IMPAR</v>
      </c>
      <c r="W147" s="166"/>
      <c r="X147" s="167">
        <f>IFERROR(IF(TABLAINV[[#This Row],[Cant. UND]]=0,TABLAINV[[#This Row],[PMV]]*TABLAINV[[#This Row],[Conteo Físico]],TABLAINV[[#This Row],[PMV]]*TABLAINV[[#This Row],[Cant. UND]]),0)</f>
        <v>0</v>
      </c>
      <c r="Y147" s="167">
        <f>IFERROR(ABS(TABLAINV[[#This Row],[PMV]]*TABLAINV[[#This Row],[Diferencia]]),0)</f>
        <v>0</v>
      </c>
      <c r="Z147" s="168">
        <f>IFERROR(VLOOKUP(TABLAINV[[#This Row],[Codigo Estado]],unds!O:P,2,0),"PEND.")</f>
        <v>2001</v>
      </c>
      <c r="AA147" s="168" t="str">
        <f t="shared" si="10"/>
        <v>CD09</v>
      </c>
      <c r="AB147" s="169">
        <f t="shared" ca="1" si="11"/>
        <v>45827</v>
      </c>
      <c r="AC147" s="1"/>
      <c r="AD147" s="1"/>
      <c r="AE147" s="1"/>
      <c r="AF147" s="1"/>
    </row>
    <row r="148" spans="1:32" ht="15" customHeight="1" x14ac:dyDescent="0.2">
      <c r="A148" s="170" t="str">
        <f t="shared" si="9"/>
        <v>MRC01</v>
      </c>
      <c r="B148" s="160" t="str">
        <f>IF(TABLAINV[[#This Row],[Z]]="","",D148&amp;"."&amp;TEXT(E148,"000")&amp;"."&amp;TEXT(F148,"000")&amp;"."&amp;TEXT(G148,"000"))</f>
        <v>MR.C01.143.002</v>
      </c>
      <c r="C148" s="161"/>
      <c r="D148" s="162" t="s">
        <v>95</v>
      </c>
      <c r="E148" s="162" t="s">
        <v>96</v>
      </c>
      <c r="F148" s="162">
        <v>143</v>
      </c>
      <c r="G148" s="162">
        <v>2</v>
      </c>
      <c r="H148" s="162">
        <v>716769</v>
      </c>
      <c r="I148" s="162" t="s">
        <v>245</v>
      </c>
      <c r="J148" s="171">
        <v>56</v>
      </c>
      <c r="K148" s="162" t="s">
        <v>64</v>
      </c>
      <c r="L148" s="163" t="s">
        <v>246</v>
      </c>
      <c r="M148" s="162" t="s">
        <v>99</v>
      </c>
      <c r="N148" s="161" t="s">
        <v>91</v>
      </c>
      <c r="O148" s="161">
        <v>56</v>
      </c>
      <c r="P148" s="163">
        <v>56</v>
      </c>
      <c r="Q148" s="163"/>
      <c r="R148" s="162"/>
      <c r="S148" s="164">
        <f>TABLAINV[[#This Row],[Conteo Físico]]-TABLAINV[[#This Row],[Cant. UND]]</f>
        <v>0</v>
      </c>
      <c r="T14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8" s="165" t="str">
        <f>IFERROR(IF(MOD(TABLAINV[[#This Row],[C]],2)=0,"PAR","IMPAR"),"Zona")</f>
        <v>IMPAR</v>
      </c>
      <c r="W148" s="166"/>
      <c r="X148" s="167">
        <f>IFERROR(IF(TABLAINV[[#This Row],[Cant. UND]]=0,TABLAINV[[#This Row],[PMV]]*TABLAINV[[#This Row],[Conteo Físico]],TABLAINV[[#This Row],[PMV]]*TABLAINV[[#This Row],[Cant. UND]]),0)</f>
        <v>0</v>
      </c>
      <c r="Y148" s="167">
        <f>IFERROR(ABS(TABLAINV[[#This Row],[PMV]]*TABLAINV[[#This Row],[Diferencia]]),0)</f>
        <v>0</v>
      </c>
      <c r="Z148" s="168">
        <f>IFERROR(VLOOKUP(TABLAINV[[#This Row],[Codigo Estado]],unds!O:P,2,0),"PEND.")</f>
        <v>2001</v>
      </c>
      <c r="AA148" s="168" t="str">
        <f t="shared" si="10"/>
        <v>CD09</v>
      </c>
      <c r="AB148" s="169">
        <f t="shared" ca="1" si="11"/>
        <v>45827</v>
      </c>
      <c r="AC148" s="1"/>
      <c r="AD148" s="1"/>
      <c r="AE148" s="1"/>
      <c r="AF148" s="1"/>
    </row>
    <row r="149" spans="1:32" ht="15" customHeight="1" x14ac:dyDescent="0.2">
      <c r="A149" s="170" t="str">
        <f t="shared" si="9"/>
        <v>MRC01</v>
      </c>
      <c r="B149" s="160" t="str">
        <f>IF(TABLAINV[[#This Row],[Z]]="","",D149&amp;"."&amp;TEXT(E149,"000")&amp;"."&amp;TEXT(F149,"000")&amp;"."&amp;TEXT(G149,"000"))</f>
        <v>MR.C01.143.002</v>
      </c>
      <c r="C149" s="161"/>
      <c r="D149" s="162" t="s">
        <v>95</v>
      </c>
      <c r="E149" s="162" t="s">
        <v>96</v>
      </c>
      <c r="F149" s="162">
        <v>143</v>
      </c>
      <c r="G149" s="162">
        <v>2</v>
      </c>
      <c r="H149" s="162">
        <v>91045</v>
      </c>
      <c r="I149" s="162" t="s">
        <v>139</v>
      </c>
      <c r="J149" s="171">
        <v>47</v>
      </c>
      <c r="K149" s="162" t="s">
        <v>64</v>
      </c>
      <c r="L149" s="163" t="s">
        <v>140</v>
      </c>
      <c r="M149" s="162" t="s">
        <v>135</v>
      </c>
      <c r="N149" s="161" t="s">
        <v>91</v>
      </c>
      <c r="O149" s="161">
        <v>47</v>
      </c>
      <c r="P149" s="163">
        <v>47</v>
      </c>
      <c r="Q149" s="163"/>
      <c r="R149" s="162"/>
      <c r="S149" s="164">
        <f>TABLAINV[[#This Row],[Conteo Físico]]-TABLAINV[[#This Row],[Cant. UND]]</f>
        <v>0</v>
      </c>
      <c r="T14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4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49" s="165" t="str">
        <f>IFERROR(IF(MOD(TABLAINV[[#This Row],[C]],2)=0,"PAR","IMPAR"),"Zona")</f>
        <v>IMPAR</v>
      </c>
      <c r="W149" s="166"/>
      <c r="X149" s="167">
        <f>IFERROR(IF(TABLAINV[[#This Row],[Cant. UND]]=0,TABLAINV[[#This Row],[PMV]]*TABLAINV[[#This Row],[Conteo Físico]],TABLAINV[[#This Row],[PMV]]*TABLAINV[[#This Row],[Cant. UND]]),0)</f>
        <v>0</v>
      </c>
      <c r="Y149" s="167">
        <f>IFERROR(ABS(TABLAINV[[#This Row],[PMV]]*TABLAINV[[#This Row],[Diferencia]]),0)</f>
        <v>0</v>
      </c>
      <c r="Z149" s="168">
        <f>IFERROR(VLOOKUP(TABLAINV[[#This Row],[Codigo Estado]],unds!O:P,2,0),"PEND.")</f>
        <v>2001</v>
      </c>
      <c r="AA149" s="168" t="str">
        <f t="shared" si="10"/>
        <v>CD09</v>
      </c>
      <c r="AB149" s="169">
        <f t="shared" ca="1" si="11"/>
        <v>45827</v>
      </c>
      <c r="AC149" s="1"/>
      <c r="AD149" s="1"/>
      <c r="AE149" s="1"/>
      <c r="AF149" s="1"/>
    </row>
    <row r="150" spans="1:32" ht="15" customHeight="1" x14ac:dyDescent="0.2">
      <c r="A150" s="170" t="str">
        <f t="shared" si="9"/>
        <v>MRC01</v>
      </c>
      <c r="B150" s="160" t="str">
        <f>IF(TABLAINV[[#This Row],[Z]]="","",D150&amp;"."&amp;TEXT(E150,"000")&amp;"."&amp;TEXT(F150,"000")&amp;"."&amp;TEXT(G150,"000"))</f>
        <v>MR.C01.143.003</v>
      </c>
      <c r="C150" s="161"/>
      <c r="D150" s="162" t="s">
        <v>95</v>
      </c>
      <c r="E150" s="162" t="s">
        <v>96</v>
      </c>
      <c r="F150" s="162">
        <v>143</v>
      </c>
      <c r="G150" s="162">
        <v>3</v>
      </c>
      <c r="H150" s="162">
        <v>768638003</v>
      </c>
      <c r="I150" s="162" t="s">
        <v>247</v>
      </c>
      <c r="J150" s="171">
        <v>5</v>
      </c>
      <c r="K150" s="162" t="s">
        <v>64</v>
      </c>
      <c r="L150" s="163" t="s">
        <v>212</v>
      </c>
      <c r="M150" s="162" t="s">
        <v>99</v>
      </c>
      <c r="N150" s="161" t="s">
        <v>91</v>
      </c>
      <c r="O150" s="161">
        <v>5</v>
      </c>
      <c r="P150" s="163">
        <v>5</v>
      </c>
      <c r="Q150" s="163"/>
      <c r="R150" s="162"/>
      <c r="S150" s="164">
        <f>TABLAINV[[#This Row],[Conteo Físico]]-TABLAINV[[#This Row],[Cant. UND]]</f>
        <v>0</v>
      </c>
      <c r="T15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0" s="165" t="str">
        <f>IFERROR(IF(MOD(TABLAINV[[#This Row],[C]],2)=0,"PAR","IMPAR"),"Zona")</f>
        <v>IMPAR</v>
      </c>
      <c r="W150" s="166"/>
      <c r="X150" s="167">
        <f>IFERROR(IF(TABLAINV[[#This Row],[Cant. UND]]=0,TABLAINV[[#This Row],[PMV]]*TABLAINV[[#This Row],[Conteo Físico]],TABLAINV[[#This Row],[PMV]]*TABLAINV[[#This Row],[Cant. UND]]),0)</f>
        <v>0</v>
      </c>
      <c r="Y150" s="167">
        <f>IFERROR(ABS(TABLAINV[[#This Row],[PMV]]*TABLAINV[[#This Row],[Diferencia]]),0)</f>
        <v>0</v>
      </c>
      <c r="Z150" s="168">
        <f>IFERROR(VLOOKUP(TABLAINV[[#This Row],[Codigo Estado]],unds!O:P,2,0),"PEND.")</f>
        <v>2001</v>
      </c>
      <c r="AA150" s="168" t="str">
        <f t="shared" si="10"/>
        <v>CD09</v>
      </c>
      <c r="AB150" s="169">
        <f t="shared" ca="1" si="11"/>
        <v>45827</v>
      </c>
      <c r="AC150" s="1"/>
      <c r="AD150" s="1"/>
      <c r="AE150" s="1"/>
      <c r="AF150" s="1"/>
    </row>
    <row r="151" spans="1:32" ht="15" customHeight="1" x14ac:dyDescent="0.2">
      <c r="A151" s="170" t="str">
        <f t="shared" si="9"/>
        <v>MRC01</v>
      </c>
      <c r="B151" s="160" t="str">
        <f>IF(TABLAINV[[#This Row],[Z]]="","",D151&amp;"."&amp;TEXT(E151,"000")&amp;"."&amp;TEXT(F151,"000")&amp;"."&amp;TEXT(G151,"000"))</f>
        <v>MR.C01.144.001</v>
      </c>
      <c r="C151" s="161"/>
      <c r="D151" s="162" t="s">
        <v>95</v>
      </c>
      <c r="E151" s="162" t="s">
        <v>96</v>
      </c>
      <c r="F151" s="162">
        <v>144</v>
      </c>
      <c r="G151" s="162">
        <v>1</v>
      </c>
      <c r="H151" s="162">
        <v>1015686</v>
      </c>
      <c r="I151" s="162" t="s">
        <v>248</v>
      </c>
      <c r="J151" s="171">
        <v>16</v>
      </c>
      <c r="K151" s="162" t="s">
        <v>64</v>
      </c>
      <c r="L151" s="163" t="s">
        <v>98</v>
      </c>
      <c r="M151" s="162" t="s">
        <v>99</v>
      </c>
      <c r="N151" s="161" t="s">
        <v>91</v>
      </c>
      <c r="O151" s="161">
        <v>16</v>
      </c>
      <c r="P151" s="163">
        <v>16</v>
      </c>
      <c r="Q151" s="163"/>
      <c r="R151" s="162"/>
      <c r="S151" s="164">
        <f>TABLAINV[[#This Row],[Conteo Físico]]-TABLAINV[[#This Row],[Cant. UND]]</f>
        <v>0</v>
      </c>
      <c r="T15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1" s="165" t="str">
        <f>IFERROR(IF(MOD(TABLAINV[[#This Row],[C]],2)=0,"PAR","IMPAR"),"Zona")</f>
        <v>PAR</v>
      </c>
      <c r="W151" s="166"/>
      <c r="X151" s="167">
        <f>IFERROR(IF(TABLAINV[[#This Row],[Cant. UND]]=0,TABLAINV[[#This Row],[PMV]]*TABLAINV[[#This Row],[Conteo Físico]],TABLAINV[[#This Row],[PMV]]*TABLAINV[[#This Row],[Cant. UND]]),0)</f>
        <v>0</v>
      </c>
      <c r="Y151" s="167">
        <f>IFERROR(ABS(TABLAINV[[#This Row],[PMV]]*TABLAINV[[#This Row],[Diferencia]]),0)</f>
        <v>0</v>
      </c>
      <c r="Z151" s="168">
        <f>IFERROR(VLOOKUP(TABLAINV[[#This Row],[Codigo Estado]],unds!O:P,2,0),"PEND.")</f>
        <v>2001</v>
      </c>
      <c r="AA151" s="168" t="str">
        <f t="shared" si="10"/>
        <v>CD09</v>
      </c>
      <c r="AB151" s="169">
        <f t="shared" ca="1" si="11"/>
        <v>45827</v>
      </c>
      <c r="AC151" s="1"/>
      <c r="AD151" s="1"/>
      <c r="AE151" s="1"/>
      <c r="AF151" s="1"/>
    </row>
    <row r="152" spans="1:32" ht="15" customHeight="1" x14ac:dyDescent="0.2">
      <c r="A152" s="170" t="str">
        <f t="shared" si="9"/>
        <v>MRC01</v>
      </c>
      <c r="B152" s="160" t="str">
        <f>IF(TABLAINV[[#This Row],[Z]]="","",D152&amp;"."&amp;TEXT(E152,"000")&amp;"."&amp;TEXT(F152,"000")&amp;"."&amp;TEXT(G152,"000"))</f>
        <v>MR.C01.144.001</v>
      </c>
      <c r="C152" s="161"/>
      <c r="D152" s="162" t="s">
        <v>95</v>
      </c>
      <c r="E152" s="162" t="s">
        <v>96</v>
      </c>
      <c r="F152" s="162">
        <v>144</v>
      </c>
      <c r="G152" s="162">
        <v>1</v>
      </c>
      <c r="H152" s="162">
        <v>4228</v>
      </c>
      <c r="I152" s="162" t="s">
        <v>249</v>
      </c>
      <c r="J152" s="171">
        <v>16</v>
      </c>
      <c r="K152" s="162" t="s">
        <v>64</v>
      </c>
      <c r="L152" s="163" t="s">
        <v>218</v>
      </c>
      <c r="M152" s="162" t="s">
        <v>99</v>
      </c>
      <c r="N152" s="161" t="s">
        <v>91</v>
      </c>
      <c r="O152" s="161">
        <v>16</v>
      </c>
      <c r="P152" s="163">
        <v>16</v>
      </c>
      <c r="Q152" s="163"/>
      <c r="R152" s="162"/>
      <c r="S152" s="164">
        <f>TABLAINV[[#This Row],[Conteo Físico]]-TABLAINV[[#This Row],[Cant. UND]]</f>
        <v>0</v>
      </c>
      <c r="T15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2" s="165" t="str">
        <f>IFERROR(IF(MOD(TABLAINV[[#This Row],[C]],2)=0,"PAR","IMPAR"),"Zona")</f>
        <v>PAR</v>
      </c>
      <c r="W152" s="166"/>
      <c r="X152" s="167">
        <f>IFERROR(IF(TABLAINV[[#This Row],[Cant. UND]]=0,TABLAINV[[#This Row],[PMV]]*TABLAINV[[#This Row],[Conteo Físico]],TABLAINV[[#This Row],[PMV]]*TABLAINV[[#This Row],[Cant. UND]]),0)</f>
        <v>0</v>
      </c>
      <c r="Y152" s="167">
        <f>IFERROR(ABS(TABLAINV[[#This Row],[PMV]]*TABLAINV[[#This Row],[Diferencia]]),0)</f>
        <v>0</v>
      </c>
      <c r="Z152" s="168">
        <f>IFERROR(VLOOKUP(TABLAINV[[#This Row],[Codigo Estado]],unds!O:P,2,0),"PEND.")</f>
        <v>2001</v>
      </c>
      <c r="AA152" s="168" t="str">
        <f t="shared" si="10"/>
        <v>CD09</v>
      </c>
      <c r="AB152" s="169">
        <f t="shared" ca="1" si="11"/>
        <v>45827</v>
      </c>
      <c r="AC152" s="1"/>
      <c r="AD152" s="1"/>
      <c r="AE152" s="1"/>
      <c r="AF152" s="1"/>
    </row>
    <row r="153" spans="1:32" ht="15" customHeight="1" x14ac:dyDescent="0.2">
      <c r="A153" s="170" t="str">
        <f t="shared" si="9"/>
        <v>MRC01</v>
      </c>
      <c r="B153" s="160" t="str">
        <f>IF(TABLAINV[[#This Row],[Z]]="","",D153&amp;"."&amp;TEXT(E153,"000")&amp;"."&amp;TEXT(F153,"000")&amp;"."&amp;TEXT(G153,"000"))</f>
        <v>MR.C01.144.001</v>
      </c>
      <c r="C153" s="161"/>
      <c r="D153" s="162" t="s">
        <v>95</v>
      </c>
      <c r="E153" s="162" t="s">
        <v>96</v>
      </c>
      <c r="F153" s="162">
        <v>144</v>
      </c>
      <c r="G153" s="162">
        <v>1</v>
      </c>
      <c r="H153" s="162">
        <v>4257</v>
      </c>
      <c r="I153" s="162" t="s">
        <v>235</v>
      </c>
      <c r="J153" s="171">
        <v>1</v>
      </c>
      <c r="K153" s="162" t="s">
        <v>64</v>
      </c>
      <c r="L153" s="163" t="s">
        <v>236</v>
      </c>
      <c r="M153" s="162" t="s">
        <v>135</v>
      </c>
      <c r="N153" s="161" t="s">
        <v>91</v>
      </c>
      <c r="O153" s="161">
        <v>1</v>
      </c>
      <c r="P153" s="163">
        <v>1</v>
      </c>
      <c r="Q153" s="163"/>
      <c r="R153" s="162"/>
      <c r="S153" s="164">
        <f>TABLAINV[[#This Row],[Conteo Físico]]-TABLAINV[[#This Row],[Cant. UND]]</f>
        <v>0</v>
      </c>
      <c r="T15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3" s="165" t="str">
        <f>IFERROR(IF(MOD(TABLAINV[[#This Row],[C]],2)=0,"PAR","IMPAR"),"Zona")</f>
        <v>PAR</v>
      </c>
      <c r="W153" s="166"/>
      <c r="X153" s="167">
        <f>IFERROR(IF(TABLAINV[[#This Row],[Cant. UND]]=0,TABLAINV[[#This Row],[PMV]]*TABLAINV[[#This Row],[Conteo Físico]],TABLAINV[[#This Row],[PMV]]*TABLAINV[[#This Row],[Cant. UND]]),0)</f>
        <v>0</v>
      </c>
      <c r="Y153" s="167">
        <f>IFERROR(ABS(TABLAINV[[#This Row],[PMV]]*TABLAINV[[#This Row],[Diferencia]]),0)</f>
        <v>0</v>
      </c>
      <c r="Z153" s="168">
        <f>IFERROR(VLOOKUP(TABLAINV[[#This Row],[Codigo Estado]],unds!O:P,2,0),"PEND.")</f>
        <v>2001</v>
      </c>
      <c r="AA153" s="168" t="str">
        <f t="shared" si="10"/>
        <v>CD09</v>
      </c>
      <c r="AB153" s="169">
        <f t="shared" ca="1" si="11"/>
        <v>45827</v>
      </c>
      <c r="AC153" s="1"/>
      <c r="AD153" s="1"/>
      <c r="AE153" s="1"/>
      <c r="AF153" s="1"/>
    </row>
    <row r="154" spans="1:32" ht="15" customHeight="1" x14ac:dyDescent="0.2">
      <c r="A154" s="170" t="str">
        <f t="shared" si="9"/>
        <v>MRC01</v>
      </c>
      <c r="B154" s="160" t="str">
        <f>IF(TABLAINV[[#This Row],[Z]]="","",D154&amp;"."&amp;TEXT(E154,"000")&amp;"."&amp;TEXT(F154,"000")&amp;"."&amp;TEXT(G154,"000"))</f>
        <v>MR.C01.144.001</v>
      </c>
      <c r="C154" s="161"/>
      <c r="D154" s="162" t="s">
        <v>95</v>
      </c>
      <c r="E154" s="162" t="s">
        <v>96</v>
      </c>
      <c r="F154" s="162">
        <v>144</v>
      </c>
      <c r="G154" s="162">
        <v>1</v>
      </c>
      <c r="H154" s="162">
        <v>452020</v>
      </c>
      <c r="I154" s="162" t="s">
        <v>250</v>
      </c>
      <c r="J154" s="171">
        <v>12</v>
      </c>
      <c r="K154" s="162" t="s">
        <v>64</v>
      </c>
      <c r="L154" s="163" t="s">
        <v>98</v>
      </c>
      <c r="M154" s="162" t="s">
        <v>99</v>
      </c>
      <c r="N154" s="161" t="s">
        <v>91</v>
      </c>
      <c r="O154" s="161">
        <v>12</v>
      </c>
      <c r="P154" s="163">
        <v>12</v>
      </c>
      <c r="Q154" s="163"/>
      <c r="R154" s="162"/>
      <c r="S154" s="164">
        <f>TABLAINV[[#This Row],[Conteo Físico]]-TABLAINV[[#This Row],[Cant. UND]]</f>
        <v>0</v>
      </c>
      <c r="T15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4" s="165" t="str">
        <f>IFERROR(IF(MOD(TABLAINV[[#This Row],[C]],2)=0,"PAR","IMPAR"),"Zona")</f>
        <v>PAR</v>
      </c>
      <c r="W154" s="166"/>
      <c r="X154" s="167">
        <f>IFERROR(IF(TABLAINV[[#This Row],[Cant. UND]]=0,TABLAINV[[#This Row],[PMV]]*TABLAINV[[#This Row],[Conteo Físico]],TABLAINV[[#This Row],[PMV]]*TABLAINV[[#This Row],[Cant. UND]]),0)</f>
        <v>0</v>
      </c>
      <c r="Y154" s="167">
        <f>IFERROR(ABS(TABLAINV[[#This Row],[PMV]]*TABLAINV[[#This Row],[Diferencia]]),0)</f>
        <v>0</v>
      </c>
      <c r="Z154" s="168">
        <f>IFERROR(VLOOKUP(TABLAINV[[#This Row],[Codigo Estado]],unds!O:P,2,0),"PEND.")</f>
        <v>2001</v>
      </c>
      <c r="AA154" s="168" t="str">
        <f t="shared" si="10"/>
        <v>CD09</v>
      </c>
      <c r="AB154" s="169">
        <f t="shared" ca="1" si="11"/>
        <v>45827</v>
      </c>
      <c r="AC154" s="1"/>
      <c r="AD154" s="1"/>
      <c r="AE154" s="1"/>
      <c r="AF154" s="1"/>
    </row>
    <row r="155" spans="1:32" ht="15" customHeight="1" x14ac:dyDescent="0.2">
      <c r="A155" s="170" t="str">
        <f t="shared" si="9"/>
        <v>MRC01</v>
      </c>
      <c r="B155" s="160" t="str">
        <f>IF(TABLAINV[[#This Row],[Z]]="","",D155&amp;"."&amp;TEXT(E155,"000")&amp;"."&amp;TEXT(F155,"000")&amp;"."&amp;TEXT(G155,"000"))</f>
        <v>MR.C01.144.001</v>
      </c>
      <c r="C155" s="161"/>
      <c r="D155" s="162" t="s">
        <v>95</v>
      </c>
      <c r="E155" s="162" t="s">
        <v>96</v>
      </c>
      <c r="F155" s="162">
        <v>144</v>
      </c>
      <c r="G155" s="162">
        <v>1</v>
      </c>
      <c r="H155" s="162">
        <v>70124</v>
      </c>
      <c r="I155" s="162" t="s">
        <v>251</v>
      </c>
      <c r="J155" s="171">
        <v>6</v>
      </c>
      <c r="K155" s="162" t="s">
        <v>64</v>
      </c>
      <c r="L155" s="163" t="s">
        <v>115</v>
      </c>
      <c r="M155" s="162" t="s">
        <v>99</v>
      </c>
      <c r="N155" s="161" t="s">
        <v>91</v>
      </c>
      <c r="O155" s="161">
        <v>6</v>
      </c>
      <c r="P155" s="163">
        <v>6</v>
      </c>
      <c r="Q155" s="163"/>
      <c r="R155" s="162"/>
      <c r="S155" s="164">
        <f>TABLAINV[[#This Row],[Conteo Físico]]-TABLAINV[[#This Row],[Cant. UND]]</f>
        <v>0</v>
      </c>
      <c r="T15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5" s="165" t="str">
        <f>IFERROR(IF(MOD(TABLAINV[[#This Row],[C]],2)=0,"PAR","IMPAR"),"Zona")</f>
        <v>PAR</v>
      </c>
      <c r="W155" s="166"/>
      <c r="X155" s="167">
        <f>IFERROR(IF(TABLAINV[[#This Row],[Cant. UND]]=0,TABLAINV[[#This Row],[PMV]]*TABLAINV[[#This Row],[Conteo Físico]],TABLAINV[[#This Row],[PMV]]*TABLAINV[[#This Row],[Cant. UND]]),0)</f>
        <v>0</v>
      </c>
      <c r="Y155" s="167">
        <f>IFERROR(ABS(TABLAINV[[#This Row],[PMV]]*TABLAINV[[#This Row],[Diferencia]]),0)</f>
        <v>0</v>
      </c>
      <c r="Z155" s="168">
        <f>IFERROR(VLOOKUP(TABLAINV[[#This Row],[Codigo Estado]],unds!O:P,2,0),"PEND.")</f>
        <v>2001</v>
      </c>
      <c r="AA155" s="168" t="str">
        <f t="shared" si="10"/>
        <v>CD09</v>
      </c>
      <c r="AB155" s="169">
        <f t="shared" ca="1" si="11"/>
        <v>45827</v>
      </c>
      <c r="AC155" s="1"/>
      <c r="AD155" s="1"/>
      <c r="AE155" s="1"/>
      <c r="AF155" s="1"/>
    </row>
    <row r="156" spans="1:32" ht="15" customHeight="1" x14ac:dyDescent="0.2">
      <c r="A156" s="170" t="str">
        <f t="shared" si="9"/>
        <v>MRC01</v>
      </c>
      <c r="B156" s="160" t="str">
        <f>IF(TABLAINV[[#This Row],[Z]]="","",D156&amp;"."&amp;TEXT(E156,"000")&amp;"."&amp;TEXT(F156,"000")&amp;"."&amp;TEXT(G156,"000"))</f>
        <v>MR.C01.144.002</v>
      </c>
      <c r="C156" s="161"/>
      <c r="D156" s="162" t="s">
        <v>95</v>
      </c>
      <c r="E156" s="162" t="s">
        <v>96</v>
      </c>
      <c r="F156" s="162">
        <v>144</v>
      </c>
      <c r="G156" s="162">
        <v>2</v>
      </c>
      <c r="H156" s="162">
        <v>567790</v>
      </c>
      <c r="I156" s="162" t="s">
        <v>252</v>
      </c>
      <c r="J156" s="171">
        <v>11</v>
      </c>
      <c r="K156" s="162" t="s">
        <v>64</v>
      </c>
      <c r="L156" s="163" t="s">
        <v>184</v>
      </c>
      <c r="M156" s="162" t="s">
        <v>99</v>
      </c>
      <c r="N156" s="161" t="s">
        <v>91</v>
      </c>
      <c r="O156" s="161">
        <v>11</v>
      </c>
      <c r="P156" s="163">
        <v>11</v>
      </c>
      <c r="Q156" s="163"/>
      <c r="R156" s="162"/>
      <c r="S156" s="164">
        <f>TABLAINV[[#This Row],[Conteo Físico]]-TABLAINV[[#This Row],[Cant. UND]]</f>
        <v>0</v>
      </c>
      <c r="T15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6" s="165" t="str">
        <f>IFERROR(IF(MOD(TABLAINV[[#This Row],[C]],2)=0,"PAR","IMPAR"),"Zona")</f>
        <v>PAR</v>
      </c>
      <c r="W156" s="166"/>
      <c r="X156" s="167">
        <f>IFERROR(IF(TABLAINV[[#This Row],[Cant. UND]]=0,TABLAINV[[#This Row],[PMV]]*TABLAINV[[#This Row],[Conteo Físico]],TABLAINV[[#This Row],[PMV]]*TABLAINV[[#This Row],[Cant. UND]]),0)</f>
        <v>0</v>
      </c>
      <c r="Y156" s="167">
        <f>IFERROR(ABS(TABLAINV[[#This Row],[PMV]]*TABLAINV[[#This Row],[Diferencia]]),0)</f>
        <v>0</v>
      </c>
      <c r="Z156" s="168">
        <f>IFERROR(VLOOKUP(TABLAINV[[#This Row],[Codigo Estado]],unds!O:P,2,0),"PEND.")</f>
        <v>2001</v>
      </c>
      <c r="AA156" s="168" t="str">
        <f t="shared" si="10"/>
        <v>CD09</v>
      </c>
      <c r="AB156" s="169">
        <f t="shared" ca="1" si="11"/>
        <v>45827</v>
      </c>
      <c r="AC156" s="1"/>
      <c r="AD156" s="1"/>
      <c r="AE156" s="1"/>
      <c r="AF156" s="1"/>
    </row>
    <row r="157" spans="1:32" ht="15" customHeight="1" x14ac:dyDescent="0.2">
      <c r="A157" s="170" t="str">
        <f t="shared" si="9"/>
        <v>MRC01</v>
      </c>
      <c r="B157" s="160" t="str">
        <f>IF(TABLAINV[[#This Row],[Z]]="","",D157&amp;"."&amp;TEXT(E157,"000")&amp;"."&amp;TEXT(F157,"000")&amp;"."&amp;TEXT(G157,"000"))</f>
        <v>MR.C01.144.002</v>
      </c>
      <c r="C157" s="161"/>
      <c r="D157" s="162" t="s">
        <v>95</v>
      </c>
      <c r="E157" s="162" t="s">
        <v>96</v>
      </c>
      <c r="F157" s="162">
        <v>144</v>
      </c>
      <c r="G157" s="162">
        <v>2</v>
      </c>
      <c r="H157" s="162">
        <v>735373003</v>
      </c>
      <c r="I157" s="162" t="s">
        <v>210</v>
      </c>
      <c r="J157" s="171">
        <v>1</v>
      </c>
      <c r="K157" s="162" t="s">
        <v>64</v>
      </c>
      <c r="L157" s="163" t="s">
        <v>113</v>
      </c>
      <c r="M157" s="162" t="s">
        <v>99</v>
      </c>
      <c r="N157" s="161" t="s">
        <v>91</v>
      </c>
      <c r="O157" s="161">
        <v>1</v>
      </c>
      <c r="P157" s="163">
        <v>1</v>
      </c>
      <c r="Q157" s="163"/>
      <c r="R157" s="162"/>
      <c r="S157" s="164">
        <f>TABLAINV[[#This Row],[Conteo Físico]]-TABLAINV[[#This Row],[Cant. UND]]</f>
        <v>0</v>
      </c>
      <c r="T15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7" s="165" t="str">
        <f>IFERROR(IF(MOD(TABLAINV[[#This Row],[C]],2)=0,"PAR","IMPAR"),"Zona")</f>
        <v>PAR</v>
      </c>
      <c r="W157" s="166"/>
      <c r="X157" s="167">
        <f>IFERROR(IF(TABLAINV[[#This Row],[Cant. UND]]=0,TABLAINV[[#This Row],[PMV]]*TABLAINV[[#This Row],[Conteo Físico]],TABLAINV[[#This Row],[PMV]]*TABLAINV[[#This Row],[Cant. UND]]),0)</f>
        <v>0</v>
      </c>
      <c r="Y157" s="167">
        <f>IFERROR(ABS(TABLAINV[[#This Row],[PMV]]*TABLAINV[[#This Row],[Diferencia]]),0)</f>
        <v>0</v>
      </c>
      <c r="Z157" s="168">
        <f>IFERROR(VLOOKUP(TABLAINV[[#This Row],[Codigo Estado]],unds!O:P,2,0),"PEND.")</f>
        <v>2001</v>
      </c>
      <c r="AA157" s="168" t="str">
        <f t="shared" si="10"/>
        <v>CD09</v>
      </c>
      <c r="AB157" s="169">
        <f t="shared" ca="1" si="11"/>
        <v>45827</v>
      </c>
      <c r="AC157" s="1"/>
      <c r="AD157" s="1"/>
      <c r="AE157" s="1"/>
      <c r="AF157" s="1"/>
    </row>
    <row r="158" spans="1:32" ht="15" customHeight="1" x14ac:dyDescent="0.2">
      <c r="A158" s="170" t="str">
        <f t="shared" si="9"/>
        <v>MRC01</v>
      </c>
      <c r="B158" s="160" t="str">
        <f>IF(TABLAINV[[#This Row],[Z]]="","",D158&amp;"."&amp;TEXT(E158,"000")&amp;"."&amp;TEXT(F158,"000")&amp;"."&amp;TEXT(G158,"000"))</f>
        <v>MR.C01.144.003</v>
      </c>
      <c r="C158" s="161"/>
      <c r="D158" s="162" t="s">
        <v>95</v>
      </c>
      <c r="E158" s="162" t="s">
        <v>96</v>
      </c>
      <c r="F158" s="162">
        <v>144</v>
      </c>
      <c r="G158" s="162">
        <v>3</v>
      </c>
      <c r="H158" s="162">
        <v>3378</v>
      </c>
      <c r="I158" s="162" t="s">
        <v>253</v>
      </c>
      <c r="J158" s="171">
        <v>12</v>
      </c>
      <c r="K158" s="162" t="s">
        <v>64</v>
      </c>
      <c r="L158" s="163" t="s">
        <v>98</v>
      </c>
      <c r="M158" s="162" t="s">
        <v>99</v>
      </c>
      <c r="N158" s="161" t="s">
        <v>91</v>
      </c>
      <c r="O158" s="161">
        <v>12</v>
      </c>
      <c r="P158" s="163">
        <v>12</v>
      </c>
      <c r="Q158" s="163"/>
      <c r="R158" s="162"/>
      <c r="S158" s="164">
        <f>TABLAINV[[#This Row],[Conteo Físico]]-TABLAINV[[#This Row],[Cant. UND]]</f>
        <v>0</v>
      </c>
      <c r="T15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8" s="165" t="str">
        <f>IFERROR(IF(MOD(TABLAINV[[#This Row],[C]],2)=0,"PAR","IMPAR"),"Zona")</f>
        <v>PAR</v>
      </c>
      <c r="W158" s="166"/>
      <c r="X158" s="167">
        <f>IFERROR(IF(TABLAINV[[#This Row],[Cant. UND]]=0,TABLAINV[[#This Row],[PMV]]*TABLAINV[[#This Row],[Conteo Físico]],TABLAINV[[#This Row],[PMV]]*TABLAINV[[#This Row],[Cant. UND]]),0)</f>
        <v>0</v>
      </c>
      <c r="Y158" s="167">
        <f>IFERROR(ABS(TABLAINV[[#This Row],[PMV]]*TABLAINV[[#This Row],[Diferencia]]),0)</f>
        <v>0</v>
      </c>
      <c r="Z158" s="168">
        <f>IFERROR(VLOOKUP(TABLAINV[[#This Row],[Codigo Estado]],unds!O:P,2,0),"PEND.")</f>
        <v>2001</v>
      </c>
      <c r="AA158" s="168" t="str">
        <f t="shared" si="10"/>
        <v>CD09</v>
      </c>
      <c r="AB158" s="169">
        <f t="shared" ca="1" si="11"/>
        <v>45827</v>
      </c>
      <c r="AC158" s="1"/>
      <c r="AD158" s="1"/>
      <c r="AE158" s="1"/>
      <c r="AF158" s="1"/>
    </row>
    <row r="159" spans="1:32" ht="15" customHeight="1" x14ac:dyDescent="0.2">
      <c r="A159" s="170" t="str">
        <f t="shared" si="9"/>
        <v>MRC01</v>
      </c>
      <c r="B159" s="160" t="str">
        <f>IF(TABLAINV[[#This Row],[Z]]="","",D159&amp;"."&amp;TEXT(E159,"000")&amp;"."&amp;TEXT(F159,"000")&amp;"."&amp;TEXT(G159,"000"))</f>
        <v>MR.C01.144.003</v>
      </c>
      <c r="C159" s="161"/>
      <c r="D159" s="162" t="s">
        <v>95</v>
      </c>
      <c r="E159" s="162" t="s">
        <v>96</v>
      </c>
      <c r="F159" s="162">
        <v>144</v>
      </c>
      <c r="G159" s="162">
        <v>3</v>
      </c>
      <c r="H159" s="162">
        <v>373449</v>
      </c>
      <c r="I159" s="162" t="s">
        <v>254</v>
      </c>
      <c r="J159" s="171">
        <v>10</v>
      </c>
      <c r="K159" s="162" t="s">
        <v>64</v>
      </c>
      <c r="L159" s="163" t="s">
        <v>212</v>
      </c>
      <c r="M159" s="162" t="s">
        <v>99</v>
      </c>
      <c r="N159" s="161" t="s">
        <v>91</v>
      </c>
      <c r="O159" s="161">
        <v>10</v>
      </c>
      <c r="P159" s="163">
        <v>10</v>
      </c>
      <c r="Q159" s="163"/>
      <c r="R159" s="162"/>
      <c r="S159" s="164">
        <f>TABLAINV[[#This Row],[Conteo Físico]]-TABLAINV[[#This Row],[Cant. UND]]</f>
        <v>0</v>
      </c>
      <c r="T15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5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59" s="165" t="str">
        <f>IFERROR(IF(MOD(TABLAINV[[#This Row],[C]],2)=0,"PAR","IMPAR"),"Zona")</f>
        <v>PAR</v>
      </c>
      <c r="W159" s="166"/>
      <c r="X159" s="167">
        <f>IFERROR(IF(TABLAINV[[#This Row],[Cant. UND]]=0,TABLAINV[[#This Row],[PMV]]*TABLAINV[[#This Row],[Conteo Físico]],TABLAINV[[#This Row],[PMV]]*TABLAINV[[#This Row],[Cant. UND]]),0)</f>
        <v>0</v>
      </c>
      <c r="Y159" s="167">
        <f>IFERROR(ABS(TABLAINV[[#This Row],[PMV]]*TABLAINV[[#This Row],[Diferencia]]),0)</f>
        <v>0</v>
      </c>
      <c r="Z159" s="168">
        <f>IFERROR(VLOOKUP(TABLAINV[[#This Row],[Codigo Estado]],unds!O:P,2,0),"PEND.")</f>
        <v>2001</v>
      </c>
      <c r="AA159" s="168" t="str">
        <f t="shared" si="10"/>
        <v>CD09</v>
      </c>
      <c r="AB159" s="169">
        <f t="shared" ca="1" si="11"/>
        <v>45827</v>
      </c>
      <c r="AC159" s="1"/>
      <c r="AD159" s="1"/>
      <c r="AE159" s="1"/>
      <c r="AF159" s="1"/>
    </row>
    <row r="160" spans="1:32" ht="15" customHeight="1" x14ac:dyDescent="0.2">
      <c r="A160" s="170" t="str">
        <f t="shared" si="9"/>
        <v>MRC01</v>
      </c>
      <c r="B160" s="160" t="str">
        <f>IF(TABLAINV[[#This Row],[Z]]="","",D160&amp;"."&amp;TEXT(E160,"000")&amp;"."&amp;TEXT(F160,"000")&amp;"."&amp;TEXT(G160,"000"))</f>
        <v>MR.C01.144.003</v>
      </c>
      <c r="C160" s="161"/>
      <c r="D160" s="162" t="s">
        <v>95</v>
      </c>
      <c r="E160" s="162" t="s">
        <v>96</v>
      </c>
      <c r="F160" s="162">
        <v>144</v>
      </c>
      <c r="G160" s="162">
        <v>3</v>
      </c>
      <c r="H160" s="162">
        <v>4986</v>
      </c>
      <c r="I160" s="162" t="s">
        <v>255</v>
      </c>
      <c r="J160" s="171">
        <v>5</v>
      </c>
      <c r="K160" s="162" t="s">
        <v>64</v>
      </c>
      <c r="L160" s="163" t="s">
        <v>256</v>
      </c>
      <c r="M160" s="162" t="s">
        <v>111</v>
      </c>
      <c r="N160" s="161" t="s">
        <v>91</v>
      </c>
      <c r="O160" s="161">
        <v>5</v>
      </c>
      <c r="P160" s="163">
        <v>5</v>
      </c>
      <c r="Q160" s="163"/>
      <c r="R160" s="162"/>
      <c r="S160" s="164">
        <f>TABLAINV[[#This Row],[Conteo Físico]]-TABLAINV[[#This Row],[Cant. UND]]</f>
        <v>0</v>
      </c>
      <c r="T16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0" s="165" t="str">
        <f>IFERROR(IF(MOD(TABLAINV[[#This Row],[C]],2)=0,"PAR","IMPAR"),"Zona")</f>
        <v>PAR</v>
      </c>
      <c r="W160" s="166"/>
      <c r="X160" s="167">
        <f>IFERROR(IF(TABLAINV[[#This Row],[Cant. UND]]=0,TABLAINV[[#This Row],[PMV]]*TABLAINV[[#This Row],[Conteo Físico]],TABLAINV[[#This Row],[PMV]]*TABLAINV[[#This Row],[Cant. UND]]),0)</f>
        <v>0</v>
      </c>
      <c r="Y160" s="167">
        <f>IFERROR(ABS(TABLAINV[[#This Row],[PMV]]*TABLAINV[[#This Row],[Diferencia]]),0)</f>
        <v>0</v>
      </c>
      <c r="Z160" s="168">
        <f>IFERROR(VLOOKUP(TABLAINV[[#This Row],[Codigo Estado]],unds!O:P,2,0),"PEND.")</f>
        <v>2001</v>
      </c>
      <c r="AA160" s="168" t="str">
        <f t="shared" si="10"/>
        <v>CD09</v>
      </c>
      <c r="AB160" s="169">
        <f t="shared" ca="1" si="11"/>
        <v>45827</v>
      </c>
      <c r="AC160" s="1"/>
      <c r="AD160" s="1"/>
      <c r="AE160" s="1"/>
      <c r="AF160" s="1"/>
    </row>
    <row r="161" spans="1:32" ht="15" customHeight="1" x14ac:dyDescent="0.2">
      <c r="A161" s="170" t="str">
        <f t="shared" si="9"/>
        <v>MRC01</v>
      </c>
      <c r="B161" s="160" t="str">
        <f>IF(TABLAINV[[#This Row],[Z]]="","",D161&amp;"."&amp;TEXT(E161,"000")&amp;"."&amp;TEXT(F161,"000")&amp;"."&amp;TEXT(G161,"000"))</f>
        <v>MR.C01.146.001</v>
      </c>
      <c r="C161" s="161"/>
      <c r="D161" s="162" t="s">
        <v>95</v>
      </c>
      <c r="E161" s="162" t="s">
        <v>96</v>
      </c>
      <c r="F161" s="162">
        <v>146</v>
      </c>
      <c r="G161" s="162">
        <v>1</v>
      </c>
      <c r="H161" s="162">
        <v>4228</v>
      </c>
      <c r="I161" s="162" t="s">
        <v>249</v>
      </c>
      <c r="J161" s="171">
        <v>13</v>
      </c>
      <c r="K161" s="162" t="s">
        <v>64</v>
      </c>
      <c r="L161" s="163" t="s">
        <v>218</v>
      </c>
      <c r="M161" s="162" t="s">
        <v>99</v>
      </c>
      <c r="N161" s="161" t="s">
        <v>91</v>
      </c>
      <c r="O161" s="161">
        <v>13</v>
      </c>
      <c r="P161" s="163">
        <v>13</v>
      </c>
      <c r="Q161" s="163"/>
      <c r="R161" s="162"/>
      <c r="S161" s="164">
        <f>TABLAINV[[#This Row],[Conteo Físico]]-TABLAINV[[#This Row],[Cant. UND]]</f>
        <v>0</v>
      </c>
      <c r="T16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1" s="165" t="str">
        <f>IFERROR(IF(MOD(TABLAINV[[#This Row],[C]],2)=0,"PAR","IMPAR"),"Zona")</f>
        <v>PAR</v>
      </c>
      <c r="W161" s="166"/>
      <c r="X161" s="167">
        <f>IFERROR(IF(TABLAINV[[#This Row],[Cant. UND]]=0,TABLAINV[[#This Row],[PMV]]*TABLAINV[[#This Row],[Conteo Físico]],TABLAINV[[#This Row],[PMV]]*TABLAINV[[#This Row],[Cant. UND]]),0)</f>
        <v>0</v>
      </c>
      <c r="Y161" s="167">
        <f>IFERROR(ABS(TABLAINV[[#This Row],[PMV]]*TABLAINV[[#This Row],[Diferencia]]),0)</f>
        <v>0</v>
      </c>
      <c r="Z161" s="168">
        <f>IFERROR(VLOOKUP(TABLAINV[[#This Row],[Codigo Estado]],unds!O:P,2,0),"PEND.")</f>
        <v>2001</v>
      </c>
      <c r="AA161" s="168" t="str">
        <f t="shared" si="10"/>
        <v>CD09</v>
      </c>
      <c r="AB161" s="169">
        <f t="shared" ca="1" si="11"/>
        <v>45827</v>
      </c>
      <c r="AC161" s="1"/>
      <c r="AD161" s="1"/>
      <c r="AE161" s="1"/>
      <c r="AF161" s="1"/>
    </row>
    <row r="162" spans="1:32" ht="15" customHeight="1" x14ac:dyDescent="0.2">
      <c r="A162" s="170" t="str">
        <f t="shared" si="9"/>
        <v>MRC01</v>
      </c>
      <c r="B162" s="160" t="str">
        <f>IF(TABLAINV[[#This Row],[Z]]="","",D162&amp;"."&amp;TEXT(E162,"000")&amp;"."&amp;TEXT(F162,"000")&amp;"."&amp;TEXT(G162,"000"))</f>
        <v>MR.C01.146.002</v>
      </c>
      <c r="C162" s="161"/>
      <c r="D162" s="162" t="s">
        <v>95</v>
      </c>
      <c r="E162" s="162" t="s">
        <v>96</v>
      </c>
      <c r="F162" s="162">
        <v>146</v>
      </c>
      <c r="G162" s="162">
        <v>2</v>
      </c>
      <c r="H162" s="162">
        <v>142477</v>
      </c>
      <c r="I162" s="162" t="s">
        <v>257</v>
      </c>
      <c r="J162" s="171">
        <v>3</v>
      </c>
      <c r="K162" s="162" t="s">
        <v>64</v>
      </c>
      <c r="L162" s="163" t="s">
        <v>110</v>
      </c>
      <c r="M162" s="162" t="s">
        <v>135</v>
      </c>
      <c r="N162" s="161" t="s">
        <v>91</v>
      </c>
      <c r="O162" s="161">
        <v>3</v>
      </c>
      <c r="P162" s="163">
        <v>3</v>
      </c>
      <c r="Q162" s="163"/>
      <c r="R162" s="162"/>
      <c r="S162" s="164">
        <f>TABLAINV[[#This Row],[Conteo Físico]]-TABLAINV[[#This Row],[Cant. UND]]</f>
        <v>0</v>
      </c>
      <c r="T16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2" s="165" t="str">
        <f>IFERROR(IF(MOD(TABLAINV[[#This Row],[C]],2)=0,"PAR","IMPAR"),"Zona")</f>
        <v>PAR</v>
      </c>
      <c r="W162" s="166"/>
      <c r="X162" s="167">
        <f>IFERROR(IF(TABLAINV[[#This Row],[Cant. UND]]=0,TABLAINV[[#This Row],[PMV]]*TABLAINV[[#This Row],[Conteo Físico]],TABLAINV[[#This Row],[PMV]]*TABLAINV[[#This Row],[Cant. UND]]),0)</f>
        <v>0</v>
      </c>
      <c r="Y162" s="167">
        <f>IFERROR(ABS(TABLAINV[[#This Row],[PMV]]*TABLAINV[[#This Row],[Diferencia]]),0)</f>
        <v>0</v>
      </c>
      <c r="Z162" s="168">
        <f>IFERROR(VLOOKUP(TABLAINV[[#This Row],[Codigo Estado]],unds!O:P,2,0),"PEND.")</f>
        <v>2001</v>
      </c>
      <c r="AA162" s="168" t="str">
        <f t="shared" si="10"/>
        <v>CD09</v>
      </c>
      <c r="AB162" s="169">
        <f t="shared" ca="1" si="11"/>
        <v>45827</v>
      </c>
      <c r="AC162" s="1"/>
      <c r="AD162" s="1"/>
      <c r="AE162" s="1"/>
      <c r="AF162" s="1"/>
    </row>
    <row r="163" spans="1:32" ht="15" customHeight="1" x14ac:dyDescent="0.2">
      <c r="A163" s="170" t="str">
        <f t="shared" si="9"/>
        <v>MRC01</v>
      </c>
      <c r="B163" s="160" t="str">
        <f>IF(TABLAINV[[#This Row],[Z]]="","",D163&amp;"."&amp;TEXT(E163,"000")&amp;"."&amp;TEXT(F163,"000")&amp;"."&amp;TEXT(G163,"000"))</f>
        <v>MR.C01.146.002</v>
      </c>
      <c r="C163" s="161"/>
      <c r="D163" s="162" t="s">
        <v>95</v>
      </c>
      <c r="E163" s="162" t="s">
        <v>96</v>
      </c>
      <c r="F163" s="162">
        <v>146</v>
      </c>
      <c r="G163" s="162">
        <v>2</v>
      </c>
      <c r="H163" s="162">
        <v>143871001</v>
      </c>
      <c r="I163" s="162" t="s">
        <v>258</v>
      </c>
      <c r="J163" s="171">
        <v>9</v>
      </c>
      <c r="K163" s="162" t="s">
        <v>64</v>
      </c>
      <c r="L163" s="163" t="s">
        <v>115</v>
      </c>
      <c r="M163" s="162" t="s">
        <v>99</v>
      </c>
      <c r="N163" s="161" t="s">
        <v>91</v>
      </c>
      <c r="O163" s="161">
        <v>9</v>
      </c>
      <c r="P163" s="163">
        <v>9</v>
      </c>
      <c r="Q163" s="163"/>
      <c r="R163" s="162"/>
      <c r="S163" s="164">
        <f>TABLAINV[[#This Row],[Conteo Físico]]-TABLAINV[[#This Row],[Cant. UND]]</f>
        <v>0</v>
      </c>
      <c r="T16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3" s="165" t="str">
        <f>IFERROR(IF(MOD(TABLAINV[[#This Row],[C]],2)=0,"PAR","IMPAR"),"Zona")</f>
        <v>PAR</v>
      </c>
      <c r="W163" s="166"/>
      <c r="X163" s="167">
        <f>IFERROR(IF(TABLAINV[[#This Row],[Cant. UND]]=0,TABLAINV[[#This Row],[PMV]]*TABLAINV[[#This Row],[Conteo Físico]],TABLAINV[[#This Row],[PMV]]*TABLAINV[[#This Row],[Cant. UND]]),0)</f>
        <v>0</v>
      </c>
      <c r="Y163" s="167">
        <f>IFERROR(ABS(TABLAINV[[#This Row],[PMV]]*TABLAINV[[#This Row],[Diferencia]]),0)</f>
        <v>0</v>
      </c>
      <c r="Z163" s="168">
        <f>IFERROR(VLOOKUP(TABLAINV[[#This Row],[Codigo Estado]],unds!O:P,2,0),"PEND.")</f>
        <v>2001</v>
      </c>
      <c r="AA163" s="168" t="str">
        <f t="shared" si="10"/>
        <v>CD09</v>
      </c>
      <c r="AB163" s="169">
        <f t="shared" ca="1" si="11"/>
        <v>45827</v>
      </c>
      <c r="AC163" s="1"/>
      <c r="AD163" s="1"/>
      <c r="AE163" s="1"/>
      <c r="AF163" s="1"/>
    </row>
    <row r="164" spans="1:32" ht="15" customHeight="1" x14ac:dyDescent="0.2">
      <c r="A164" s="170" t="str">
        <f t="shared" si="9"/>
        <v>MRC01</v>
      </c>
      <c r="B164" s="160" t="str">
        <f>IF(TABLAINV[[#This Row],[Z]]="","",D164&amp;"."&amp;TEXT(E164,"000")&amp;"."&amp;TEXT(F164,"000")&amp;"."&amp;TEXT(G164,"000"))</f>
        <v>MR.C01.146.002</v>
      </c>
      <c r="C164" s="161"/>
      <c r="D164" s="162" t="s">
        <v>95</v>
      </c>
      <c r="E164" s="162" t="s">
        <v>96</v>
      </c>
      <c r="F164" s="162">
        <v>146</v>
      </c>
      <c r="G164" s="162">
        <v>2</v>
      </c>
      <c r="H164" s="162">
        <v>719573</v>
      </c>
      <c r="I164" s="162" t="s">
        <v>259</v>
      </c>
      <c r="J164" s="171">
        <v>5</v>
      </c>
      <c r="K164" s="162" t="s">
        <v>64</v>
      </c>
      <c r="L164" s="163" t="s">
        <v>113</v>
      </c>
      <c r="M164" s="162" t="s">
        <v>99</v>
      </c>
      <c r="N164" s="161" t="s">
        <v>91</v>
      </c>
      <c r="O164" s="161">
        <v>5</v>
      </c>
      <c r="P164" s="163">
        <v>5</v>
      </c>
      <c r="Q164" s="163"/>
      <c r="R164" s="162"/>
      <c r="S164" s="164">
        <f>TABLAINV[[#This Row],[Conteo Físico]]-TABLAINV[[#This Row],[Cant. UND]]</f>
        <v>0</v>
      </c>
      <c r="T16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4" s="165" t="str">
        <f>IFERROR(IF(MOD(TABLAINV[[#This Row],[C]],2)=0,"PAR","IMPAR"),"Zona")</f>
        <v>PAR</v>
      </c>
      <c r="W164" s="166"/>
      <c r="X164" s="167">
        <f>IFERROR(IF(TABLAINV[[#This Row],[Cant. UND]]=0,TABLAINV[[#This Row],[PMV]]*TABLAINV[[#This Row],[Conteo Físico]],TABLAINV[[#This Row],[PMV]]*TABLAINV[[#This Row],[Cant. UND]]),0)</f>
        <v>0</v>
      </c>
      <c r="Y164" s="167">
        <f>IFERROR(ABS(TABLAINV[[#This Row],[PMV]]*TABLAINV[[#This Row],[Diferencia]]),0)</f>
        <v>0</v>
      </c>
      <c r="Z164" s="168">
        <f>IFERROR(VLOOKUP(TABLAINV[[#This Row],[Codigo Estado]],unds!O:P,2,0),"PEND.")</f>
        <v>2001</v>
      </c>
      <c r="AA164" s="168" t="str">
        <f t="shared" si="10"/>
        <v>CD09</v>
      </c>
      <c r="AB164" s="169">
        <f t="shared" ca="1" si="11"/>
        <v>45827</v>
      </c>
      <c r="AC164" s="1"/>
      <c r="AD164" s="1"/>
      <c r="AE164" s="1"/>
      <c r="AF164" s="1"/>
    </row>
    <row r="165" spans="1:32" ht="15" customHeight="1" x14ac:dyDescent="0.2">
      <c r="A165" s="170" t="str">
        <f t="shared" si="9"/>
        <v>MRC01</v>
      </c>
      <c r="B165" s="160" t="str">
        <f>IF(TABLAINV[[#This Row],[Z]]="","",D165&amp;"."&amp;TEXT(E165,"000")&amp;"."&amp;TEXT(F165,"000")&amp;"."&amp;TEXT(G165,"000"))</f>
        <v>MR.C01.146.002</v>
      </c>
      <c r="C165" s="161"/>
      <c r="D165" s="162" t="s">
        <v>95</v>
      </c>
      <c r="E165" s="162" t="s">
        <v>96</v>
      </c>
      <c r="F165" s="162">
        <v>146</v>
      </c>
      <c r="G165" s="162">
        <v>2</v>
      </c>
      <c r="H165" s="162">
        <v>719573</v>
      </c>
      <c r="I165" s="162" t="s">
        <v>259</v>
      </c>
      <c r="J165" s="171">
        <v>12</v>
      </c>
      <c r="K165" s="162" t="s">
        <v>64</v>
      </c>
      <c r="L165" s="163" t="s">
        <v>113</v>
      </c>
      <c r="M165" s="162" t="s">
        <v>99</v>
      </c>
      <c r="N165" s="161" t="s">
        <v>91</v>
      </c>
      <c r="O165" s="161">
        <v>12</v>
      </c>
      <c r="P165" s="163">
        <v>12</v>
      </c>
      <c r="Q165" s="163"/>
      <c r="R165" s="162"/>
      <c r="S165" s="164">
        <f>TABLAINV[[#This Row],[Conteo Físico]]-TABLAINV[[#This Row],[Cant. UND]]</f>
        <v>0</v>
      </c>
      <c r="T16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5" s="165" t="str">
        <f>IFERROR(IF(MOD(TABLAINV[[#This Row],[C]],2)=0,"PAR","IMPAR"),"Zona")</f>
        <v>PAR</v>
      </c>
      <c r="W165" s="166"/>
      <c r="X165" s="167">
        <f>IFERROR(IF(TABLAINV[[#This Row],[Cant. UND]]=0,TABLAINV[[#This Row],[PMV]]*TABLAINV[[#This Row],[Conteo Físico]],TABLAINV[[#This Row],[PMV]]*TABLAINV[[#This Row],[Cant. UND]]),0)</f>
        <v>0</v>
      </c>
      <c r="Y165" s="167">
        <f>IFERROR(ABS(TABLAINV[[#This Row],[PMV]]*TABLAINV[[#This Row],[Diferencia]]),0)</f>
        <v>0</v>
      </c>
      <c r="Z165" s="168">
        <f>IFERROR(VLOOKUP(TABLAINV[[#This Row],[Codigo Estado]],unds!O:P,2,0),"PEND.")</f>
        <v>2001</v>
      </c>
      <c r="AA165" s="168" t="str">
        <f t="shared" si="10"/>
        <v>CD09</v>
      </c>
      <c r="AB165" s="169">
        <f t="shared" ca="1" si="11"/>
        <v>45827</v>
      </c>
      <c r="AC165" s="1"/>
      <c r="AD165" s="1"/>
      <c r="AE165" s="1"/>
      <c r="AF165" s="1"/>
    </row>
    <row r="166" spans="1:32" ht="15" customHeight="1" x14ac:dyDescent="0.2">
      <c r="A166" s="170" t="str">
        <f t="shared" si="9"/>
        <v>MRC01</v>
      </c>
      <c r="B166" s="160" t="str">
        <f>IF(TABLAINV[[#This Row],[Z]]="","",D166&amp;"."&amp;TEXT(E166,"000")&amp;"."&amp;TEXT(F166,"000")&amp;"."&amp;TEXT(G166,"000"))</f>
        <v>MR.C01.146.003</v>
      </c>
      <c r="C166" s="161"/>
      <c r="D166" s="162" t="s">
        <v>95</v>
      </c>
      <c r="E166" s="162" t="s">
        <v>96</v>
      </c>
      <c r="F166" s="162">
        <v>146</v>
      </c>
      <c r="G166" s="162">
        <v>3</v>
      </c>
      <c r="H166" s="162">
        <v>1024529</v>
      </c>
      <c r="I166" s="162" t="s">
        <v>260</v>
      </c>
      <c r="J166" s="171">
        <v>15</v>
      </c>
      <c r="K166" s="162" t="s">
        <v>64</v>
      </c>
      <c r="L166" s="163" t="s">
        <v>212</v>
      </c>
      <c r="M166" s="162" t="s">
        <v>99</v>
      </c>
      <c r="N166" s="161" t="s">
        <v>91</v>
      </c>
      <c r="O166" s="161">
        <v>15</v>
      </c>
      <c r="P166" s="163">
        <v>15</v>
      </c>
      <c r="Q166" s="163"/>
      <c r="R166" s="162"/>
      <c r="S166" s="164">
        <f>TABLAINV[[#This Row],[Conteo Físico]]-TABLAINV[[#This Row],[Cant. UND]]</f>
        <v>0</v>
      </c>
      <c r="T16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6" s="165" t="str">
        <f>IFERROR(IF(MOD(TABLAINV[[#This Row],[C]],2)=0,"PAR","IMPAR"),"Zona")</f>
        <v>PAR</v>
      </c>
      <c r="W166" s="166"/>
      <c r="X166" s="167">
        <f>IFERROR(IF(TABLAINV[[#This Row],[Cant. UND]]=0,TABLAINV[[#This Row],[PMV]]*TABLAINV[[#This Row],[Conteo Físico]],TABLAINV[[#This Row],[PMV]]*TABLAINV[[#This Row],[Cant. UND]]),0)</f>
        <v>0</v>
      </c>
      <c r="Y166" s="167">
        <f>IFERROR(ABS(TABLAINV[[#This Row],[PMV]]*TABLAINV[[#This Row],[Diferencia]]),0)</f>
        <v>0</v>
      </c>
      <c r="Z166" s="168">
        <f>IFERROR(VLOOKUP(TABLAINV[[#This Row],[Codigo Estado]],unds!O:P,2,0),"PEND.")</f>
        <v>2001</v>
      </c>
      <c r="AA166" s="168" t="str">
        <f t="shared" si="10"/>
        <v>CD09</v>
      </c>
      <c r="AB166" s="169">
        <f t="shared" ca="1" si="11"/>
        <v>45827</v>
      </c>
      <c r="AC166" s="1"/>
      <c r="AD166" s="1"/>
      <c r="AE166" s="1"/>
      <c r="AF166" s="1"/>
    </row>
    <row r="167" spans="1:32" ht="15" customHeight="1" x14ac:dyDescent="0.2">
      <c r="A167" s="170" t="str">
        <f t="shared" si="9"/>
        <v>MRC01</v>
      </c>
      <c r="B167" s="160" t="str">
        <f>IF(TABLAINV[[#This Row],[Z]]="","",D167&amp;"."&amp;TEXT(E167,"000")&amp;"."&amp;TEXT(F167,"000")&amp;"."&amp;TEXT(G167,"000"))</f>
        <v>MR.C01.146.003</v>
      </c>
      <c r="C167" s="161"/>
      <c r="D167" s="162" t="s">
        <v>95</v>
      </c>
      <c r="E167" s="162" t="s">
        <v>96</v>
      </c>
      <c r="F167" s="162">
        <v>146</v>
      </c>
      <c r="G167" s="162">
        <v>3</v>
      </c>
      <c r="H167" s="162">
        <v>48223001</v>
      </c>
      <c r="I167" s="162" t="s">
        <v>261</v>
      </c>
      <c r="J167" s="171">
        <v>3</v>
      </c>
      <c r="K167" s="162" t="s">
        <v>64</v>
      </c>
      <c r="L167" s="163" t="s">
        <v>98</v>
      </c>
      <c r="M167" s="162" t="s">
        <v>99</v>
      </c>
      <c r="N167" s="161" t="s">
        <v>91</v>
      </c>
      <c r="O167" s="161">
        <v>3</v>
      </c>
      <c r="P167" s="163">
        <v>3</v>
      </c>
      <c r="Q167" s="163"/>
      <c r="R167" s="162"/>
      <c r="S167" s="164">
        <f>TABLAINV[[#This Row],[Conteo Físico]]-TABLAINV[[#This Row],[Cant. UND]]</f>
        <v>0</v>
      </c>
      <c r="T16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7" s="165" t="str">
        <f>IFERROR(IF(MOD(TABLAINV[[#This Row],[C]],2)=0,"PAR","IMPAR"),"Zona")</f>
        <v>PAR</v>
      </c>
      <c r="W167" s="166"/>
      <c r="X167" s="167">
        <f>IFERROR(IF(TABLAINV[[#This Row],[Cant. UND]]=0,TABLAINV[[#This Row],[PMV]]*TABLAINV[[#This Row],[Conteo Físico]],TABLAINV[[#This Row],[PMV]]*TABLAINV[[#This Row],[Cant. UND]]),0)</f>
        <v>0</v>
      </c>
      <c r="Y167" s="167">
        <f>IFERROR(ABS(TABLAINV[[#This Row],[PMV]]*TABLAINV[[#This Row],[Diferencia]]),0)</f>
        <v>0</v>
      </c>
      <c r="Z167" s="168">
        <f>IFERROR(VLOOKUP(TABLAINV[[#This Row],[Codigo Estado]],unds!O:P,2,0),"PEND.")</f>
        <v>2001</v>
      </c>
      <c r="AA167" s="168" t="str">
        <f t="shared" si="10"/>
        <v>CD09</v>
      </c>
      <c r="AB167" s="169">
        <f t="shared" ca="1" si="11"/>
        <v>45827</v>
      </c>
      <c r="AC167" s="1"/>
      <c r="AD167" s="1"/>
      <c r="AE167" s="1"/>
      <c r="AF167" s="1"/>
    </row>
    <row r="168" spans="1:32" ht="15" customHeight="1" x14ac:dyDescent="0.2">
      <c r="A168" s="170" t="str">
        <f t="shared" si="9"/>
        <v>MRC01</v>
      </c>
      <c r="B168" s="160" t="str">
        <f>IF(TABLAINV[[#This Row],[Z]]="","",D168&amp;"."&amp;TEXT(E168,"000")&amp;"."&amp;TEXT(F168,"000")&amp;"."&amp;TEXT(G168,"000"))</f>
        <v>MR.C01.146.003</v>
      </c>
      <c r="C168" s="161"/>
      <c r="D168" s="162" t="s">
        <v>95</v>
      </c>
      <c r="E168" s="162" t="s">
        <v>96</v>
      </c>
      <c r="F168" s="162">
        <v>146</v>
      </c>
      <c r="G168" s="162">
        <v>3</v>
      </c>
      <c r="H168" s="162">
        <v>568242</v>
      </c>
      <c r="I168" s="162" t="s">
        <v>169</v>
      </c>
      <c r="J168" s="171">
        <v>12</v>
      </c>
      <c r="K168" s="162" t="s">
        <v>64</v>
      </c>
      <c r="L168" s="163" t="s">
        <v>115</v>
      </c>
      <c r="M168" s="162" t="s">
        <v>99</v>
      </c>
      <c r="N168" s="161" t="s">
        <v>91</v>
      </c>
      <c r="O168" s="161">
        <v>12</v>
      </c>
      <c r="P168" s="163">
        <v>12</v>
      </c>
      <c r="Q168" s="163"/>
      <c r="R168" s="162"/>
      <c r="S168" s="164">
        <f>TABLAINV[[#This Row],[Conteo Físico]]-TABLAINV[[#This Row],[Cant. UND]]</f>
        <v>0</v>
      </c>
      <c r="T16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8" s="165" t="str">
        <f>IFERROR(IF(MOD(TABLAINV[[#This Row],[C]],2)=0,"PAR","IMPAR"),"Zona")</f>
        <v>PAR</v>
      </c>
      <c r="W168" s="166"/>
      <c r="X168" s="167">
        <f>IFERROR(IF(TABLAINV[[#This Row],[Cant. UND]]=0,TABLAINV[[#This Row],[PMV]]*TABLAINV[[#This Row],[Conteo Físico]],TABLAINV[[#This Row],[PMV]]*TABLAINV[[#This Row],[Cant. UND]]),0)</f>
        <v>0</v>
      </c>
      <c r="Y168" s="167">
        <f>IFERROR(ABS(TABLAINV[[#This Row],[PMV]]*TABLAINV[[#This Row],[Diferencia]]),0)</f>
        <v>0</v>
      </c>
      <c r="Z168" s="168">
        <f>IFERROR(VLOOKUP(TABLAINV[[#This Row],[Codigo Estado]],unds!O:P,2,0),"PEND.")</f>
        <v>2001</v>
      </c>
      <c r="AA168" s="168" t="str">
        <f t="shared" si="10"/>
        <v>CD09</v>
      </c>
      <c r="AB168" s="169">
        <f t="shared" ca="1" si="11"/>
        <v>45827</v>
      </c>
      <c r="AC168" s="1"/>
      <c r="AD168" s="1"/>
      <c r="AE168" s="1"/>
      <c r="AF168" s="1"/>
    </row>
    <row r="169" spans="1:32" ht="15" customHeight="1" x14ac:dyDescent="0.2">
      <c r="A169" s="170" t="str">
        <f t="shared" si="9"/>
        <v>MRC01</v>
      </c>
      <c r="B169" s="160" t="str">
        <f>IF(TABLAINV[[#This Row],[Z]]="","",D169&amp;"."&amp;TEXT(E169,"000")&amp;"."&amp;TEXT(F169,"000")&amp;"."&amp;TEXT(G169,"000"))</f>
        <v>MR.C01.152.001</v>
      </c>
      <c r="C169" s="161"/>
      <c r="D169" s="162" t="s">
        <v>95</v>
      </c>
      <c r="E169" s="162" t="s">
        <v>96</v>
      </c>
      <c r="F169" s="162">
        <v>152</v>
      </c>
      <c r="G169" s="162">
        <v>1</v>
      </c>
      <c r="H169" s="162">
        <v>508126</v>
      </c>
      <c r="I169" s="162" t="s">
        <v>262</v>
      </c>
      <c r="J169" s="171">
        <v>3</v>
      </c>
      <c r="K169" s="162" t="s">
        <v>64</v>
      </c>
      <c r="L169" s="163" t="s">
        <v>115</v>
      </c>
      <c r="M169" s="162" t="s">
        <v>99</v>
      </c>
      <c r="N169" s="161" t="s">
        <v>91</v>
      </c>
      <c r="O169" s="161">
        <v>3</v>
      </c>
      <c r="P169" s="163">
        <v>3</v>
      </c>
      <c r="Q169" s="163"/>
      <c r="R169" s="162"/>
      <c r="S169" s="164">
        <f>TABLAINV[[#This Row],[Conteo Físico]]-TABLAINV[[#This Row],[Cant. UND]]</f>
        <v>0</v>
      </c>
      <c r="T16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6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69" s="165" t="str">
        <f>IFERROR(IF(MOD(TABLAINV[[#This Row],[C]],2)=0,"PAR","IMPAR"),"Zona")</f>
        <v>PAR</v>
      </c>
      <c r="W169" s="166"/>
      <c r="X169" s="167">
        <f>IFERROR(IF(TABLAINV[[#This Row],[Cant. UND]]=0,TABLAINV[[#This Row],[PMV]]*TABLAINV[[#This Row],[Conteo Físico]],TABLAINV[[#This Row],[PMV]]*TABLAINV[[#This Row],[Cant. UND]]),0)</f>
        <v>0</v>
      </c>
      <c r="Y169" s="167">
        <f>IFERROR(ABS(TABLAINV[[#This Row],[PMV]]*TABLAINV[[#This Row],[Diferencia]]),0)</f>
        <v>0</v>
      </c>
      <c r="Z169" s="168">
        <f>IFERROR(VLOOKUP(TABLAINV[[#This Row],[Codigo Estado]],unds!O:P,2,0),"PEND.")</f>
        <v>2001</v>
      </c>
      <c r="AA169" s="168" t="str">
        <f t="shared" si="10"/>
        <v>CD09</v>
      </c>
      <c r="AB169" s="169">
        <f t="shared" ca="1" si="11"/>
        <v>45827</v>
      </c>
      <c r="AC169" s="1"/>
      <c r="AD169" s="1"/>
      <c r="AE169" s="1"/>
      <c r="AF169" s="1"/>
    </row>
    <row r="170" spans="1:32" ht="15" customHeight="1" x14ac:dyDescent="0.2">
      <c r="A170" s="170" t="str">
        <f t="shared" si="9"/>
        <v>MRC01</v>
      </c>
      <c r="B170" s="160" t="str">
        <f>IF(TABLAINV[[#This Row],[Z]]="","",D170&amp;"."&amp;TEXT(E170,"000")&amp;"."&amp;TEXT(F170,"000")&amp;"."&amp;TEXT(G170,"000"))</f>
        <v>MR.C01.152.001</v>
      </c>
      <c r="C170" s="161"/>
      <c r="D170" s="162" t="s">
        <v>95</v>
      </c>
      <c r="E170" s="162" t="s">
        <v>96</v>
      </c>
      <c r="F170" s="162">
        <v>152</v>
      </c>
      <c r="G170" s="162">
        <v>1</v>
      </c>
      <c r="H170" s="162">
        <v>735373001</v>
      </c>
      <c r="I170" s="162" t="s">
        <v>207</v>
      </c>
      <c r="J170" s="171">
        <v>2</v>
      </c>
      <c r="K170" s="162" t="s">
        <v>64</v>
      </c>
      <c r="L170" s="163" t="s">
        <v>113</v>
      </c>
      <c r="M170" s="162" t="s">
        <v>99</v>
      </c>
      <c r="N170" s="161" t="s">
        <v>91</v>
      </c>
      <c r="O170" s="161">
        <v>2</v>
      </c>
      <c r="P170" s="163">
        <v>2</v>
      </c>
      <c r="Q170" s="163"/>
      <c r="R170" s="162"/>
      <c r="S170" s="164">
        <f>TABLAINV[[#This Row],[Conteo Físico]]-TABLAINV[[#This Row],[Cant. UND]]</f>
        <v>0</v>
      </c>
      <c r="T17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0" s="165" t="str">
        <f>IFERROR(IF(MOD(TABLAINV[[#This Row],[C]],2)=0,"PAR","IMPAR"),"Zona")</f>
        <v>PAR</v>
      </c>
      <c r="W170" s="166"/>
      <c r="X170" s="167">
        <f>IFERROR(IF(TABLAINV[[#This Row],[Cant. UND]]=0,TABLAINV[[#This Row],[PMV]]*TABLAINV[[#This Row],[Conteo Físico]],TABLAINV[[#This Row],[PMV]]*TABLAINV[[#This Row],[Cant. UND]]),0)</f>
        <v>0</v>
      </c>
      <c r="Y170" s="167">
        <f>IFERROR(ABS(TABLAINV[[#This Row],[PMV]]*TABLAINV[[#This Row],[Diferencia]]),0)</f>
        <v>0</v>
      </c>
      <c r="Z170" s="168">
        <f>IFERROR(VLOOKUP(TABLAINV[[#This Row],[Codigo Estado]],unds!O:P,2,0),"PEND.")</f>
        <v>2001</v>
      </c>
      <c r="AA170" s="168" t="str">
        <f t="shared" si="10"/>
        <v>CD09</v>
      </c>
      <c r="AB170" s="169">
        <f t="shared" ca="1" si="11"/>
        <v>45827</v>
      </c>
      <c r="AC170" s="1"/>
      <c r="AD170" s="1"/>
      <c r="AE170" s="1"/>
      <c r="AF170" s="1"/>
    </row>
    <row r="171" spans="1:32" ht="15" customHeight="1" x14ac:dyDescent="0.2">
      <c r="A171" s="170" t="str">
        <f t="shared" si="9"/>
        <v>MRC01</v>
      </c>
      <c r="B171" s="160" t="str">
        <f>IF(TABLAINV[[#This Row],[Z]]="","",D171&amp;"."&amp;TEXT(E171,"000")&amp;"."&amp;TEXT(F171,"000")&amp;"."&amp;TEXT(G171,"000"))</f>
        <v>MR.C01.152.002</v>
      </c>
      <c r="C171" s="161"/>
      <c r="D171" s="162" t="s">
        <v>95</v>
      </c>
      <c r="E171" s="162" t="s">
        <v>96</v>
      </c>
      <c r="F171" s="162">
        <v>152</v>
      </c>
      <c r="G171" s="162">
        <v>2</v>
      </c>
      <c r="H171" s="162">
        <v>1015686</v>
      </c>
      <c r="I171" s="162" t="s">
        <v>248</v>
      </c>
      <c r="J171" s="171">
        <v>24</v>
      </c>
      <c r="K171" s="162" t="s">
        <v>64</v>
      </c>
      <c r="L171" s="163" t="s">
        <v>98</v>
      </c>
      <c r="M171" s="162" t="s">
        <v>99</v>
      </c>
      <c r="N171" s="161" t="s">
        <v>91</v>
      </c>
      <c r="O171" s="161">
        <v>24</v>
      </c>
      <c r="P171" s="163">
        <v>24</v>
      </c>
      <c r="Q171" s="163"/>
      <c r="R171" s="162"/>
      <c r="S171" s="164">
        <f>TABLAINV[[#This Row],[Conteo Físico]]-TABLAINV[[#This Row],[Cant. UND]]</f>
        <v>0</v>
      </c>
      <c r="T17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1" s="165" t="str">
        <f>IFERROR(IF(MOD(TABLAINV[[#This Row],[C]],2)=0,"PAR","IMPAR"),"Zona")</f>
        <v>PAR</v>
      </c>
      <c r="W171" s="166"/>
      <c r="X171" s="167">
        <f>IFERROR(IF(TABLAINV[[#This Row],[Cant. UND]]=0,TABLAINV[[#This Row],[PMV]]*TABLAINV[[#This Row],[Conteo Físico]],TABLAINV[[#This Row],[PMV]]*TABLAINV[[#This Row],[Cant. UND]]),0)</f>
        <v>0</v>
      </c>
      <c r="Y171" s="167">
        <f>IFERROR(ABS(TABLAINV[[#This Row],[PMV]]*TABLAINV[[#This Row],[Diferencia]]),0)</f>
        <v>0</v>
      </c>
      <c r="Z171" s="168">
        <f>IFERROR(VLOOKUP(TABLAINV[[#This Row],[Codigo Estado]],unds!O:P,2,0),"PEND.")</f>
        <v>2001</v>
      </c>
      <c r="AA171" s="168" t="str">
        <f t="shared" si="10"/>
        <v>CD09</v>
      </c>
      <c r="AB171" s="169">
        <f t="shared" ca="1" si="11"/>
        <v>45827</v>
      </c>
      <c r="AC171" s="1"/>
      <c r="AD171" s="1"/>
      <c r="AE171" s="1"/>
      <c r="AF171" s="1"/>
    </row>
    <row r="172" spans="1:32" ht="15" customHeight="1" x14ac:dyDescent="0.2">
      <c r="A172" s="170" t="str">
        <f t="shared" si="9"/>
        <v>MRC01</v>
      </c>
      <c r="B172" s="160" t="str">
        <f>IF(TABLAINV[[#This Row],[Z]]="","",D172&amp;"."&amp;TEXT(E172,"000")&amp;"."&amp;TEXT(F172,"000")&amp;"."&amp;TEXT(G172,"000"))</f>
        <v>MR.C01.152.002</v>
      </c>
      <c r="C172" s="161"/>
      <c r="D172" s="162" t="s">
        <v>95</v>
      </c>
      <c r="E172" s="162" t="s">
        <v>96</v>
      </c>
      <c r="F172" s="162">
        <v>152</v>
      </c>
      <c r="G172" s="162">
        <v>2</v>
      </c>
      <c r="H172" s="162">
        <v>143871002</v>
      </c>
      <c r="I172" s="162" t="s">
        <v>263</v>
      </c>
      <c r="J172" s="171">
        <v>6</v>
      </c>
      <c r="K172" s="162" t="s">
        <v>64</v>
      </c>
      <c r="L172" s="163" t="s">
        <v>115</v>
      </c>
      <c r="M172" s="162" t="s">
        <v>99</v>
      </c>
      <c r="N172" s="161" t="s">
        <v>91</v>
      </c>
      <c r="O172" s="161">
        <v>6</v>
      </c>
      <c r="P172" s="163">
        <v>6</v>
      </c>
      <c r="Q172" s="163"/>
      <c r="R172" s="162"/>
      <c r="S172" s="164">
        <f>TABLAINV[[#This Row],[Conteo Físico]]-TABLAINV[[#This Row],[Cant. UND]]</f>
        <v>0</v>
      </c>
      <c r="T17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2" s="165" t="str">
        <f>IFERROR(IF(MOD(TABLAINV[[#This Row],[C]],2)=0,"PAR","IMPAR"),"Zona")</f>
        <v>PAR</v>
      </c>
      <c r="W172" s="166"/>
      <c r="X172" s="167">
        <f>IFERROR(IF(TABLAINV[[#This Row],[Cant. UND]]=0,TABLAINV[[#This Row],[PMV]]*TABLAINV[[#This Row],[Conteo Físico]],TABLAINV[[#This Row],[PMV]]*TABLAINV[[#This Row],[Cant. UND]]),0)</f>
        <v>0</v>
      </c>
      <c r="Y172" s="167">
        <f>IFERROR(ABS(TABLAINV[[#This Row],[PMV]]*TABLAINV[[#This Row],[Diferencia]]),0)</f>
        <v>0</v>
      </c>
      <c r="Z172" s="168">
        <f>IFERROR(VLOOKUP(TABLAINV[[#This Row],[Codigo Estado]],unds!O:P,2,0),"PEND.")</f>
        <v>2001</v>
      </c>
      <c r="AA172" s="168" t="str">
        <f t="shared" si="10"/>
        <v>CD09</v>
      </c>
      <c r="AB172" s="169">
        <f t="shared" ca="1" si="11"/>
        <v>45827</v>
      </c>
      <c r="AC172" s="1"/>
      <c r="AD172" s="1"/>
      <c r="AE172" s="1"/>
      <c r="AF172" s="1"/>
    </row>
    <row r="173" spans="1:32" ht="15" customHeight="1" x14ac:dyDescent="0.2">
      <c r="A173" s="170" t="str">
        <f t="shared" si="9"/>
        <v>MRC01</v>
      </c>
      <c r="B173" s="160" t="str">
        <f>IF(TABLAINV[[#This Row],[Z]]="","",D173&amp;"."&amp;TEXT(E173,"000")&amp;"."&amp;TEXT(F173,"000")&amp;"."&amp;TEXT(G173,"000"))</f>
        <v>MR.C01.152.002</v>
      </c>
      <c r="C173" s="161"/>
      <c r="D173" s="162" t="s">
        <v>95</v>
      </c>
      <c r="E173" s="162" t="s">
        <v>96</v>
      </c>
      <c r="F173" s="162">
        <v>152</v>
      </c>
      <c r="G173" s="162">
        <v>2</v>
      </c>
      <c r="H173" s="162">
        <v>470338</v>
      </c>
      <c r="I173" s="162" t="s">
        <v>264</v>
      </c>
      <c r="J173" s="171">
        <v>1</v>
      </c>
      <c r="K173" s="162" t="s">
        <v>64</v>
      </c>
      <c r="L173" s="163" t="s">
        <v>265</v>
      </c>
      <c r="M173" s="162" t="s">
        <v>99</v>
      </c>
      <c r="N173" s="161" t="s">
        <v>91</v>
      </c>
      <c r="O173" s="161">
        <v>1</v>
      </c>
      <c r="P173" s="163">
        <v>1</v>
      </c>
      <c r="Q173" s="163"/>
      <c r="R173" s="162"/>
      <c r="S173" s="164">
        <f>TABLAINV[[#This Row],[Conteo Físico]]-TABLAINV[[#This Row],[Cant. UND]]</f>
        <v>0</v>
      </c>
      <c r="T17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3" s="165" t="str">
        <f>IFERROR(IF(MOD(TABLAINV[[#This Row],[C]],2)=0,"PAR","IMPAR"),"Zona")</f>
        <v>PAR</v>
      </c>
      <c r="W173" s="166"/>
      <c r="X173" s="167">
        <f>IFERROR(IF(TABLAINV[[#This Row],[Cant. UND]]=0,TABLAINV[[#This Row],[PMV]]*TABLAINV[[#This Row],[Conteo Físico]],TABLAINV[[#This Row],[PMV]]*TABLAINV[[#This Row],[Cant. UND]]),0)</f>
        <v>0</v>
      </c>
      <c r="Y173" s="167">
        <f>IFERROR(ABS(TABLAINV[[#This Row],[PMV]]*TABLAINV[[#This Row],[Diferencia]]),0)</f>
        <v>0</v>
      </c>
      <c r="Z173" s="168">
        <f>IFERROR(VLOOKUP(TABLAINV[[#This Row],[Codigo Estado]],unds!O:P,2,0),"PEND.")</f>
        <v>2001</v>
      </c>
      <c r="AA173" s="168" t="str">
        <f t="shared" si="10"/>
        <v>CD09</v>
      </c>
      <c r="AB173" s="169">
        <f t="shared" ca="1" si="11"/>
        <v>45827</v>
      </c>
      <c r="AC173" s="1"/>
      <c r="AD173" s="1"/>
      <c r="AE173" s="1"/>
      <c r="AF173" s="1"/>
    </row>
    <row r="174" spans="1:32" ht="15" customHeight="1" x14ac:dyDescent="0.2">
      <c r="A174" s="170" t="str">
        <f t="shared" si="9"/>
        <v>MRC01</v>
      </c>
      <c r="B174" s="160" t="str">
        <f>IF(TABLAINV[[#This Row],[Z]]="","",D174&amp;"."&amp;TEXT(E174,"000")&amp;"."&amp;TEXT(F174,"000")&amp;"."&amp;TEXT(G174,"000"))</f>
        <v>MR.C01.152.002</v>
      </c>
      <c r="C174" s="161"/>
      <c r="D174" s="162" t="s">
        <v>95</v>
      </c>
      <c r="E174" s="162" t="s">
        <v>96</v>
      </c>
      <c r="F174" s="162">
        <v>152</v>
      </c>
      <c r="G174" s="162">
        <v>2</v>
      </c>
      <c r="H174" s="162">
        <v>518476004</v>
      </c>
      <c r="I174" s="162" t="s">
        <v>266</v>
      </c>
      <c r="J174" s="171">
        <v>3</v>
      </c>
      <c r="K174" s="162" t="s">
        <v>64</v>
      </c>
      <c r="L174" s="163" t="s">
        <v>115</v>
      </c>
      <c r="M174" s="162" t="s">
        <v>99</v>
      </c>
      <c r="N174" s="161" t="s">
        <v>91</v>
      </c>
      <c r="O174" s="161">
        <v>3</v>
      </c>
      <c r="P174" s="163">
        <v>3</v>
      </c>
      <c r="Q174" s="163"/>
      <c r="R174" s="162"/>
      <c r="S174" s="164">
        <f>TABLAINV[[#This Row],[Conteo Físico]]-TABLAINV[[#This Row],[Cant. UND]]</f>
        <v>0</v>
      </c>
      <c r="T17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4" s="165" t="str">
        <f>IFERROR(IF(MOD(TABLAINV[[#This Row],[C]],2)=0,"PAR","IMPAR"),"Zona")</f>
        <v>PAR</v>
      </c>
      <c r="W174" s="166"/>
      <c r="X174" s="167">
        <f>IFERROR(IF(TABLAINV[[#This Row],[Cant. UND]]=0,TABLAINV[[#This Row],[PMV]]*TABLAINV[[#This Row],[Conteo Físico]],TABLAINV[[#This Row],[PMV]]*TABLAINV[[#This Row],[Cant. UND]]),0)</f>
        <v>0</v>
      </c>
      <c r="Y174" s="167">
        <f>IFERROR(ABS(TABLAINV[[#This Row],[PMV]]*TABLAINV[[#This Row],[Diferencia]]),0)</f>
        <v>0</v>
      </c>
      <c r="Z174" s="168">
        <f>IFERROR(VLOOKUP(TABLAINV[[#This Row],[Codigo Estado]],unds!O:P,2,0),"PEND.")</f>
        <v>2001</v>
      </c>
      <c r="AA174" s="168" t="str">
        <f t="shared" si="10"/>
        <v>CD09</v>
      </c>
      <c r="AB174" s="169">
        <f t="shared" ca="1" si="11"/>
        <v>45827</v>
      </c>
      <c r="AC174" s="1"/>
      <c r="AD174" s="1"/>
      <c r="AE174" s="1"/>
      <c r="AF174" s="1"/>
    </row>
    <row r="175" spans="1:32" ht="15" customHeight="1" x14ac:dyDescent="0.2">
      <c r="A175" s="170" t="str">
        <f t="shared" si="9"/>
        <v>MRC01</v>
      </c>
      <c r="B175" s="160" t="str">
        <f>IF(TABLAINV[[#This Row],[Z]]="","",D175&amp;"."&amp;TEXT(E175,"000")&amp;"."&amp;TEXT(F175,"000")&amp;"."&amp;TEXT(G175,"000"))</f>
        <v>MR.C01.152.002</v>
      </c>
      <c r="C175" s="161"/>
      <c r="D175" s="162" t="s">
        <v>95</v>
      </c>
      <c r="E175" s="162" t="s">
        <v>96</v>
      </c>
      <c r="F175" s="162">
        <v>152</v>
      </c>
      <c r="G175" s="162">
        <v>2</v>
      </c>
      <c r="H175" s="162">
        <v>59505002</v>
      </c>
      <c r="I175" s="162" t="s">
        <v>267</v>
      </c>
      <c r="J175" s="171">
        <v>18</v>
      </c>
      <c r="K175" s="162" t="s">
        <v>64</v>
      </c>
      <c r="L175" s="163" t="s">
        <v>98</v>
      </c>
      <c r="M175" s="162" t="s">
        <v>99</v>
      </c>
      <c r="N175" s="161" t="s">
        <v>91</v>
      </c>
      <c r="O175" s="161">
        <v>18</v>
      </c>
      <c r="P175" s="163">
        <v>18</v>
      </c>
      <c r="Q175" s="163"/>
      <c r="R175" s="162"/>
      <c r="S175" s="164">
        <f>TABLAINV[[#This Row],[Conteo Físico]]-TABLAINV[[#This Row],[Cant. UND]]</f>
        <v>0</v>
      </c>
      <c r="T17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5" s="165" t="str">
        <f>IFERROR(IF(MOD(TABLAINV[[#This Row],[C]],2)=0,"PAR","IMPAR"),"Zona")</f>
        <v>PAR</v>
      </c>
      <c r="W175" s="166"/>
      <c r="X175" s="167">
        <f>IFERROR(IF(TABLAINV[[#This Row],[Cant. UND]]=0,TABLAINV[[#This Row],[PMV]]*TABLAINV[[#This Row],[Conteo Físico]],TABLAINV[[#This Row],[PMV]]*TABLAINV[[#This Row],[Cant. UND]]),0)</f>
        <v>0</v>
      </c>
      <c r="Y175" s="167">
        <f>IFERROR(ABS(TABLAINV[[#This Row],[PMV]]*TABLAINV[[#This Row],[Diferencia]]),0)</f>
        <v>0</v>
      </c>
      <c r="Z175" s="168">
        <f>IFERROR(VLOOKUP(TABLAINV[[#This Row],[Codigo Estado]],unds!O:P,2,0),"PEND.")</f>
        <v>2001</v>
      </c>
      <c r="AA175" s="168" t="str">
        <f t="shared" si="10"/>
        <v>CD09</v>
      </c>
      <c r="AB175" s="169">
        <f t="shared" ca="1" si="11"/>
        <v>45827</v>
      </c>
      <c r="AC175" s="1"/>
      <c r="AD175" s="1"/>
      <c r="AE175" s="1"/>
      <c r="AF175" s="1"/>
    </row>
    <row r="176" spans="1:32" ht="15" customHeight="1" x14ac:dyDescent="0.2">
      <c r="A176" s="170" t="str">
        <f t="shared" si="9"/>
        <v>MRC01</v>
      </c>
      <c r="B176" s="160" t="str">
        <f>IF(TABLAINV[[#This Row],[Z]]="","",D176&amp;"."&amp;TEXT(E176,"000")&amp;"."&amp;TEXT(F176,"000")&amp;"."&amp;TEXT(G176,"000"))</f>
        <v>MR.C01.152.002</v>
      </c>
      <c r="C176" s="161"/>
      <c r="D176" s="162" t="s">
        <v>95</v>
      </c>
      <c r="E176" s="162" t="s">
        <v>96</v>
      </c>
      <c r="F176" s="162">
        <v>152</v>
      </c>
      <c r="G176" s="162">
        <v>2</v>
      </c>
      <c r="H176" s="162">
        <v>735373001</v>
      </c>
      <c r="I176" s="162" t="s">
        <v>207</v>
      </c>
      <c r="J176" s="171">
        <v>5</v>
      </c>
      <c r="K176" s="162" t="s">
        <v>64</v>
      </c>
      <c r="L176" s="163" t="s">
        <v>113</v>
      </c>
      <c r="M176" s="162" t="s">
        <v>99</v>
      </c>
      <c r="N176" s="161" t="s">
        <v>91</v>
      </c>
      <c r="O176" s="161">
        <v>5</v>
      </c>
      <c r="P176" s="163">
        <v>5</v>
      </c>
      <c r="Q176" s="163"/>
      <c r="R176" s="162"/>
      <c r="S176" s="164">
        <f>TABLAINV[[#This Row],[Conteo Físico]]-TABLAINV[[#This Row],[Cant. UND]]</f>
        <v>0</v>
      </c>
      <c r="T17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6" s="165" t="str">
        <f>IFERROR(IF(MOD(TABLAINV[[#This Row],[C]],2)=0,"PAR","IMPAR"),"Zona")</f>
        <v>PAR</v>
      </c>
      <c r="W176" s="166"/>
      <c r="X176" s="167">
        <f>IFERROR(IF(TABLAINV[[#This Row],[Cant. UND]]=0,TABLAINV[[#This Row],[PMV]]*TABLAINV[[#This Row],[Conteo Físico]],TABLAINV[[#This Row],[PMV]]*TABLAINV[[#This Row],[Cant. UND]]),0)</f>
        <v>0</v>
      </c>
      <c r="Y176" s="167">
        <f>IFERROR(ABS(TABLAINV[[#This Row],[PMV]]*TABLAINV[[#This Row],[Diferencia]]),0)</f>
        <v>0</v>
      </c>
      <c r="Z176" s="168">
        <f>IFERROR(VLOOKUP(TABLAINV[[#This Row],[Codigo Estado]],unds!O:P,2,0),"PEND.")</f>
        <v>2001</v>
      </c>
      <c r="AA176" s="168" t="str">
        <f t="shared" si="10"/>
        <v>CD09</v>
      </c>
      <c r="AB176" s="169">
        <f t="shared" ca="1" si="11"/>
        <v>45827</v>
      </c>
      <c r="AC176" s="1"/>
      <c r="AD176" s="1"/>
      <c r="AE176" s="1"/>
      <c r="AF176" s="1"/>
    </row>
    <row r="177" spans="1:32" ht="15" customHeight="1" x14ac:dyDescent="0.2">
      <c r="A177" s="170" t="str">
        <f t="shared" si="9"/>
        <v>MRC01</v>
      </c>
      <c r="B177" s="160" t="str">
        <f>IF(TABLAINV[[#This Row],[Z]]="","",D177&amp;"."&amp;TEXT(E177,"000")&amp;"."&amp;TEXT(F177,"000")&amp;"."&amp;TEXT(G177,"000"))</f>
        <v>MR.C01.152.003</v>
      </c>
      <c r="C177" s="161"/>
      <c r="D177" s="162" t="s">
        <v>95</v>
      </c>
      <c r="E177" s="162" t="s">
        <v>96</v>
      </c>
      <c r="F177" s="162">
        <v>152</v>
      </c>
      <c r="G177" s="162">
        <v>3</v>
      </c>
      <c r="H177" s="162">
        <v>4993</v>
      </c>
      <c r="I177" s="162" t="s">
        <v>268</v>
      </c>
      <c r="J177" s="171">
        <v>10</v>
      </c>
      <c r="K177" s="162" t="s">
        <v>64</v>
      </c>
      <c r="L177" s="163" t="s">
        <v>212</v>
      </c>
      <c r="M177" s="162" t="s">
        <v>99</v>
      </c>
      <c r="N177" s="161" t="s">
        <v>91</v>
      </c>
      <c r="O177" s="161">
        <v>10</v>
      </c>
      <c r="P177" s="163">
        <v>10</v>
      </c>
      <c r="Q177" s="163"/>
      <c r="R177" s="162"/>
      <c r="S177" s="164">
        <f>TABLAINV[[#This Row],[Conteo Físico]]-TABLAINV[[#This Row],[Cant. UND]]</f>
        <v>0</v>
      </c>
      <c r="T17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7" s="165" t="str">
        <f>IFERROR(IF(MOD(TABLAINV[[#This Row],[C]],2)=0,"PAR","IMPAR"),"Zona")</f>
        <v>PAR</v>
      </c>
      <c r="W177" s="166"/>
      <c r="X177" s="167">
        <f>IFERROR(IF(TABLAINV[[#This Row],[Cant. UND]]=0,TABLAINV[[#This Row],[PMV]]*TABLAINV[[#This Row],[Conteo Físico]],TABLAINV[[#This Row],[PMV]]*TABLAINV[[#This Row],[Cant. UND]]),0)</f>
        <v>0</v>
      </c>
      <c r="Y177" s="167">
        <f>IFERROR(ABS(TABLAINV[[#This Row],[PMV]]*TABLAINV[[#This Row],[Diferencia]]),0)</f>
        <v>0</v>
      </c>
      <c r="Z177" s="168">
        <f>IFERROR(VLOOKUP(TABLAINV[[#This Row],[Codigo Estado]],unds!O:P,2,0),"PEND.")</f>
        <v>2001</v>
      </c>
      <c r="AA177" s="168" t="str">
        <f t="shared" si="10"/>
        <v>CD09</v>
      </c>
      <c r="AB177" s="169">
        <f t="shared" ca="1" si="11"/>
        <v>45827</v>
      </c>
      <c r="AC177" s="1"/>
      <c r="AD177" s="1"/>
      <c r="AE177" s="1"/>
      <c r="AF177" s="1"/>
    </row>
    <row r="178" spans="1:32" ht="15" customHeight="1" x14ac:dyDescent="0.2">
      <c r="A178" s="170" t="str">
        <f t="shared" si="9"/>
        <v>MRC01</v>
      </c>
      <c r="B178" s="160" t="str">
        <f>IF(TABLAINV[[#This Row],[Z]]="","",D178&amp;"."&amp;TEXT(E178,"000")&amp;"."&amp;TEXT(F178,"000")&amp;"."&amp;TEXT(G178,"000"))</f>
        <v>MR.C01.152.003</v>
      </c>
      <c r="C178" s="161"/>
      <c r="D178" s="162" t="s">
        <v>95</v>
      </c>
      <c r="E178" s="162" t="s">
        <v>96</v>
      </c>
      <c r="F178" s="162">
        <v>152</v>
      </c>
      <c r="G178" s="162">
        <v>3</v>
      </c>
      <c r="H178" s="162">
        <v>506514</v>
      </c>
      <c r="I178" s="162" t="s">
        <v>269</v>
      </c>
      <c r="J178" s="171">
        <v>9</v>
      </c>
      <c r="K178" s="162" t="s">
        <v>64</v>
      </c>
      <c r="L178" s="163" t="s">
        <v>115</v>
      </c>
      <c r="M178" s="162" t="s">
        <v>99</v>
      </c>
      <c r="N178" s="161" t="s">
        <v>91</v>
      </c>
      <c r="O178" s="161">
        <v>9</v>
      </c>
      <c r="P178" s="163">
        <v>9</v>
      </c>
      <c r="Q178" s="163"/>
      <c r="R178" s="162"/>
      <c r="S178" s="164">
        <f>TABLAINV[[#This Row],[Conteo Físico]]-TABLAINV[[#This Row],[Cant. UND]]</f>
        <v>0</v>
      </c>
      <c r="T17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8" s="165" t="str">
        <f>IFERROR(IF(MOD(TABLAINV[[#This Row],[C]],2)=0,"PAR","IMPAR"),"Zona")</f>
        <v>PAR</v>
      </c>
      <c r="W178" s="166"/>
      <c r="X178" s="167">
        <f>IFERROR(IF(TABLAINV[[#This Row],[Cant. UND]]=0,TABLAINV[[#This Row],[PMV]]*TABLAINV[[#This Row],[Conteo Físico]],TABLAINV[[#This Row],[PMV]]*TABLAINV[[#This Row],[Cant. UND]]),0)</f>
        <v>0</v>
      </c>
      <c r="Y178" s="167">
        <f>IFERROR(ABS(TABLAINV[[#This Row],[PMV]]*TABLAINV[[#This Row],[Diferencia]]),0)</f>
        <v>0</v>
      </c>
      <c r="Z178" s="168">
        <f>IFERROR(VLOOKUP(TABLAINV[[#This Row],[Codigo Estado]],unds!O:P,2,0),"PEND.")</f>
        <v>2001</v>
      </c>
      <c r="AA178" s="168" t="str">
        <f t="shared" si="10"/>
        <v>CD09</v>
      </c>
      <c r="AB178" s="169">
        <f t="shared" ca="1" si="11"/>
        <v>45827</v>
      </c>
      <c r="AC178" s="1"/>
      <c r="AD178" s="1"/>
      <c r="AE178" s="1"/>
      <c r="AF178" s="1"/>
    </row>
    <row r="179" spans="1:32" ht="15" customHeight="1" x14ac:dyDescent="0.2">
      <c r="A179" s="170" t="str">
        <f t="shared" si="9"/>
        <v>MRC01</v>
      </c>
      <c r="B179" s="160" t="str">
        <f>IF(TABLAINV[[#This Row],[Z]]="","",D179&amp;"."&amp;TEXT(E179,"000")&amp;"."&amp;TEXT(F179,"000")&amp;"."&amp;TEXT(G179,"000"))</f>
        <v>MR.C01.152.003</v>
      </c>
      <c r="C179" s="161"/>
      <c r="D179" s="162" t="s">
        <v>95</v>
      </c>
      <c r="E179" s="162" t="s">
        <v>96</v>
      </c>
      <c r="F179" s="162">
        <v>152</v>
      </c>
      <c r="G179" s="162">
        <v>3</v>
      </c>
      <c r="H179" s="162">
        <v>768104</v>
      </c>
      <c r="I179" s="162" t="s">
        <v>270</v>
      </c>
      <c r="J179" s="171">
        <v>8</v>
      </c>
      <c r="K179" s="162" t="s">
        <v>64</v>
      </c>
      <c r="L179" s="163" t="s">
        <v>164</v>
      </c>
      <c r="M179" s="162" t="s">
        <v>99</v>
      </c>
      <c r="N179" s="161" t="s">
        <v>91</v>
      </c>
      <c r="O179" s="161">
        <v>8</v>
      </c>
      <c r="P179" s="163">
        <v>8</v>
      </c>
      <c r="Q179" s="163"/>
      <c r="R179" s="162"/>
      <c r="S179" s="164">
        <f>TABLAINV[[#This Row],[Conteo Físico]]-TABLAINV[[#This Row],[Cant. UND]]</f>
        <v>0</v>
      </c>
      <c r="T17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7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79" s="165" t="str">
        <f>IFERROR(IF(MOD(TABLAINV[[#This Row],[C]],2)=0,"PAR","IMPAR"),"Zona")</f>
        <v>PAR</v>
      </c>
      <c r="W179" s="166"/>
      <c r="X179" s="167">
        <f>IFERROR(IF(TABLAINV[[#This Row],[Cant. UND]]=0,TABLAINV[[#This Row],[PMV]]*TABLAINV[[#This Row],[Conteo Físico]],TABLAINV[[#This Row],[PMV]]*TABLAINV[[#This Row],[Cant. UND]]),0)</f>
        <v>0</v>
      </c>
      <c r="Y179" s="167">
        <f>IFERROR(ABS(TABLAINV[[#This Row],[PMV]]*TABLAINV[[#This Row],[Diferencia]]),0)</f>
        <v>0</v>
      </c>
      <c r="Z179" s="168">
        <f>IFERROR(VLOOKUP(TABLAINV[[#This Row],[Codigo Estado]],unds!O:P,2,0),"PEND.")</f>
        <v>2001</v>
      </c>
      <c r="AA179" s="168" t="str">
        <f t="shared" si="10"/>
        <v>CD09</v>
      </c>
      <c r="AB179" s="169">
        <f t="shared" ca="1" si="11"/>
        <v>45827</v>
      </c>
      <c r="AC179" s="1"/>
      <c r="AD179" s="1"/>
      <c r="AE179" s="1"/>
      <c r="AF179" s="1"/>
    </row>
    <row r="180" spans="1:32" ht="15" customHeight="1" x14ac:dyDescent="0.2">
      <c r="A180" s="170" t="str">
        <f t="shared" si="9"/>
        <v>MRC01</v>
      </c>
      <c r="B180" s="160" t="str">
        <f>IF(TABLAINV[[#This Row],[Z]]="","",D180&amp;"."&amp;TEXT(E180,"000")&amp;"."&amp;TEXT(F180,"000")&amp;"."&amp;TEXT(G180,"000"))</f>
        <v>MR.C01.152.003</v>
      </c>
      <c r="C180" s="161"/>
      <c r="D180" s="162" t="s">
        <v>95</v>
      </c>
      <c r="E180" s="162" t="s">
        <v>96</v>
      </c>
      <c r="F180" s="162">
        <v>152</v>
      </c>
      <c r="G180" s="162">
        <v>3</v>
      </c>
      <c r="H180" s="162">
        <v>768638002</v>
      </c>
      <c r="I180" s="162" t="s">
        <v>271</v>
      </c>
      <c r="J180" s="171">
        <v>5</v>
      </c>
      <c r="K180" s="162" t="s">
        <v>64</v>
      </c>
      <c r="L180" s="163" t="s">
        <v>212</v>
      </c>
      <c r="M180" s="162" t="s">
        <v>99</v>
      </c>
      <c r="N180" s="161" t="s">
        <v>91</v>
      </c>
      <c r="O180" s="161">
        <v>5</v>
      </c>
      <c r="P180" s="163">
        <v>5</v>
      </c>
      <c r="Q180" s="163"/>
      <c r="R180" s="162"/>
      <c r="S180" s="164">
        <f>TABLAINV[[#This Row],[Conteo Físico]]-TABLAINV[[#This Row],[Cant. UND]]</f>
        <v>0</v>
      </c>
      <c r="T18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0" s="165" t="str">
        <f>IFERROR(IF(MOD(TABLAINV[[#This Row],[C]],2)=0,"PAR","IMPAR"),"Zona")</f>
        <v>PAR</v>
      </c>
      <c r="W180" s="166"/>
      <c r="X180" s="167">
        <f>IFERROR(IF(TABLAINV[[#This Row],[Cant. UND]]=0,TABLAINV[[#This Row],[PMV]]*TABLAINV[[#This Row],[Conteo Físico]],TABLAINV[[#This Row],[PMV]]*TABLAINV[[#This Row],[Cant. UND]]),0)</f>
        <v>0</v>
      </c>
      <c r="Y180" s="167">
        <f>IFERROR(ABS(TABLAINV[[#This Row],[PMV]]*TABLAINV[[#This Row],[Diferencia]]),0)</f>
        <v>0</v>
      </c>
      <c r="Z180" s="168">
        <f>IFERROR(VLOOKUP(TABLAINV[[#This Row],[Codigo Estado]],unds!O:P,2,0),"PEND.")</f>
        <v>2001</v>
      </c>
      <c r="AA180" s="168" t="str">
        <f t="shared" si="10"/>
        <v>CD09</v>
      </c>
      <c r="AB180" s="169">
        <f t="shared" ca="1" si="11"/>
        <v>45827</v>
      </c>
      <c r="AC180" s="1"/>
      <c r="AD180" s="1"/>
      <c r="AE180" s="1"/>
      <c r="AF180" s="1"/>
    </row>
    <row r="181" spans="1:32" ht="15" customHeight="1" x14ac:dyDescent="0.2">
      <c r="A181" s="170" t="str">
        <f t="shared" si="9"/>
        <v>MRC01</v>
      </c>
      <c r="B181" s="160" t="str">
        <f>IF(TABLAINV[[#This Row],[Z]]="","",D181&amp;"."&amp;TEXT(E181,"000")&amp;"."&amp;TEXT(F181,"000")&amp;"."&amp;TEXT(G181,"000"))</f>
        <v>MR.C01.153.001</v>
      </c>
      <c r="C181" s="161"/>
      <c r="D181" s="162" t="s">
        <v>95</v>
      </c>
      <c r="E181" s="162" t="s">
        <v>96</v>
      </c>
      <c r="F181" s="162">
        <v>153</v>
      </c>
      <c r="G181" s="162">
        <v>1</v>
      </c>
      <c r="H181" s="162">
        <v>225493</v>
      </c>
      <c r="I181" s="162" t="s">
        <v>272</v>
      </c>
      <c r="J181" s="171">
        <v>6</v>
      </c>
      <c r="K181" s="162" t="s">
        <v>64</v>
      </c>
      <c r="L181" s="163" t="s">
        <v>115</v>
      </c>
      <c r="M181" s="162" t="s">
        <v>99</v>
      </c>
      <c r="N181" s="161" t="s">
        <v>91</v>
      </c>
      <c r="O181" s="161">
        <v>6</v>
      </c>
      <c r="P181" s="163">
        <v>6</v>
      </c>
      <c r="Q181" s="163"/>
      <c r="R181" s="162"/>
      <c r="S181" s="164">
        <f>TABLAINV[[#This Row],[Conteo Físico]]-TABLAINV[[#This Row],[Cant. UND]]</f>
        <v>0</v>
      </c>
      <c r="T18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1" s="165" t="str">
        <f>IFERROR(IF(MOD(TABLAINV[[#This Row],[C]],2)=0,"PAR","IMPAR"),"Zona")</f>
        <v>IMPAR</v>
      </c>
      <c r="W181" s="166"/>
      <c r="X181" s="167">
        <f>IFERROR(IF(TABLAINV[[#This Row],[Cant. UND]]=0,TABLAINV[[#This Row],[PMV]]*TABLAINV[[#This Row],[Conteo Físico]],TABLAINV[[#This Row],[PMV]]*TABLAINV[[#This Row],[Cant. UND]]),0)</f>
        <v>0</v>
      </c>
      <c r="Y181" s="167">
        <f>IFERROR(ABS(TABLAINV[[#This Row],[PMV]]*TABLAINV[[#This Row],[Diferencia]]),0)</f>
        <v>0</v>
      </c>
      <c r="Z181" s="168">
        <f>IFERROR(VLOOKUP(TABLAINV[[#This Row],[Codigo Estado]],unds!O:P,2,0),"PEND.")</f>
        <v>2001</v>
      </c>
      <c r="AA181" s="168" t="str">
        <f t="shared" si="10"/>
        <v>CD09</v>
      </c>
      <c r="AB181" s="169">
        <f t="shared" ca="1" si="11"/>
        <v>45827</v>
      </c>
      <c r="AC181" s="1"/>
      <c r="AD181" s="1"/>
      <c r="AE181" s="1"/>
      <c r="AF181" s="1"/>
    </row>
    <row r="182" spans="1:32" ht="15" customHeight="1" x14ac:dyDescent="0.2">
      <c r="A182" s="170" t="str">
        <f t="shared" si="9"/>
        <v>MRC01</v>
      </c>
      <c r="B182" s="160" t="str">
        <f>IF(TABLAINV[[#This Row],[Z]]="","",D182&amp;"."&amp;TEXT(E182,"000")&amp;"."&amp;TEXT(F182,"000")&amp;"."&amp;TEXT(G182,"000"))</f>
        <v>MR.C01.153.001</v>
      </c>
      <c r="C182" s="161"/>
      <c r="D182" s="162" t="s">
        <v>95</v>
      </c>
      <c r="E182" s="162" t="s">
        <v>96</v>
      </c>
      <c r="F182" s="162">
        <v>153</v>
      </c>
      <c r="G182" s="162">
        <v>1</v>
      </c>
      <c r="H182" s="162">
        <v>954239003</v>
      </c>
      <c r="I182" s="162" t="s">
        <v>232</v>
      </c>
      <c r="J182" s="171">
        <v>7</v>
      </c>
      <c r="K182" s="162" t="s">
        <v>64</v>
      </c>
      <c r="L182" s="163" t="s">
        <v>233</v>
      </c>
      <c r="M182" s="162" t="s">
        <v>99</v>
      </c>
      <c r="N182" s="161" t="s">
        <v>91</v>
      </c>
      <c r="O182" s="161">
        <v>7</v>
      </c>
      <c r="P182" s="163">
        <v>7</v>
      </c>
      <c r="Q182" s="163"/>
      <c r="R182" s="162"/>
      <c r="S182" s="164">
        <f>TABLAINV[[#This Row],[Conteo Físico]]-TABLAINV[[#This Row],[Cant. UND]]</f>
        <v>0</v>
      </c>
      <c r="T18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2" s="165" t="str">
        <f>IFERROR(IF(MOD(TABLAINV[[#This Row],[C]],2)=0,"PAR","IMPAR"),"Zona")</f>
        <v>IMPAR</v>
      </c>
      <c r="W182" s="166"/>
      <c r="X182" s="167">
        <f>IFERROR(IF(TABLAINV[[#This Row],[Cant. UND]]=0,TABLAINV[[#This Row],[PMV]]*TABLAINV[[#This Row],[Conteo Físico]],TABLAINV[[#This Row],[PMV]]*TABLAINV[[#This Row],[Cant. UND]]),0)</f>
        <v>0</v>
      </c>
      <c r="Y182" s="167">
        <f>IFERROR(ABS(TABLAINV[[#This Row],[PMV]]*TABLAINV[[#This Row],[Diferencia]]),0)</f>
        <v>0</v>
      </c>
      <c r="Z182" s="168">
        <f>IFERROR(VLOOKUP(TABLAINV[[#This Row],[Codigo Estado]],unds!O:P,2,0),"PEND.")</f>
        <v>2001</v>
      </c>
      <c r="AA182" s="168" t="str">
        <f t="shared" si="10"/>
        <v>CD09</v>
      </c>
      <c r="AB182" s="169">
        <f t="shared" ca="1" si="11"/>
        <v>45827</v>
      </c>
      <c r="AC182" s="1"/>
      <c r="AD182" s="1"/>
      <c r="AE182" s="1"/>
      <c r="AF182" s="1"/>
    </row>
    <row r="183" spans="1:32" ht="15" customHeight="1" x14ac:dyDescent="0.2">
      <c r="A183" s="170" t="str">
        <f t="shared" si="9"/>
        <v>MRC01</v>
      </c>
      <c r="B183" s="160" t="str">
        <f>IF(TABLAINV[[#This Row],[Z]]="","",D183&amp;"."&amp;TEXT(E183,"000")&amp;"."&amp;TEXT(F183,"000")&amp;"."&amp;TEXT(G183,"000"))</f>
        <v>MR.C01.153.002</v>
      </c>
      <c r="C183" s="161"/>
      <c r="D183" s="162" t="s">
        <v>95</v>
      </c>
      <c r="E183" s="162" t="s">
        <v>96</v>
      </c>
      <c r="F183" s="162">
        <v>153</v>
      </c>
      <c r="G183" s="162">
        <v>2</v>
      </c>
      <c r="H183" s="162">
        <v>203744</v>
      </c>
      <c r="I183" s="162" t="s">
        <v>216</v>
      </c>
      <c r="J183" s="171">
        <v>9</v>
      </c>
      <c r="K183" s="162" t="s">
        <v>64</v>
      </c>
      <c r="L183" s="163" t="s">
        <v>115</v>
      </c>
      <c r="M183" s="162" t="s">
        <v>99</v>
      </c>
      <c r="N183" s="161" t="s">
        <v>91</v>
      </c>
      <c r="O183" s="161">
        <v>9</v>
      </c>
      <c r="P183" s="163">
        <v>9</v>
      </c>
      <c r="Q183" s="163"/>
      <c r="R183" s="162"/>
      <c r="S183" s="164">
        <f>TABLAINV[[#This Row],[Conteo Físico]]-TABLAINV[[#This Row],[Cant. UND]]</f>
        <v>0</v>
      </c>
      <c r="T18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3" s="165" t="str">
        <f>IFERROR(IF(MOD(TABLAINV[[#This Row],[C]],2)=0,"PAR","IMPAR"),"Zona")</f>
        <v>IMPAR</v>
      </c>
      <c r="W183" s="166"/>
      <c r="X183" s="167">
        <f>IFERROR(IF(TABLAINV[[#This Row],[Cant. UND]]=0,TABLAINV[[#This Row],[PMV]]*TABLAINV[[#This Row],[Conteo Físico]],TABLAINV[[#This Row],[PMV]]*TABLAINV[[#This Row],[Cant. UND]]),0)</f>
        <v>0</v>
      </c>
      <c r="Y183" s="167">
        <f>IFERROR(ABS(TABLAINV[[#This Row],[PMV]]*TABLAINV[[#This Row],[Diferencia]]),0)</f>
        <v>0</v>
      </c>
      <c r="Z183" s="168">
        <f>IFERROR(VLOOKUP(TABLAINV[[#This Row],[Codigo Estado]],unds!O:P,2,0),"PEND.")</f>
        <v>2001</v>
      </c>
      <c r="AA183" s="168" t="str">
        <f t="shared" si="10"/>
        <v>CD09</v>
      </c>
      <c r="AB183" s="169">
        <f t="shared" ca="1" si="11"/>
        <v>45827</v>
      </c>
      <c r="AC183" s="1"/>
      <c r="AD183" s="1"/>
      <c r="AE183" s="1"/>
      <c r="AF183" s="1"/>
    </row>
    <row r="184" spans="1:32" ht="15" customHeight="1" x14ac:dyDescent="0.2">
      <c r="A184" s="170" t="str">
        <f t="shared" si="9"/>
        <v>MRC01</v>
      </c>
      <c r="B184" s="160" t="str">
        <f>IF(TABLAINV[[#This Row],[Z]]="","",D184&amp;"."&amp;TEXT(E184,"000")&amp;"."&amp;TEXT(F184,"000")&amp;"."&amp;TEXT(G184,"000"))</f>
        <v>MR.C01.153.002</v>
      </c>
      <c r="C184" s="161"/>
      <c r="D184" s="162" t="s">
        <v>95</v>
      </c>
      <c r="E184" s="162" t="s">
        <v>96</v>
      </c>
      <c r="F184" s="162">
        <v>153</v>
      </c>
      <c r="G184" s="162">
        <v>2</v>
      </c>
      <c r="H184" s="162">
        <v>49463001</v>
      </c>
      <c r="I184" s="162" t="s">
        <v>273</v>
      </c>
      <c r="J184" s="171">
        <v>9</v>
      </c>
      <c r="K184" s="162" t="s">
        <v>64</v>
      </c>
      <c r="L184" s="163" t="s">
        <v>115</v>
      </c>
      <c r="M184" s="162" t="s">
        <v>99</v>
      </c>
      <c r="N184" s="161" t="s">
        <v>91</v>
      </c>
      <c r="O184" s="161">
        <v>9</v>
      </c>
      <c r="P184" s="163">
        <v>9</v>
      </c>
      <c r="Q184" s="163"/>
      <c r="R184" s="162"/>
      <c r="S184" s="164">
        <f>TABLAINV[[#This Row],[Conteo Físico]]-TABLAINV[[#This Row],[Cant. UND]]</f>
        <v>0</v>
      </c>
      <c r="T18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4" s="165" t="str">
        <f>IFERROR(IF(MOD(TABLAINV[[#This Row],[C]],2)=0,"PAR","IMPAR"),"Zona")</f>
        <v>IMPAR</v>
      </c>
      <c r="W184" s="166"/>
      <c r="X184" s="167">
        <f>IFERROR(IF(TABLAINV[[#This Row],[Cant. UND]]=0,TABLAINV[[#This Row],[PMV]]*TABLAINV[[#This Row],[Conteo Físico]],TABLAINV[[#This Row],[PMV]]*TABLAINV[[#This Row],[Cant. UND]]),0)</f>
        <v>0</v>
      </c>
      <c r="Y184" s="167">
        <f>IFERROR(ABS(TABLAINV[[#This Row],[PMV]]*TABLAINV[[#This Row],[Diferencia]]),0)</f>
        <v>0</v>
      </c>
      <c r="Z184" s="168">
        <f>IFERROR(VLOOKUP(TABLAINV[[#This Row],[Codigo Estado]],unds!O:P,2,0),"PEND.")</f>
        <v>2001</v>
      </c>
      <c r="AA184" s="168" t="str">
        <f t="shared" si="10"/>
        <v>CD09</v>
      </c>
      <c r="AB184" s="169">
        <f t="shared" ca="1" si="11"/>
        <v>45827</v>
      </c>
      <c r="AC184" s="1"/>
      <c r="AD184" s="1"/>
      <c r="AE184" s="1"/>
      <c r="AF184" s="1"/>
    </row>
    <row r="185" spans="1:32" ht="15" customHeight="1" x14ac:dyDescent="0.2">
      <c r="A185" s="170" t="str">
        <f t="shared" si="9"/>
        <v>MRC01</v>
      </c>
      <c r="B185" s="160" t="str">
        <f>IF(TABLAINV[[#This Row],[Z]]="","",D185&amp;"."&amp;TEXT(E185,"000")&amp;"."&amp;TEXT(F185,"000")&amp;"."&amp;TEXT(G185,"000"))</f>
        <v>MR.C01.153.002</v>
      </c>
      <c r="C185" s="161"/>
      <c r="D185" s="162" t="s">
        <v>95</v>
      </c>
      <c r="E185" s="162" t="s">
        <v>96</v>
      </c>
      <c r="F185" s="162">
        <v>153</v>
      </c>
      <c r="G185" s="162">
        <v>2</v>
      </c>
      <c r="H185" s="162">
        <v>74982</v>
      </c>
      <c r="I185" s="162" t="s">
        <v>274</v>
      </c>
      <c r="J185" s="171">
        <v>6</v>
      </c>
      <c r="K185" s="162" t="s">
        <v>64</v>
      </c>
      <c r="L185" s="163" t="s">
        <v>115</v>
      </c>
      <c r="M185" s="162" t="s">
        <v>99</v>
      </c>
      <c r="N185" s="161" t="s">
        <v>91</v>
      </c>
      <c r="O185" s="161">
        <v>6</v>
      </c>
      <c r="P185" s="163">
        <v>6</v>
      </c>
      <c r="Q185" s="163"/>
      <c r="R185" s="162"/>
      <c r="S185" s="164">
        <f>TABLAINV[[#This Row],[Conteo Físico]]-TABLAINV[[#This Row],[Cant. UND]]</f>
        <v>0</v>
      </c>
      <c r="T18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5" s="165" t="str">
        <f>IFERROR(IF(MOD(TABLAINV[[#This Row],[C]],2)=0,"PAR","IMPAR"),"Zona")</f>
        <v>IMPAR</v>
      </c>
      <c r="W185" s="166"/>
      <c r="X185" s="167">
        <f>IFERROR(IF(TABLAINV[[#This Row],[Cant. UND]]=0,TABLAINV[[#This Row],[PMV]]*TABLAINV[[#This Row],[Conteo Físico]],TABLAINV[[#This Row],[PMV]]*TABLAINV[[#This Row],[Cant. UND]]),0)</f>
        <v>0</v>
      </c>
      <c r="Y185" s="167">
        <f>IFERROR(ABS(TABLAINV[[#This Row],[PMV]]*TABLAINV[[#This Row],[Diferencia]]),0)</f>
        <v>0</v>
      </c>
      <c r="Z185" s="168">
        <f>IFERROR(VLOOKUP(TABLAINV[[#This Row],[Codigo Estado]],unds!O:P,2,0),"PEND.")</f>
        <v>2001</v>
      </c>
      <c r="AA185" s="168" t="str">
        <f t="shared" si="10"/>
        <v>CD09</v>
      </c>
      <c r="AB185" s="169">
        <f t="shared" ca="1" si="11"/>
        <v>45827</v>
      </c>
      <c r="AC185" s="1"/>
      <c r="AD185" s="1"/>
      <c r="AE185" s="1"/>
      <c r="AF185" s="1"/>
    </row>
    <row r="186" spans="1:32" ht="15" customHeight="1" x14ac:dyDescent="0.2">
      <c r="A186" s="170" t="str">
        <f t="shared" si="9"/>
        <v>MRC01</v>
      </c>
      <c r="B186" s="160" t="str">
        <f>IF(TABLAINV[[#This Row],[Z]]="","",D186&amp;"."&amp;TEXT(E186,"000")&amp;"."&amp;TEXT(F186,"000")&amp;"."&amp;TEXT(G186,"000"))</f>
        <v>MR.C01.153.002</v>
      </c>
      <c r="C186" s="161"/>
      <c r="D186" s="162" t="s">
        <v>95</v>
      </c>
      <c r="E186" s="162" t="s">
        <v>96</v>
      </c>
      <c r="F186" s="162">
        <v>153</v>
      </c>
      <c r="G186" s="162">
        <v>2</v>
      </c>
      <c r="H186" s="162">
        <v>754391</v>
      </c>
      <c r="I186" s="162" t="s">
        <v>275</v>
      </c>
      <c r="J186" s="171">
        <v>36</v>
      </c>
      <c r="K186" s="162" t="s">
        <v>64</v>
      </c>
      <c r="L186" s="163" t="s">
        <v>115</v>
      </c>
      <c r="M186" s="162" t="s">
        <v>99</v>
      </c>
      <c r="N186" s="161" t="s">
        <v>91</v>
      </c>
      <c r="O186" s="161">
        <v>36</v>
      </c>
      <c r="P186" s="163">
        <v>36</v>
      </c>
      <c r="Q186" s="163"/>
      <c r="R186" s="162"/>
      <c r="S186" s="164">
        <f>TABLAINV[[#This Row],[Conteo Físico]]-TABLAINV[[#This Row],[Cant. UND]]</f>
        <v>0</v>
      </c>
      <c r="T18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6" s="165" t="str">
        <f>IFERROR(IF(MOD(TABLAINV[[#This Row],[C]],2)=0,"PAR","IMPAR"),"Zona")</f>
        <v>IMPAR</v>
      </c>
      <c r="W186" s="166"/>
      <c r="X186" s="167">
        <f>IFERROR(IF(TABLAINV[[#This Row],[Cant. UND]]=0,TABLAINV[[#This Row],[PMV]]*TABLAINV[[#This Row],[Conteo Físico]],TABLAINV[[#This Row],[PMV]]*TABLAINV[[#This Row],[Cant. UND]]),0)</f>
        <v>0</v>
      </c>
      <c r="Y186" s="167">
        <f>IFERROR(ABS(TABLAINV[[#This Row],[PMV]]*TABLAINV[[#This Row],[Diferencia]]),0)</f>
        <v>0</v>
      </c>
      <c r="Z186" s="168">
        <f>IFERROR(VLOOKUP(TABLAINV[[#This Row],[Codigo Estado]],unds!O:P,2,0),"PEND.")</f>
        <v>2001</v>
      </c>
      <c r="AA186" s="168" t="str">
        <f t="shared" si="10"/>
        <v>CD09</v>
      </c>
      <c r="AB186" s="169">
        <f t="shared" ca="1" si="11"/>
        <v>45827</v>
      </c>
      <c r="AC186" s="1"/>
      <c r="AD186" s="1"/>
      <c r="AE186" s="1"/>
      <c r="AF186" s="1"/>
    </row>
    <row r="187" spans="1:32" ht="15" customHeight="1" x14ac:dyDescent="0.2">
      <c r="A187" s="170" t="str">
        <f t="shared" si="9"/>
        <v>MRC01</v>
      </c>
      <c r="B187" s="160" t="str">
        <f>IF(TABLAINV[[#This Row],[Z]]="","",D187&amp;"."&amp;TEXT(E187,"000")&amp;"."&amp;TEXT(F187,"000")&amp;"."&amp;TEXT(G187,"000"))</f>
        <v>MR.C01.153.002</v>
      </c>
      <c r="C187" s="161"/>
      <c r="D187" s="162" t="s">
        <v>95</v>
      </c>
      <c r="E187" s="162" t="s">
        <v>96</v>
      </c>
      <c r="F187" s="162">
        <v>153</v>
      </c>
      <c r="G187" s="162">
        <v>2</v>
      </c>
      <c r="H187" s="162">
        <v>889644</v>
      </c>
      <c r="I187" s="162" t="s">
        <v>276</v>
      </c>
      <c r="J187" s="171">
        <v>9</v>
      </c>
      <c r="K187" s="162" t="s">
        <v>64</v>
      </c>
      <c r="L187" s="163" t="s">
        <v>115</v>
      </c>
      <c r="M187" s="162" t="s">
        <v>99</v>
      </c>
      <c r="N187" s="161" t="s">
        <v>91</v>
      </c>
      <c r="O187" s="161">
        <v>9</v>
      </c>
      <c r="P187" s="163">
        <v>9</v>
      </c>
      <c r="Q187" s="163"/>
      <c r="R187" s="162"/>
      <c r="S187" s="164">
        <f>TABLAINV[[#This Row],[Conteo Físico]]-TABLAINV[[#This Row],[Cant. UND]]</f>
        <v>0</v>
      </c>
      <c r="T18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7" s="165" t="str">
        <f>IFERROR(IF(MOD(TABLAINV[[#This Row],[C]],2)=0,"PAR","IMPAR"),"Zona")</f>
        <v>IMPAR</v>
      </c>
      <c r="W187" s="166"/>
      <c r="X187" s="167">
        <f>IFERROR(IF(TABLAINV[[#This Row],[Cant. UND]]=0,TABLAINV[[#This Row],[PMV]]*TABLAINV[[#This Row],[Conteo Físico]],TABLAINV[[#This Row],[PMV]]*TABLAINV[[#This Row],[Cant. UND]]),0)</f>
        <v>0</v>
      </c>
      <c r="Y187" s="167">
        <f>IFERROR(ABS(TABLAINV[[#This Row],[PMV]]*TABLAINV[[#This Row],[Diferencia]]),0)</f>
        <v>0</v>
      </c>
      <c r="Z187" s="168">
        <f>IFERROR(VLOOKUP(TABLAINV[[#This Row],[Codigo Estado]],unds!O:P,2,0),"PEND.")</f>
        <v>2001</v>
      </c>
      <c r="AA187" s="168" t="str">
        <f t="shared" si="10"/>
        <v>CD09</v>
      </c>
      <c r="AB187" s="169">
        <f t="shared" ca="1" si="11"/>
        <v>45827</v>
      </c>
      <c r="AC187" s="1"/>
      <c r="AD187" s="1"/>
      <c r="AE187" s="1"/>
      <c r="AF187" s="1"/>
    </row>
    <row r="188" spans="1:32" ht="15" customHeight="1" x14ac:dyDescent="0.2">
      <c r="A188" s="170" t="str">
        <f t="shared" si="9"/>
        <v>MRC01</v>
      </c>
      <c r="B188" s="160" t="str">
        <f>IF(TABLAINV[[#This Row],[Z]]="","",D188&amp;"."&amp;TEXT(E188,"000")&amp;"."&amp;TEXT(F188,"000")&amp;"."&amp;TEXT(G188,"000"))</f>
        <v>MR.C01.153.003</v>
      </c>
      <c r="C188" s="161"/>
      <c r="D188" s="162" t="s">
        <v>95</v>
      </c>
      <c r="E188" s="162" t="s">
        <v>96</v>
      </c>
      <c r="F188" s="162">
        <v>153</v>
      </c>
      <c r="G188" s="162">
        <v>3</v>
      </c>
      <c r="H188" s="162">
        <v>1024534</v>
      </c>
      <c r="I188" s="162" t="s">
        <v>277</v>
      </c>
      <c r="J188" s="171">
        <v>7</v>
      </c>
      <c r="K188" s="162" t="s">
        <v>64</v>
      </c>
      <c r="L188" s="163" t="s">
        <v>278</v>
      </c>
      <c r="M188" s="162" t="s">
        <v>99</v>
      </c>
      <c r="N188" s="161" t="s">
        <v>91</v>
      </c>
      <c r="O188" s="161">
        <v>7</v>
      </c>
      <c r="P188" s="163">
        <v>7</v>
      </c>
      <c r="Q188" s="163"/>
      <c r="R188" s="162"/>
      <c r="S188" s="164">
        <f>TABLAINV[[#This Row],[Conteo Físico]]-TABLAINV[[#This Row],[Cant. UND]]</f>
        <v>0</v>
      </c>
      <c r="T18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8" s="165" t="str">
        <f>IFERROR(IF(MOD(TABLAINV[[#This Row],[C]],2)=0,"PAR","IMPAR"),"Zona")</f>
        <v>IMPAR</v>
      </c>
      <c r="W188" s="166"/>
      <c r="X188" s="167">
        <f>IFERROR(IF(TABLAINV[[#This Row],[Cant. UND]]=0,TABLAINV[[#This Row],[PMV]]*TABLAINV[[#This Row],[Conteo Físico]],TABLAINV[[#This Row],[PMV]]*TABLAINV[[#This Row],[Cant. UND]]),0)</f>
        <v>0</v>
      </c>
      <c r="Y188" s="167">
        <f>IFERROR(ABS(TABLAINV[[#This Row],[PMV]]*TABLAINV[[#This Row],[Diferencia]]),0)</f>
        <v>0</v>
      </c>
      <c r="Z188" s="168">
        <f>IFERROR(VLOOKUP(TABLAINV[[#This Row],[Codigo Estado]],unds!O:P,2,0),"PEND.")</f>
        <v>2001</v>
      </c>
      <c r="AA188" s="168" t="str">
        <f t="shared" si="10"/>
        <v>CD09</v>
      </c>
      <c r="AB188" s="169">
        <f t="shared" ca="1" si="11"/>
        <v>45827</v>
      </c>
      <c r="AC188" s="1"/>
      <c r="AD188" s="1"/>
      <c r="AE188" s="1"/>
      <c r="AF188" s="1"/>
    </row>
    <row r="189" spans="1:32" ht="15" customHeight="1" x14ac:dyDescent="0.2">
      <c r="A189" s="170" t="str">
        <f t="shared" si="9"/>
        <v>MRC01</v>
      </c>
      <c r="B189" s="160" t="str">
        <f>IF(TABLAINV[[#This Row],[Z]]="","",D189&amp;"."&amp;TEXT(E189,"000")&amp;"."&amp;TEXT(F189,"000")&amp;"."&amp;TEXT(G189,"000"))</f>
        <v>MR.C01.153.003</v>
      </c>
      <c r="C189" s="161"/>
      <c r="D189" s="162" t="s">
        <v>95</v>
      </c>
      <c r="E189" s="162" t="s">
        <v>96</v>
      </c>
      <c r="F189" s="162">
        <v>153</v>
      </c>
      <c r="G189" s="162">
        <v>3</v>
      </c>
      <c r="H189" s="162">
        <v>464456</v>
      </c>
      <c r="I189" s="162" t="s">
        <v>230</v>
      </c>
      <c r="J189" s="171">
        <v>6</v>
      </c>
      <c r="K189" s="162" t="s">
        <v>64</v>
      </c>
      <c r="L189" s="163" t="s">
        <v>184</v>
      </c>
      <c r="M189" s="162" t="s">
        <v>99</v>
      </c>
      <c r="N189" s="161" t="s">
        <v>91</v>
      </c>
      <c r="O189" s="161">
        <v>6</v>
      </c>
      <c r="P189" s="163">
        <v>6</v>
      </c>
      <c r="Q189" s="163"/>
      <c r="R189" s="162"/>
      <c r="S189" s="164">
        <f>TABLAINV[[#This Row],[Conteo Físico]]-TABLAINV[[#This Row],[Cant. UND]]</f>
        <v>0</v>
      </c>
      <c r="T18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8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89" s="165" t="str">
        <f>IFERROR(IF(MOD(TABLAINV[[#This Row],[C]],2)=0,"PAR","IMPAR"),"Zona")</f>
        <v>IMPAR</v>
      </c>
      <c r="W189" s="166"/>
      <c r="X189" s="167">
        <f>IFERROR(IF(TABLAINV[[#This Row],[Cant. UND]]=0,TABLAINV[[#This Row],[PMV]]*TABLAINV[[#This Row],[Conteo Físico]],TABLAINV[[#This Row],[PMV]]*TABLAINV[[#This Row],[Cant. UND]]),0)</f>
        <v>0</v>
      </c>
      <c r="Y189" s="167">
        <f>IFERROR(ABS(TABLAINV[[#This Row],[PMV]]*TABLAINV[[#This Row],[Diferencia]]),0)</f>
        <v>0</v>
      </c>
      <c r="Z189" s="168">
        <f>IFERROR(VLOOKUP(TABLAINV[[#This Row],[Codigo Estado]],unds!O:P,2,0),"PEND.")</f>
        <v>2001</v>
      </c>
      <c r="AA189" s="168" t="str">
        <f t="shared" si="10"/>
        <v>CD09</v>
      </c>
      <c r="AB189" s="169">
        <f t="shared" ca="1" si="11"/>
        <v>45827</v>
      </c>
      <c r="AC189" s="1"/>
      <c r="AD189" s="1"/>
      <c r="AE189" s="1"/>
      <c r="AF189" s="1"/>
    </row>
    <row r="190" spans="1:32" ht="15" customHeight="1" x14ac:dyDescent="0.2">
      <c r="A190" s="170" t="str">
        <f t="shared" si="9"/>
        <v>MRC01</v>
      </c>
      <c r="B190" s="160" t="str">
        <f>IF(TABLAINV[[#This Row],[Z]]="","",D190&amp;"."&amp;TEXT(E190,"000")&amp;"."&amp;TEXT(F190,"000")&amp;"."&amp;TEXT(G190,"000"))</f>
        <v>MR.C01.154.001</v>
      </c>
      <c r="C190" s="161"/>
      <c r="D190" s="162" t="s">
        <v>95</v>
      </c>
      <c r="E190" s="162" t="s">
        <v>96</v>
      </c>
      <c r="F190" s="162">
        <v>154</v>
      </c>
      <c r="G190" s="162">
        <v>1</v>
      </c>
      <c r="H190" s="162">
        <v>48223002</v>
      </c>
      <c r="I190" s="162" t="s">
        <v>279</v>
      </c>
      <c r="J190" s="171">
        <v>7</v>
      </c>
      <c r="K190" s="162" t="s">
        <v>64</v>
      </c>
      <c r="L190" s="163" t="s">
        <v>98</v>
      </c>
      <c r="M190" s="162" t="s">
        <v>99</v>
      </c>
      <c r="N190" s="161" t="s">
        <v>91</v>
      </c>
      <c r="O190" s="161">
        <v>7</v>
      </c>
      <c r="P190" s="163">
        <v>7</v>
      </c>
      <c r="Q190" s="163"/>
      <c r="R190" s="162"/>
      <c r="S190" s="164">
        <f>TABLAINV[[#This Row],[Conteo Físico]]-TABLAINV[[#This Row],[Cant. UND]]</f>
        <v>0</v>
      </c>
      <c r="T19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0" s="165" t="str">
        <f>IFERROR(IF(MOD(TABLAINV[[#This Row],[C]],2)=0,"PAR","IMPAR"),"Zona")</f>
        <v>PAR</v>
      </c>
      <c r="W190" s="166"/>
      <c r="X190" s="167">
        <f>IFERROR(IF(TABLAINV[[#This Row],[Cant. UND]]=0,TABLAINV[[#This Row],[PMV]]*TABLAINV[[#This Row],[Conteo Físico]],TABLAINV[[#This Row],[PMV]]*TABLAINV[[#This Row],[Cant. UND]]),0)</f>
        <v>0</v>
      </c>
      <c r="Y190" s="167">
        <f>IFERROR(ABS(TABLAINV[[#This Row],[PMV]]*TABLAINV[[#This Row],[Diferencia]]),0)</f>
        <v>0</v>
      </c>
      <c r="Z190" s="168">
        <f>IFERROR(VLOOKUP(TABLAINV[[#This Row],[Codigo Estado]],unds!O:P,2,0),"PEND.")</f>
        <v>2001</v>
      </c>
      <c r="AA190" s="168" t="str">
        <f t="shared" si="10"/>
        <v>CD09</v>
      </c>
      <c r="AB190" s="169">
        <f t="shared" ca="1" si="11"/>
        <v>45827</v>
      </c>
      <c r="AC190" s="1"/>
      <c r="AD190" s="1"/>
      <c r="AE190" s="1"/>
      <c r="AF190" s="1"/>
    </row>
    <row r="191" spans="1:32" ht="15" customHeight="1" x14ac:dyDescent="0.2">
      <c r="A191" s="170" t="str">
        <f t="shared" si="9"/>
        <v>MRC01</v>
      </c>
      <c r="B191" s="160" t="str">
        <f>IF(TABLAINV[[#This Row],[Z]]="","",D191&amp;"."&amp;TEXT(E191,"000")&amp;"."&amp;TEXT(F191,"000")&amp;"."&amp;TEXT(G191,"000"))</f>
        <v>MR.C01.154.001</v>
      </c>
      <c r="C191" s="161"/>
      <c r="D191" s="162" t="s">
        <v>95</v>
      </c>
      <c r="E191" s="162" t="s">
        <v>96</v>
      </c>
      <c r="F191" s="162">
        <v>154</v>
      </c>
      <c r="G191" s="162">
        <v>1</v>
      </c>
      <c r="H191" s="162">
        <v>518476004</v>
      </c>
      <c r="I191" s="162" t="s">
        <v>266</v>
      </c>
      <c r="J191" s="171">
        <v>6</v>
      </c>
      <c r="K191" s="162" t="s">
        <v>64</v>
      </c>
      <c r="L191" s="163" t="s">
        <v>115</v>
      </c>
      <c r="M191" s="162" t="s">
        <v>99</v>
      </c>
      <c r="N191" s="161" t="s">
        <v>91</v>
      </c>
      <c r="O191" s="161">
        <v>6</v>
      </c>
      <c r="P191" s="163">
        <v>6</v>
      </c>
      <c r="Q191" s="163"/>
      <c r="R191" s="162"/>
      <c r="S191" s="164">
        <f>TABLAINV[[#This Row],[Conteo Físico]]-TABLAINV[[#This Row],[Cant. UND]]</f>
        <v>0</v>
      </c>
      <c r="T19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1" s="165" t="str">
        <f>IFERROR(IF(MOD(TABLAINV[[#This Row],[C]],2)=0,"PAR","IMPAR"),"Zona")</f>
        <v>PAR</v>
      </c>
      <c r="W191" s="166"/>
      <c r="X191" s="167">
        <f>IFERROR(IF(TABLAINV[[#This Row],[Cant. UND]]=0,TABLAINV[[#This Row],[PMV]]*TABLAINV[[#This Row],[Conteo Físico]],TABLAINV[[#This Row],[PMV]]*TABLAINV[[#This Row],[Cant. UND]]),0)</f>
        <v>0</v>
      </c>
      <c r="Y191" s="167">
        <f>IFERROR(ABS(TABLAINV[[#This Row],[PMV]]*TABLAINV[[#This Row],[Diferencia]]),0)</f>
        <v>0</v>
      </c>
      <c r="Z191" s="168">
        <f>IFERROR(VLOOKUP(TABLAINV[[#This Row],[Codigo Estado]],unds!O:P,2,0),"PEND.")</f>
        <v>2001</v>
      </c>
      <c r="AA191" s="168" t="str">
        <f t="shared" si="10"/>
        <v>CD09</v>
      </c>
      <c r="AB191" s="169">
        <f t="shared" ca="1" si="11"/>
        <v>45827</v>
      </c>
      <c r="AC191" s="1"/>
      <c r="AD191" s="1"/>
      <c r="AE191" s="1"/>
      <c r="AF191" s="1"/>
    </row>
    <row r="192" spans="1:32" ht="15" customHeight="1" x14ac:dyDescent="0.2">
      <c r="A192" s="170" t="str">
        <f t="shared" si="9"/>
        <v>MRC01</v>
      </c>
      <c r="B192" s="160" t="str">
        <f>IF(TABLAINV[[#This Row],[Z]]="","",D192&amp;"."&amp;TEXT(E192,"000")&amp;"."&amp;TEXT(F192,"000")&amp;"."&amp;TEXT(G192,"000"))</f>
        <v>MR.C01.154.001</v>
      </c>
      <c r="C192" s="161"/>
      <c r="D192" s="162" t="s">
        <v>95</v>
      </c>
      <c r="E192" s="162" t="s">
        <v>96</v>
      </c>
      <c r="F192" s="162">
        <v>154</v>
      </c>
      <c r="G192" s="162">
        <v>1</v>
      </c>
      <c r="H192" s="162">
        <v>754389</v>
      </c>
      <c r="I192" s="162" t="s">
        <v>280</v>
      </c>
      <c r="J192" s="171">
        <v>8</v>
      </c>
      <c r="K192" s="162" t="s">
        <v>64</v>
      </c>
      <c r="L192" s="163" t="s">
        <v>164</v>
      </c>
      <c r="M192" s="162" t="s">
        <v>99</v>
      </c>
      <c r="N192" s="161" t="s">
        <v>91</v>
      </c>
      <c r="O192" s="161">
        <v>8</v>
      </c>
      <c r="P192" s="163">
        <v>8</v>
      </c>
      <c r="Q192" s="163"/>
      <c r="R192" s="162"/>
      <c r="S192" s="164">
        <f>TABLAINV[[#This Row],[Conteo Físico]]-TABLAINV[[#This Row],[Cant. UND]]</f>
        <v>0</v>
      </c>
      <c r="T19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2" s="165" t="str">
        <f>IFERROR(IF(MOD(TABLAINV[[#This Row],[C]],2)=0,"PAR","IMPAR"),"Zona")</f>
        <v>PAR</v>
      </c>
      <c r="W192" s="166"/>
      <c r="X192" s="167">
        <f>IFERROR(IF(TABLAINV[[#This Row],[Cant. UND]]=0,TABLAINV[[#This Row],[PMV]]*TABLAINV[[#This Row],[Conteo Físico]],TABLAINV[[#This Row],[PMV]]*TABLAINV[[#This Row],[Cant. UND]]),0)</f>
        <v>0</v>
      </c>
      <c r="Y192" s="167">
        <f>IFERROR(ABS(TABLAINV[[#This Row],[PMV]]*TABLAINV[[#This Row],[Diferencia]]),0)</f>
        <v>0</v>
      </c>
      <c r="Z192" s="168">
        <f>IFERROR(VLOOKUP(TABLAINV[[#This Row],[Codigo Estado]],unds!O:P,2,0),"PEND.")</f>
        <v>2001</v>
      </c>
      <c r="AA192" s="168" t="str">
        <f t="shared" si="10"/>
        <v>CD09</v>
      </c>
      <c r="AB192" s="169">
        <f t="shared" ca="1" si="11"/>
        <v>45827</v>
      </c>
      <c r="AC192" s="1"/>
      <c r="AD192" s="1"/>
      <c r="AE192" s="1"/>
      <c r="AF192" s="1"/>
    </row>
    <row r="193" spans="1:32" ht="15" customHeight="1" x14ac:dyDescent="0.2">
      <c r="A193" s="170" t="str">
        <f t="shared" si="9"/>
        <v>MRC01</v>
      </c>
      <c r="B193" s="160" t="str">
        <f>IF(TABLAINV[[#This Row],[Z]]="","",D193&amp;"."&amp;TEXT(E193,"000")&amp;"."&amp;TEXT(F193,"000")&amp;"."&amp;TEXT(G193,"000"))</f>
        <v>MR.C01.154.002</v>
      </c>
      <c r="C193" s="161"/>
      <c r="D193" s="162" t="s">
        <v>95</v>
      </c>
      <c r="E193" s="162" t="s">
        <v>96</v>
      </c>
      <c r="F193" s="162">
        <v>154</v>
      </c>
      <c r="G193" s="162">
        <v>2</v>
      </c>
      <c r="H193" s="162">
        <v>45685</v>
      </c>
      <c r="I193" s="162" t="s">
        <v>281</v>
      </c>
      <c r="J193" s="171">
        <v>26</v>
      </c>
      <c r="K193" s="162" t="s">
        <v>64</v>
      </c>
      <c r="L193" s="163" t="s">
        <v>282</v>
      </c>
      <c r="M193" s="162" t="s">
        <v>99</v>
      </c>
      <c r="N193" s="161" t="s">
        <v>91</v>
      </c>
      <c r="O193" s="161">
        <v>26</v>
      </c>
      <c r="P193" s="163">
        <v>26</v>
      </c>
      <c r="Q193" s="163"/>
      <c r="R193" s="162"/>
      <c r="S193" s="164">
        <f>TABLAINV[[#This Row],[Conteo Físico]]-TABLAINV[[#This Row],[Cant. UND]]</f>
        <v>0</v>
      </c>
      <c r="T19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3" s="165" t="str">
        <f>IFERROR(IF(MOD(TABLAINV[[#This Row],[C]],2)=0,"PAR","IMPAR"),"Zona")</f>
        <v>PAR</v>
      </c>
      <c r="W193" s="166"/>
      <c r="X193" s="167">
        <f>IFERROR(IF(TABLAINV[[#This Row],[Cant. UND]]=0,TABLAINV[[#This Row],[PMV]]*TABLAINV[[#This Row],[Conteo Físico]],TABLAINV[[#This Row],[PMV]]*TABLAINV[[#This Row],[Cant. UND]]),0)</f>
        <v>0</v>
      </c>
      <c r="Y193" s="167">
        <f>IFERROR(ABS(TABLAINV[[#This Row],[PMV]]*TABLAINV[[#This Row],[Diferencia]]),0)</f>
        <v>0</v>
      </c>
      <c r="Z193" s="168">
        <f>IFERROR(VLOOKUP(TABLAINV[[#This Row],[Codigo Estado]],unds!O:P,2,0),"PEND.")</f>
        <v>2001</v>
      </c>
      <c r="AA193" s="168" t="str">
        <f t="shared" si="10"/>
        <v>CD09</v>
      </c>
      <c r="AB193" s="169">
        <f t="shared" ca="1" si="11"/>
        <v>45827</v>
      </c>
      <c r="AC193" s="1"/>
      <c r="AD193" s="1"/>
      <c r="AE193" s="1"/>
      <c r="AF193" s="1"/>
    </row>
    <row r="194" spans="1:32" ht="15" customHeight="1" x14ac:dyDescent="0.2">
      <c r="A194" s="170" t="str">
        <f t="shared" si="9"/>
        <v>MRC01</v>
      </c>
      <c r="B194" s="160" t="str">
        <f>IF(TABLAINV[[#This Row],[Z]]="","",D194&amp;"."&amp;TEXT(E194,"000")&amp;"."&amp;TEXT(F194,"000")&amp;"."&amp;TEXT(G194,"000"))</f>
        <v>MR.C01.154.002</v>
      </c>
      <c r="C194" s="161"/>
      <c r="D194" s="162" t="s">
        <v>95</v>
      </c>
      <c r="E194" s="162" t="s">
        <v>96</v>
      </c>
      <c r="F194" s="162">
        <v>154</v>
      </c>
      <c r="G194" s="162">
        <v>2</v>
      </c>
      <c r="H194" s="162">
        <v>49463004</v>
      </c>
      <c r="I194" s="162" t="s">
        <v>209</v>
      </c>
      <c r="J194" s="171">
        <v>12</v>
      </c>
      <c r="K194" s="162" t="s">
        <v>64</v>
      </c>
      <c r="L194" s="163" t="s">
        <v>115</v>
      </c>
      <c r="M194" s="162" t="s">
        <v>99</v>
      </c>
      <c r="N194" s="161" t="s">
        <v>91</v>
      </c>
      <c r="O194" s="161">
        <v>12</v>
      </c>
      <c r="P194" s="163">
        <v>12</v>
      </c>
      <c r="Q194" s="163"/>
      <c r="R194" s="162"/>
      <c r="S194" s="164">
        <f>TABLAINV[[#This Row],[Conteo Físico]]-TABLAINV[[#This Row],[Cant. UND]]</f>
        <v>0</v>
      </c>
      <c r="T19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4" s="165" t="str">
        <f>IFERROR(IF(MOD(TABLAINV[[#This Row],[C]],2)=0,"PAR","IMPAR"),"Zona")</f>
        <v>PAR</v>
      </c>
      <c r="W194" s="166"/>
      <c r="X194" s="167">
        <f>IFERROR(IF(TABLAINV[[#This Row],[Cant. UND]]=0,TABLAINV[[#This Row],[PMV]]*TABLAINV[[#This Row],[Conteo Físico]],TABLAINV[[#This Row],[PMV]]*TABLAINV[[#This Row],[Cant. UND]]),0)</f>
        <v>0</v>
      </c>
      <c r="Y194" s="167">
        <f>IFERROR(ABS(TABLAINV[[#This Row],[PMV]]*TABLAINV[[#This Row],[Diferencia]]),0)</f>
        <v>0</v>
      </c>
      <c r="Z194" s="168">
        <f>IFERROR(VLOOKUP(TABLAINV[[#This Row],[Codigo Estado]],unds!O:P,2,0),"PEND.")</f>
        <v>2001</v>
      </c>
      <c r="AA194" s="168" t="str">
        <f t="shared" si="10"/>
        <v>CD09</v>
      </c>
      <c r="AB194" s="169">
        <f t="shared" ca="1" si="11"/>
        <v>45827</v>
      </c>
      <c r="AC194" s="1"/>
      <c r="AD194" s="1"/>
      <c r="AE194" s="1"/>
      <c r="AF194" s="1"/>
    </row>
    <row r="195" spans="1:32" ht="15" customHeight="1" x14ac:dyDescent="0.2">
      <c r="A195" s="170" t="str">
        <f t="shared" si="9"/>
        <v>MRC01</v>
      </c>
      <c r="B195" s="160" t="str">
        <f>IF(TABLAINV[[#This Row],[Z]]="","",D195&amp;"."&amp;TEXT(E195,"000")&amp;"."&amp;TEXT(F195,"000")&amp;"."&amp;TEXT(G195,"000"))</f>
        <v>MR.C01.154.002</v>
      </c>
      <c r="C195" s="161"/>
      <c r="D195" s="162" t="s">
        <v>95</v>
      </c>
      <c r="E195" s="162" t="s">
        <v>96</v>
      </c>
      <c r="F195" s="162">
        <v>154</v>
      </c>
      <c r="G195" s="162">
        <v>2</v>
      </c>
      <c r="H195" s="162">
        <v>508126</v>
      </c>
      <c r="I195" s="162" t="s">
        <v>262</v>
      </c>
      <c r="J195" s="171">
        <v>6</v>
      </c>
      <c r="K195" s="162" t="s">
        <v>64</v>
      </c>
      <c r="L195" s="163" t="s">
        <v>115</v>
      </c>
      <c r="M195" s="162" t="s">
        <v>99</v>
      </c>
      <c r="N195" s="161" t="s">
        <v>91</v>
      </c>
      <c r="O195" s="161">
        <v>6</v>
      </c>
      <c r="P195" s="163">
        <v>6</v>
      </c>
      <c r="Q195" s="163"/>
      <c r="R195" s="162"/>
      <c r="S195" s="164">
        <f>TABLAINV[[#This Row],[Conteo Físico]]-TABLAINV[[#This Row],[Cant. UND]]</f>
        <v>0</v>
      </c>
      <c r="T19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5" s="165" t="str">
        <f>IFERROR(IF(MOD(TABLAINV[[#This Row],[C]],2)=0,"PAR","IMPAR"),"Zona")</f>
        <v>PAR</v>
      </c>
      <c r="W195" s="166"/>
      <c r="X195" s="167">
        <f>IFERROR(IF(TABLAINV[[#This Row],[Cant. UND]]=0,TABLAINV[[#This Row],[PMV]]*TABLAINV[[#This Row],[Conteo Físico]],TABLAINV[[#This Row],[PMV]]*TABLAINV[[#This Row],[Cant. UND]]),0)</f>
        <v>0</v>
      </c>
      <c r="Y195" s="167">
        <f>IFERROR(ABS(TABLAINV[[#This Row],[PMV]]*TABLAINV[[#This Row],[Diferencia]]),0)</f>
        <v>0</v>
      </c>
      <c r="Z195" s="168">
        <f>IFERROR(VLOOKUP(TABLAINV[[#This Row],[Codigo Estado]],unds!O:P,2,0),"PEND.")</f>
        <v>2001</v>
      </c>
      <c r="AA195" s="168" t="str">
        <f t="shared" si="10"/>
        <v>CD09</v>
      </c>
      <c r="AB195" s="169">
        <f t="shared" ca="1" si="11"/>
        <v>45827</v>
      </c>
      <c r="AC195" s="1"/>
      <c r="AD195" s="1"/>
      <c r="AE195" s="1"/>
      <c r="AF195" s="1"/>
    </row>
    <row r="196" spans="1:32" ht="15" customHeight="1" x14ac:dyDescent="0.2">
      <c r="A196" s="170" t="str">
        <f t="shared" si="9"/>
        <v>MRC01</v>
      </c>
      <c r="B196" s="160" t="str">
        <f>IF(TABLAINV[[#This Row],[Z]]="","",D196&amp;"."&amp;TEXT(E196,"000")&amp;"."&amp;TEXT(F196,"000")&amp;"."&amp;TEXT(G196,"000"))</f>
        <v>MR.C01.154.002</v>
      </c>
      <c r="C196" s="161"/>
      <c r="D196" s="162" t="s">
        <v>95</v>
      </c>
      <c r="E196" s="162" t="s">
        <v>96</v>
      </c>
      <c r="F196" s="162">
        <v>154</v>
      </c>
      <c r="G196" s="162">
        <v>2</v>
      </c>
      <c r="H196" s="162">
        <v>947275</v>
      </c>
      <c r="I196" s="162" t="s">
        <v>283</v>
      </c>
      <c r="J196" s="171">
        <v>6</v>
      </c>
      <c r="K196" s="162" t="s">
        <v>64</v>
      </c>
      <c r="L196" s="163" t="s">
        <v>98</v>
      </c>
      <c r="M196" s="162" t="s">
        <v>99</v>
      </c>
      <c r="N196" s="161" t="s">
        <v>91</v>
      </c>
      <c r="O196" s="161">
        <v>6</v>
      </c>
      <c r="P196" s="163">
        <v>6</v>
      </c>
      <c r="Q196" s="163"/>
      <c r="R196" s="162"/>
      <c r="S196" s="164">
        <f>TABLAINV[[#This Row],[Conteo Físico]]-TABLAINV[[#This Row],[Cant. UND]]</f>
        <v>0</v>
      </c>
      <c r="T19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6" s="165" t="str">
        <f>IFERROR(IF(MOD(TABLAINV[[#This Row],[C]],2)=0,"PAR","IMPAR"),"Zona")</f>
        <v>PAR</v>
      </c>
      <c r="W196" s="166"/>
      <c r="X196" s="167">
        <f>IFERROR(IF(TABLAINV[[#This Row],[Cant. UND]]=0,TABLAINV[[#This Row],[PMV]]*TABLAINV[[#This Row],[Conteo Físico]],TABLAINV[[#This Row],[PMV]]*TABLAINV[[#This Row],[Cant. UND]]),0)</f>
        <v>0</v>
      </c>
      <c r="Y196" s="167">
        <f>IFERROR(ABS(TABLAINV[[#This Row],[PMV]]*TABLAINV[[#This Row],[Diferencia]]),0)</f>
        <v>0</v>
      </c>
      <c r="Z196" s="168">
        <f>IFERROR(VLOOKUP(TABLAINV[[#This Row],[Codigo Estado]],unds!O:P,2,0),"PEND.")</f>
        <v>2001</v>
      </c>
      <c r="AA196" s="168" t="str">
        <f t="shared" si="10"/>
        <v>CD09</v>
      </c>
      <c r="AB196" s="169">
        <f t="shared" ca="1" si="11"/>
        <v>45827</v>
      </c>
      <c r="AC196" s="1"/>
      <c r="AD196" s="1"/>
      <c r="AE196" s="1"/>
      <c r="AF196" s="1"/>
    </row>
    <row r="197" spans="1:32" ht="15" customHeight="1" x14ac:dyDescent="0.2">
      <c r="A197" s="170" t="str">
        <f t="shared" si="9"/>
        <v>MRC01</v>
      </c>
      <c r="B197" s="160" t="str">
        <f>IF(TABLAINV[[#This Row],[Z]]="","",D197&amp;"."&amp;TEXT(E197,"000")&amp;"."&amp;TEXT(F197,"000")&amp;"."&amp;TEXT(G197,"000"))</f>
        <v>MR.C01.154.003</v>
      </c>
      <c r="C197" s="161"/>
      <c r="D197" s="162" t="s">
        <v>95</v>
      </c>
      <c r="E197" s="162" t="s">
        <v>96</v>
      </c>
      <c r="F197" s="162">
        <v>154</v>
      </c>
      <c r="G197" s="162">
        <v>3</v>
      </c>
      <c r="H197" s="162">
        <v>1024532</v>
      </c>
      <c r="I197" s="162" t="s">
        <v>284</v>
      </c>
      <c r="J197" s="171">
        <v>15</v>
      </c>
      <c r="K197" s="162" t="s">
        <v>64</v>
      </c>
      <c r="L197" s="163" t="s">
        <v>212</v>
      </c>
      <c r="M197" s="162" t="s">
        <v>99</v>
      </c>
      <c r="N197" s="161" t="s">
        <v>91</v>
      </c>
      <c r="O197" s="161">
        <v>15</v>
      </c>
      <c r="P197" s="163">
        <v>15</v>
      </c>
      <c r="Q197" s="163"/>
      <c r="R197" s="162"/>
      <c r="S197" s="164">
        <f>TABLAINV[[#This Row],[Conteo Físico]]-TABLAINV[[#This Row],[Cant. UND]]</f>
        <v>0</v>
      </c>
      <c r="T19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7" s="165" t="str">
        <f>IFERROR(IF(MOD(TABLAINV[[#This Row],[C]],2)=0,"PAR","IMPAR"),"Zona")</f>
        <v>PAR</v>
      </c>
      <c r="W197" s="166"/>
      <c r="X197" s="167">
        <f>IFERROR(IF(TABLAINV[[#This Row],[Cant. UND]]=0,TABLAINV[[#This Row],[PMV]]*TABLAINV[[#This Row],[Conteo Físico]],TABLAINV[[#This Row],[PMV]]*TABLAINV[[#This Row],[Cant. UND]]),0)</f>
        <v>0</v>
      </c>
      <c r="Y197" s="167">
        <f>IFERROR(ABS(TABLAINV[[#This Row],[PMV]]*TABLAINV[[#This Row],[Diferencia]]),0)</f>
        <v>0</v>
      </c>
      <c r="Z197" s="168">
        <f>IFERROR(VLOOKUP(TABLAINV[[#This Row],[Codigo Estado]],unds!O:P,2,0),"PEND.")</f>
        <v>2001</v>
      </c>
      <c r="AA197" s="168" t="str">
        <f t="shared" si="10"/>
        <v>CD09</v>
      </c>
      <c r="AB197" s="169">
        <f t="shared" ca="1" si="11"/>
        <v>45827</v>
      </c>
      <c r="AC197" s="1"/>
      <c r="AD197" s="1"/>
      <c r="AE197" s="1"/>
      <c r="AF197" s="1"/>
    </row>
    <row r="198" spans="1:32" ht="15" customHeight="1" x14ac:dyDescent="0.2">
      <c r="A198" s="170" t="str">
        <f t="shared" si="9"/>
        <v>MRC01</v>
      </c>
      <c r="B198" s="160" t="str">
        <f>IF(TABLAINV[[#This Row],[Z]]="","",D198&amp;"."&amp;TEXT(E198,"000")&amp;"."&amp;TEXT(F198,"000")&amp;"."&amp;TEXT(G198,"000"))</f>
        <v>MR.C01.154.003</v>
      </c>
      <c r="C198" s="161"/>
      <c r="D198" s="162" t="s">
        <v>95</v>
      </c>
      <c r="E198" s="162" t="s">
        <v>96</v>
      </c>
      <c r="F198" s="162">
        <v>154</v>
      </c>
      <c r="G198" s="162">
        <v>3</v>
      </c>
      <c r="H198" s="162">
        <v>38955</v>
      </c>
      <c r="I198" s="162" t="s">
        <v>285</v>
      </c>
      <c r="J198" s="171">
        <v>12</v>
      </c>
      <c r="K198" s="162" t="s">
        <v>64</v>
      </c>
      <c r="L198" s="163" t="s">
        <v>286</v>
      </c>
      <c r="M198" s="162" t="s">
        <v>111</v>
      </c>
      <c r="N198" s="161" t="s">
        <v>91</v>
      </c>
      <c r="O198" s="161">
        <v>12</v>
      </c>
      <c r="P198" s="163">
        <v>12</v>
      </c>
      <c r="Q198" s="163"/>
      <c r="R198" s="162"/>
      <c r="S198" s="164">
        <f>TABLAINV[[#This Row],[Conteo Físico]]-TABLAINV[[#This Row],[Cant. UND]]</f>
        <v>0</v>
      </c>
      <c r="T19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8" s="165" t="str">
        <f>IFERROR(IF(MOD(TABLAINV[[#This Row],[C]],2)=0,"PAR","IMPAR"),"Zona")</f>
        <v>PAR</v>
      </c>
      <c r="W198" s="166"/>
      <c r="X198" s="167">
        <f>IFERROR(IF(TABLAINV[[#This Row],[Cant. UND]]=0,TABLAINV[[#This Row],[PMV]]*TABLAINV[[#This Row],[Conteo Físico]],TABLAINV[[#This Row],[PMV]]*TABLAINV[[#This Row],[Cant. UND]]),0)</f>
        <v>0</v>
      </c>
      <c r="Y198" s="167">
        <f>IFERROR(ABS(TABLAINV[[#This Row],[PMV]]*TABLAINV[[#This Row],[Diferencia]]),0)</f>
        <v>0</v>
      </c>
      <c r="Z198" s="168">
        <f>IFERROR(VLOOKUP(TABLAINV[[#This Row],[Codigo Estado]],unds!O:P,2,0),"PEND.")</f>
        <v>2001</v>
      </c>
      <c r="AA198" s="168" t="str">
        <f t="shared" si="10"/>
        <v>CD09</v>
      </c>
      <c r="AB198" s="169">
        <f t="shared" ca="1" si="11"/>
        <v>45827</v>
      </c>
      <c r="AC198" s="1"/>
      <c r="AD198" s="1"/>
      <c r="AE198" s="1"/>
      <c r="AF198" s="1"/>
    </row>
    <row r="199" spans="1:32" ht="15" customHeight="1" x14ac:dyDescent="0.2">
      <c r="A199" s="170" t="str">
        <f t="shared" si="9"/>
        <v>MRC01</v>
      </c>
      <c r="B199" s="160" t="str">
        <f>IF(TABLAINV[[#This Row],[Z]]="","",D199&amp;"."&amp;TEXT(E199,"000")&amp;"."&amp;TEXT(F199,"000")&amp;"."&amp;TEXT(G199,"000"))</f>
        <v>MR.C01.154.003</v>
      </c>
      <c r="C199" s="161"/>
      <c r="D199" s="162" t="s">
        <v>95</v>
      </c>
      <c r="E199" s="162" t="s">
        <v>96</v>
      </c>
      <c r="F199" s="162">
        <v>154</v>
      </c>
      <c r="G199" s="162">
        <v>3</v>
      </c>
      <c r="H199" s="162">
        <v>768638001</v>
      </c>
      <c r="I199" s="162" t="s">
        <v>287</v>
      </c>
      <c r="J199" s="171">
        <v>5</v>
      </c>
      <c r="K199" s="162" t="s">
        <v>64</v>
      </c>
      <c r="L199" s="163" t="s">
        <v>212</v>
      </c>
      <c r="M199" s="162" t="s">
        <v>99</v>
      </c>
      <c r="N199" s="161" t="s">
        <v>91</v>
      </c>
      <c r="O199" s="161">
        <v>5</v>
      </c>
      <c r="P199" s="163">
        <v>5</v>
      </c>
      <c r="Q199" s="163"/>
      <c r="R199" s="162"/>
      <c r="S199" s="164">
        <f>TABLAINV[[#This Row],[Conteo Físico]]-TABLAINV[[#This Row],[Cant. UND]]</f>
        <v>0</v>
      </c>
      <c r="T19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19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199" s="165" t="str">
        <f>IFERROR(IF(MOD(TABLAINV[[#This Row],[C]],2)=0,"PAR","IMPAR"),"Zona")</f>
        <v>PAR</v>
      </c>
      <c r="W199" s="166"/>
      <c r="X199" s="167">
        <f>IFERROR(IF(TABLAINV[[#This Row],[Cant. UND]]=0,TABLAINV[[#This Row],[PMV]]*TABLAINV[[#This Row],[Conteo Físico]],TABLAINV[[#This Row],[PMV]]*TABLAINV[[#This Row],[Cant. UND]]),0)</f>
        <v>0</v>
      </c>
      <c r="Y199" s="167">
        <f>IFERROR(ABS(TABLAINV[[#This Row],[PMV]]*TABLAINV[[#This Row],[Diferencia]]),0)</f>
        <v>0</v>
      </c>
      <c r="Z199" s="168">
        <f>IFERROR(VLOOKUP(TABLAINV[[#This Row],[Codigo Estado]],unds!O:P,2,0),"PEND.")</f>
        <v>2001</v>
      </c>
      <c r="AA199" s="168" t="str">
        <f t="shared" si="10"/>
        <v>CD09</v>
      </c>
      <c r="AB199" s="169">
        <f t="shared" ca="1" si="11"/>
        <v>45827</v>
      </c>
      <c r="AC199" s="1"/>
      <c r="AD199" s="1"/>
      <c r="AE199" s="1"/>
      <c r="AF199" s="1"/>
    </row>
    <row r="200" spans="1:32" ht="15" customHeight="1" x14ac:dyDescent="0.2">
      <c r="A200" s="170" t="str">
        <f t="shared" si="9"/>
        <v>MRC01</v>
      </c>
      <c r="B200" s="160" t="str">
        <f>IF(TABLAINV[[#This Row],[Z]]="","",D200&amp;"."&amp;TEXT(E200,"000")&amp;"."&amp;TEXT(F200,"000")&amp;"."&amp;TEXT(G200,"000"))</f>
        <v>MR.C01.159.001</v>
      </c>
      <c r="C200" s="161"/>
      <c r="D200" s="162" t="s">
        <v>95</v>
      </c>
      <c r="E200" s="162" t="s">
        <v>96</v>
      </c>
      <c r="F200" s="162">
        <v>159</v>
      </c>
      <c r="G200" s="162">
        <v>1</v>
      </c>
      <c r="H200" s="162">
        <v>531596002</v>
      </c>
      <c r="I200" s="162" t="s">
        <v>288</v>
      </c>
      <c r="J200" s="171">
        <v>10</v>
      </c>
      <c r="K200" s="162" t="s">
        <v>64</v>
      </c>
      <c r="L200" s="163" t="s">
        <v>108</v>
      </c>
      <c r="M200" s="162" t="s">
        <v>99</v>
      </c>
      <c r="N200" s="161" t="s">
        <v>91</v>
      </c>
      <c r="O200" s="161">
        <v>10</v>
      </c>
      <c r="P200" s="163">
        <v>10</v>
      </c>
      <c r="Q200" s="163"/>
      <c r="R200" s="162"/>
      <c r="S200" s="164">
        <f>TABLAINV[[#This Row],[Conteo Físico]]-TABLAINV[[#This Row],[Cant. UND]]</f>
        <v>0</v>
      </c>
      <c r="T20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0" s="165" t="str">
        <f>IFERROR(IF(MOD(TABLAINV[[#This Row],[C]],2)=0,"PAR","IMPAR"),"Zona")</f>
        <v>IMPAR</v>
      </c>
      <c r="W200" s="166"/>
      <c r="X200" s="167">
        <f>IFERROR(IF(TABLAINV[[#This Row],[Cant. UND]]=0,TABLAINV[[#This Row],[PMV]]*TABLAINV[[#This Row],[Conteo Físico]],TABLAINV[[#This Row],[PMV]]*TABLAINV[[#This Row],[Cant. UND]]),0)</f>
        <v>0</v>
      </c>
      <c r="Y200" s="167">
        <f>IFERROR(ABS(TABLAINV[[#This Row],[PMV]]*TABLAINV[[#This Row],[Diferencia]]),0)</f>
        <v>0</v>
      </c>
      <c r="Z200" s="168">
        <f>IFERROR(VLOOKUP(TABLAINV[[#This Row],[Codigo Estado]],unds!O:P,2,0),"PEND.")</f>
        <v>2001</v>
      </c>
      <c r="AA200" s="168" t="str">
        <f t="shared" si="10"/>
        <v>CD09</v>
      </c>
      <c r="AB200" s="169">
        <f t="shared" ca="1" si="11"/>
        <v>45827</v>
      </c>
      <c r="AC200" s="1"/>
      <c r="AD200" s="1"/>
      <c r="AE200" s="1"/>
      <c r="AF200" s="1"/>
    </row>
    <row r="201" spans="1:32" ht="15" customHeight="1" x14ac:dyDescent="0.2">
      <c r="A201" s="170" t="str">
        <f t="shared" si="9"/>
        <v>MRC01</v>
      </c>
      <c r="B201" s="160" t="str">
        <f>IF(TABLAINV[[#This Row],[Z]]="","",D201&amp;"."&amp;TEXT(E201,"000")&amp;"."&amp;TEXT(F201,"000")&amp;"."&amp;TEXT(G201,"000"))</f>
        <v>MR.C01.159.001</v>
      </c>
      <c r="C201" s="161"/>
      <c r="D201" s="162" t="s">
        <v>95</v>
      </c>
      <c r="E201" s="162" t="s">
        <v>96</v>
      </c>
      <c r="F201" s="162">
        <v>159</v>
      </c>
      <c r="G201" s="162">
        <v>1</v>
      </c>
      <c r="H201" s="162">
        <v>736118</v>
      </c>
      <c r="I201" s="162" t="s">
        <v>289</v>
      </c>
      <c r="J201" s="171">
        <v>18</v>
      </c>
      <c r="K201" s="162" t="s">
        <v>64</v>
      </c>
      <c r="L201" s="163" t="s">
        <v>98</v>
      </c>
      <c r="M201" s="162" t="s">
        <v>99</v>
      </c>
      <c r="N201" s="161" t="s">
        <v>91</v>
      </c>
      <c r="O201" s="161">
        <v>18</v>
      </c>
      <c r="P201" s="163">
        <v>18</v>
      </c>
      <c r="Q201" s="163"/>
      <c r="R201" s="162"/>
      <c r="S201" s="164">
        <f>TABLAINV[[#This Row],[Conteo Físico]]-TABLAINV[[#This Row],[Cant. UND]]</f>
        <v>0</v>
      </c>
      <c r="T20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1" s="165" t="str">
        <f>IFERROR(IF(MOD(TABLAINV[[#This Row],[C]],2)=0,"PAR","IMPAR"),"Zona")</f>
        <v>IMPAR</v>
      </c>
      <c r="W201" s="166"/>
      <c r="X201" s="167">
        <f>IFERROR(IF(TABLAINV[[#This Row],[Cant. UND]]=0,TABLAINV[[#This Row],[PMV]]*TABLAINV[[#This Row],[Conteo Físico]],TABLAINV[[#This Row],[PMV]]*TABLAINV[[#This Row],[Cant. UND]]),0)</f>
        <v>0</v>
      </c>
      <c r="Y201" s="167">
        <f>IFERROR(ABS(TABLAINV[[#This Row],[PMV]]*TABLAINV[[#This Row],[Diferencia]]),0)</f>
        <v>0</v>
      </c>
      <c r="Z201" s="168">
        <f>IFERROR(VLOOKUP(TABLAINV[[#This Row],[Codigo Estado]],unds!O:P,2,0),"PEND.")</f>
        <v>2001</v>
      </c>
      <c r="AA201" s="168" t="str">
        <f t="shared" si="10"/>
        <v>CD09</v>
      </c>
      <c r="AB201" s="169">
        <f t="shared" ca="1" si="11"/>
        <v>45827</v>
      </c>
      <c r="AC201" s="1"/>
      <c r="AD201" s="1"/>
      <c r="AE201" s="1"/>
      <c r="AF201" s="1"/>
    </row>
    <row r="202" spans="1:32" ht="15" customHeight="1" x14ac:dyDescent="0.2">
      <c r="A202" s="170" t="str">
        <f t="shared" ref="A202:A265" si="12">D202&amp;E202</f>
        <v>MRC01</v>
      </c>
      <c r="B202" s="160" t="str">
        <f>IF(TABLAINV[[#This Row],[Z]]="","",D202&amp;"."&amp;TEXT(E202,"000")&amp;"."&amp;TEXT(F202,"000")&amp;"."&amp;TEXT(G202,"000"))</f>
        <v>MR.C01.159.001</v>
      </c>
      <c r="C202" s="161"/>
      <c r="D202" s="162" t="s">
        <v>95</v>
      </c>
      <c r="E202" s="162" t="s">
        <v>96</v>
      </c>
      <c r="F202" s="162">
        <v>159</v>
      </c>
      <c r="G202" s="162">
        <v>1</v>
      </c>
      <c r="H202" s="162">
        <v>757474</v>
      </c>
      <c r="I202" s="162" t="s">
        <v>290</v>
      </c>
      <c r="J202" s="171">
        <v>3</v>
      </c>
      <c r="K202" s="162" t="s">
        <v>64</v>
      </c>
      <c r="L202" s="163" t="s">
        <v>115</v>
      </c>
      <c r="M202" s="162" t="s">
        <v>99</v>
      </c>
      <c r="N202" s="161" t="s">
        <v>91</v>
      </c>
      <c r="O202" s="161">
        <v>3</v>
      </c>
      <c r="P202" s="163">
        <v>3</v>
      </c>
      <c r="Q202" s="163"/>
      <c r="R202" s="162"/>
      <c r="S202" s="164">
        <f>TABLAINV[[#This Row],[Conteo Físico]]-TABLAINV[[#This Row],[Cant. UND]]</f>
        <v>0</v>
      </c>
      <c r="T20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2" s="165" t="str">
        <f>IFERROR(IF(MOD(TABLAINV[[#This Row],[C]],2)=0,"PAR","IMPAR"),"Zona")</f>
        <v>IMPAR</v>
      </c>
      <c r="W202" s="166"/>
      <c r="X202" s="167">
        <f>IFERROR(IF(TABLAINV[[#This Row],[Cant. UND]]=0,TABLAINV[[#This Row],[PMV]]*TABLAINV[[#This Row],[Conteo Físico]],TABLAINV[[#This Row],[PMV]]*TABLAINV[[#This Row],[Cant. UND]]),0)</f>
        <v>0</v>
      </c>
      <c r="Y202" s="167">
        <f>IFERROR(ABS(TABLAINV[[#This Row],[PMV]]*TABLAINV[[#This Row],[Diferencia]]),0)</f>
        <v>0</v>
      </c>
      <c r="Z202" s="168">
        <f>IFERROR(VLOOKUP(TABLAINV[[#This Row],[Codigo Estado]],unds!O:P,2,0),"PEND.")</f>
        <v>2001</v>
      </c>
      <c r="AA202" s="168" t="str">
        <f t="shared" ref="AA202:AA265" si="13">$AA$1</f>
        <v>CD09</v>
      </c>
      <c r="AB202" s="169">
        <f t="shared" ref="AB202:AB265" ca="1" si="14">TODAY()</f>
        <v>45827</v>
      </c>
      <c r="AC202" s="1"/>
      <c r="AD202" s="1"/>
      <c r="AE202" s="1"/>
      <c r="AF202" s="1"/>
    </row>
    <row r="203" spans="1:32" ht="15" customHeight="1" x14ac:dyDescent="0.2">
      <c r="A203" s="170" t="str">
        <f t="shared" si="12"/>
        <v>MRC01</v>
      </c>
      <c r="B203" s="160" t="str">
        <f>IF(TABLAINV[[#This Row],[Z]]="","",D203&amp;"."&amp;TEXT(E203,"000")&amp;"."&amp;TEXT(F203,"000")&amp;"."&amp;TEXT(G203,"000"))</f>
        <v>MR.C01.159.002</v>
      </c>
      <c r="C203" s="161"/>
      <c r="D203" s="162" t="s">
        <v>95</v>
      </c>
      <c r="E203" s="162" t="s">
        <v>96</v>
      </c>
      <c r="F203" s="162">
        <v>159</v>
      </c>
      <c r="G203" s="162">
        <v>2</v>
      </c>
      <c r="H203" s="162">
        <v>402730</v>
      </c>
      <c r="I203" s="162" t="s">
        <v>291</v>
      </c>
      <c r="J203" s="171">
        <v>6</v>
      </c>
      <c r="K203" s="162" t="s">
        <v>64</v>
      </c>
      <c r="L203" s="163" t="s">
        <v>98</v>
      </c>
      <c r="M203" s="162" t="s">
        <v>99</v>
      </c>
      <c r="N203" s="161" t="s">
        <v>91</v>
      </c>
      <c r="O203" s="161">
        <v>6</v>
      </c>
      <c r="P203" s="163">
        <v>6</v>
      </c>
      <c r="Q203" s="163"/>
      <c r="R203" s="162"/>
      <c r="S203" s="164">
        <f>TABLAINV[[#This Row],[Conteo Físico]]-TABLAINV[[#This Row],[Cant. UND]]</f>
        <v>0</v>
      </c>
      <c r="T20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3" s="165" t="str">
        <f>IFERROR(IF(MOD(TABLAINV[[#This Row],[C]],2)=0,"PAR","IMPAR"),"Zona")</f>
        <v>IMPAR</v>
      </c>
      <c r="W203" s="166"/>
      <c r="X203" s="167">
        <f>IFERROR(IF(TABLAINV[[#This Row],[Cant. UND]]=0,TABLAINV[[#This Row],[PMV]]*TABLAINV[[#This Row],[Conteo Físico]],TABLAINV[[#This Row],[PMV]]*TABLAINV[[#This Row],[Cant. UND]]),0)</f>
        <v>0</v>
      </c>
      <c r="Y203" s="167">
        <f>IFERROR(ABS(TABLAINV[[#This Row],[PMV]]*TABLAINV[[#This Row],[Diferencia]]),0)</f>
        <v>0</v>
      </c>
      <c r="Z203" s="168">
        <f>IFERROR(VLOOKUP(TABLAINV[[#This Row],[Codigo Estado]],unds!O:P,2,0),"PEND.")</f>
        <v>2001</v>
      </c>
      <c r="AA203" s="168" t="str">
        <f t="shared" si="13"/>
        <v>CD09</v>
      </c>
      <c r="AB203" s="169">
        <f t="shared" ca="1" si="14"/>
        <v>45827</v>
      </c>
      <c r="AC203" s="1"/>
      <c r="AD203" s="1"/>
      <c r="AE203" s="1"/>
      <c r="AF203" s="1"/>
    </row>
    <row r="204" spans="1:32" ht="15" customHeight="1" x14ac:dyDescent="0.2">
      <c r="A204" s="170" t="str">
        <f t="shared" si="12"/>
        <v>MRC01</v>
      </c>
      <c r="B204" s="160" t="str">
        <f>IF(TABLAINV[[#This Row],[Z]]="","",D204&amp;"."&amp;TEXT(E204,"000")&amp;"."&amp;TEXT(F204,"000")&amp;"."&amp;TEXT(G204,"000"))</f>
        <v>MR.C01.159.002</v>
      </c>
      <c r="C204" s="161"/>
      <c r="D204" s="162" t="s">
        <v>95</v>
      </c>
      <c r="E204" s="162" t="s">
        <v>96</v>
      </c>
      <c r="F204" s="162">
        <v>159</v>
      </c>
      <c r="G204" s="162">
        <v>2</v>
      </c>
      <c r="H204" s="162">
        <v>755916</v>
      </c>
      <c r="I204" s="162" t="s">
        <v>292</v>
      </c>
      <c r="J204" s="171">
        <v>72</v>
      </c>
      <c r="K204" s="162" t="s">
        <v>64</v>
      </c>
      <c r="L204" s="163" t="s">
        <v>113</v>
      </c>
      <c r="M204" s="162" t="s">
        <v>99</v>
      </c>
      <c r="N204" s="161" t="s">
        <v>91</v>
      </c>
      <c r="O204" s="161">
        <v>72</v>
      </c>
      <c r="P204" s="163">
        <v>72</v>
      </c>
      <c r="Q204" s="163"/>
      <c r="R204" s="162"/>
      <c r="S204" s="164">
        <f>TABLAINV[[#This Row],[Conteo Físico]]-TABLAINV[[#This Row],[Cant. UND]]</f>
        <v>0</v>
      </c>
      <c r="T20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4" s="165" t="str">
        <f>IFERROR(IF(MOD(TABLAINV[[#This Row],[C]],2)=0,"PAR","IMPAR"),"Zona")</f>
        <v>IMPAR</v>
      </c>
      <c r="W204" s="166"/>
      <c r="X204" s="167">
        <f>IFERROR(IF(TABLAINV[[#This Row],[Cant. UND]]=0,TABLAINV[[#This Row],[PMV]]*TABLAINV[[#This Row],[Conteo Físico]],TABLAINV[[#This Row],[PMV]]*TABLAINV[[#This Row],[Cant. UND]]),0)</f>
        <v>0</v>
      </c>
      <c r="Y204" s="167">
        <f>IFERROR(ABS(TABLAINV[[#This Row],[PMV]]*TABLAINV[[#This Row],[Diferencia]]),0)</f>
        <v>0</v>
      </c>
      <c r="Z204" s="168">
        <f>IFERROR(VLOOKUP(TABLAINV[[#This Row],[Codigo Estado]],unds!O:P,2,0),"PEND.")</f>
        <v>2001</v>
      </c>
      <c r="AA204" s="168" t="str">
        <f t="shared" si="13"/>
        <v>CD09</v>
      </c>
      <c r="AB204" s="169">
        <f t="shared" ca="1" si="14"/>
        <v>45827</v>
      </c>
      <c r="AC204" s="1"/>
      <c r="AD204" s="1"/>
      <c r="AE204" s="1"/>
      <c r="AF204" s="1"/>
    </row>
    <row r="205" spans="1:32" ht="15" customHeight="1" x14ac:dyDescent="0.2">
      <c r="A205" s="170" t="str">
        <f t="shared" si="12"/>
        <v>MRC01</v>
      </c>
      <c r="B205" s="160" t="str">
        <f>IF(TABLAINV[[#This Row],[Z]]="","",D205&amp;"."&amp;TEXT(E205,"000")&amp;"."&amp;TEXT(F205,"000")&amp;"."&amp;TEXT(G205,"000"))</f>
        <v>MR.C01.159.003</v>
      </c>
      <c r="C205" s="161"/>
      <c r="D205" s="162" t="s">
        <v>95</v>
      </c>
      <c r="E205" s="162" t="s">
        <v>96</v>
      </c>
      <c r="F205" s="162">
        <v>159</v>
      </c>
      <c r="G205" s="162">
        <v>3</v>
      </c>
      <c r="H205" s="162">
        <v>533047005</v>
      </c>
      <c r="I205" s="162" t="s">
        <v>293</v>
      </c>
      <c r="J205" s="171">
        <v>39</v>
      </c>
      <c r="K205" s="162" t="s">
        <v>64</v>
      </c>
      <c r="L205" s="163" t="s">
        <v>108</v>
      </c>
      <c r="M205" s="162" t="s">
        <v>99</v>
      </c>
      <c r="N205" s="161" t="s">
        <v>91</v>
      </c>
      <c r="O205" s="161">
        <v>39</v>
      </c>
      <c r="P205" s="163">
        <v>39</v>
      </c>
      <c r="Q205" s="163"/>
      <c r="R205" s="162"/>
      <c r="S205" s="164">
        <f>TABLAINV[[#This Row],[Conteo Físico]]-TABLAINV[[#This Row],[Cant. UND]]</f>
        <v>0</v>
      </c>
      <c r="T20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5" s="165" t="str">
        <f>IFERROR(IF(MOD(TABLAINV[[#This Row],[C]],2)=0,"PAR","IMPAR"),"Zona")</f>
        <v>IMPAR</v>
      </c>
      <c r="W205" s="166"/>
      <c r="X205" s="167">
        <f>IFERROR(IF(TABLAINV[[#This Row],[Cant. UND]]=0,TABLAINV[[#This Row],[PMV]]*TABLAINV[[#This Row],[Conteo Físico]],TABLAINV[[#This Row],[PMV]]*TABLAINV[[#This Row],[Cant. UND]]),0)</f>
        <v>0</v>
      </c>
      <c r="Y205" s="167">
        <f>IFERROR(ABS(TABLAINV[[#This Row],[PMV]]*TABLAINV[[#This Row],[Diferencia]]),0)</f>
        <v>0</v>
      </c>
      <c r="Z205" s="168">
        <f>IFERROR(VLOOKUP(TABLAINV[[#This Row],[Codigo Estado]],unds!O:P,2,0),"PEND.")</f>
        <v>2001</v>
      </c>
      <c r="AA205" s="168" t="str">
        <f t="shared" si="13"/>
        <v>CD09</v>
      </c>
      <c r="AB205" s="169">
        <f t="shared" ca="1" si="14"/>
        <v>45827</v>
      </c>
      <c r="AC205" s="1"/>
      <c r="AD205" s="1"/>
      <c r="AE205" s="1"/>
      <c r="AF205" s="1"/>
    </row>
    <row r="206" spans="1:32" ht="15" customHeight="1" x14ac:dyDescent="0.2">
      <c r="A206" s="170" t="str">
        <f t="shared" si="12"/>
        <v>MRC01</v>
      </c>
      <c r="B206" s="160" t="str">
        <f>IF(TABLAINV[[#This Row],[Z]]="","",D206&amp;"."&amp;TEXT(E206,"000")&amp;"."&amp;TEXT(F206,"000")&amp;"."&amp;TEXT(G206,"000"))</f>
        <v>MR.C01.160.001</v>
      </c>
      <c r="C206" s="161"/>
      <c r="D206" s="162" t="s">
        <v>95</v>
      </c>
      <c r="E206" s="162" t="s">
        <v>96</v>
      </c>
      <c r="F206" s="162">
        <v>160</v>
      </c>
      <c r="G206" s="162">
        <v>1</v>
      </c>
      <c r="H206" s="162">
        <v>477090001</v>
      </c>
      <c r="I206" s="162" t="s">
        <v>294</v>
      </c>
      <c r="J206" s="171">
        <v>6</v>
      </c>
      <c r="K206" s="162" t="s">
        <v>64</v>
      </c>
      <c r="L206" s="163" t="s">
        <v>98</v>
      </c>
      <c r="M206" s="162" t="s">
        <v>99</v>
      </c>
      <c r="N206" s="161" t="s">
        <v>91</v>
      </c>
      <c r="O206" s="161">
        <v>6</v>
      </c>
      <c r="P206" s="163">
        <v>6</v>
      </c>
      <c r="Q206" s="163"/>
      <c r="R206" s="162"/>
      <c r="S206" s="164">
        <f>TABLAINV[[#This Row],[Conteo Físico]]-TABLAINV[[#This Row],[Cant. UND]]</f>
        <v>0</v>
      </c>
      <c r="T20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6" s="165" t="str">
        <f>IFERROR(IF(MOD(TABLAINV[[#This Row],[C]],2)=0,"PAR","IMPAR"),"Zona")</f>
        <v>PAR</v>
      </c>
      <c r="W206" s="166"/>
      <c r="X206" s="167">
        <f>IFERROR(IF(TABLAINV[[#This Row],[Cant. UND]]=0,TABLAINV[[#This Row],[PMV]]*TABLAINV[[#This Row],[Conteo Físico]],TABLAINV[[#This Row],[PMV]]*TABLAINV[[#This Row],[Cant. UND]]),0)</f>
        <v>0</v>
      </c>
      <c r="Y206" s="167">
        <f>IFERROR(ABS(TABLAINV[[#This Row],[PMV]]*TABLAINV[[#This Row],[Diferencia]]),0)</f>
        <v>0</v>
      </c>
      <c r="Z206" s="168">
        <f>IFERROR(VLOOKUP(TABLAINV[[#This Row],[Codigo Estado]],unds!O:P,2,0),"PEND.")</f>
        <v>2001</v>
      </c>
      <c r="AA206" s="168" t="str">
        <f t="shared" si="13"/>
        <v>CD09</v>
      </c>
      <c r="AB206" s="169">
        <f t="shared" ca="1" si="14"/>
        <v>45827</v>
      </c>
      <c r="AC206" s="1"/>
      <c r="AD206" s="1"/>
      <c r="AE206" s="1"/>
      <c r="AF206" s="1"/>
    </row>
    <row r="207" spans="1:32" ht="15" customHeight="1" x14ac:dyDescent="0.2">
      <c r="A207" s="170" t="str">
        <f t="shared" si="12"/>
        <v>MRC01</v>
      </c>
      <c r="B207" s="160" t="str">
        <f>IF(TABLAINV[[#This Row],[Z]]="","",D207&amp;"."&amp;TEXT(E207,"000")&amp;"."&amp;TEXT(F207,"000")&amp;"."&amp;TEXT(G207,"000"))</f>
        <v>MR.C01.160.002</v>
      </c>
      <c r="C207" s="161"/>
      <c r="D207" s="162" t="s">
        <v>95</v>
      </c>
      <c r="E207" s="162" t="s">
        <v>96</v>
      </c>
      <c r="F207" s="162">
        <v>160</v>
      </c>
      <c r="G207" s="162">
        <v>2</v>
      </c>
      <c r="H207" s="162">
        <v>355397</v>
      </c>
      <c r="I207" s="162" t="s">
        <v>295</v>
      </c>
      <c r="J207" s="171">
        <v>36</v>
      </c>
      <c r="K207" s="162" t="s">
        <v>64</v>
      </c>
      <c r="L207" s="163" t="s">
        <v>113</v>
      </c>
      <c r="M207" s="162" t="s">
        <v>99</v>
      </c>
      <c r="N207" s="161" t="s">
        <v>91</v>
      </c>
      <c r="O207" s="161">
        <v>36</v>
      </c>
      <c r="P207" s="163">
        <v>36</v>
      </c>
      <c r="Q207" s="163"/>
      <c r="R207" s="162"/>
      <c r="S207" s="164">
        <f>TABLAINV[[#This Row],[Conteo Físico]]-TABLAINV[[#This Row],[Cant. UND]]</f>
        <v>0</v>
      </c>
      <c r="T20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7" s="165" t="str">
        <f>IFERROR(IF(MOD(TABLAINV[[#This Row],[C]],2)=0,"PAR","IMPAR"),"Zona")</f>
        <v>PAR</v>
      </c>
      <c r="W207" s="166"/>
      <c r="X207" s="167">
        <f>IFERROR(IF(TABLAINV[[#This Row],[Cant. UND]]=0,TABLAINV[[#This Row],[PMV]]*TABLAINV[[#This Row],[Conteo Físico]],TABLAINV[[#This Row],[PMV]]*TABLAINV[[#This Row],[Cant. UND]]),0)</f>
        <v>0</v>
      </c>
      <c r="Y207" s="167">
        <f>IFERROR(ABS(TABLAINV[[#This Row],[PMV]]*TABLAINV[[#This Row],[Diferencia]]),0)</f>
        <v>0</v>
      </c>
      <c r="Z207" s="168">
        <f>IFERROR(VLOOKUP(TABLAINV[[#This Row],[Codigo Estado]],unds!O:P,2,0),"PEND.")</f>
        <v>2001</v>
      </c>
      <c r="AA207" s="168" t="str">
        <f t="shared" si="13"/>
        <v>CD09</v>
      </c>
      <c r="AB207" s="169">
        <f t="shared" ca="1" si="14"/>
        <v>45827</v>
      </c>
      <c r="AC207" s="1"/>
      <c r="AD207" s="1"/>
      <c r="AE207" s="1"/>
      <c r="AF207" s="1"/>
    </row>
    <row r="208" spans="1:32" ht="15" customHeight="1" x14ac:dyDescent="0.2">
      <c r="A208" s="170" t="str">
        <f t="shared" si="12"/>
        <v>MRC01</v>
      </c>
      <c r="B208" s="160" t="str">
        <f>IF(TABLAINV[[#This Row],[Z]]="","",D208&amp;"."&amp;TEXT(E208,"000")&amp;"."&amp;TEXT(F208,"000")&amp;"."&amp;TEXT(G208,"000"))</f>
        <v>MR.C01.160.002</v>
      </c>
      <c r="C208" s="161"/>
      <c r="D208" s="162" t="s">
        <v>95</v>
      </c>
      <c r="E208" s="162" t="s">
        <v>96</v>
      </c>
      <c r="F208" s="162">
        <v>160</v>
      </c>
      <c r="G208" s="162">
        <v>2</v>
      </c>
      <c r="H208" s="162">
        <v>451983</v>
      </c>
      <c r="I208" s="162" t="s">
        <v>296</v>
      </c>
      <c r="J208" s="171">
        <v>18</v>
      </c>
      <c r="K208" s="162" t="s">
        <v>64</v>
      </c>
      <c r="L208" s="163" t="s">
        <v>98</v>
      </c>
      <c r="M208" s="162" t="s">
        <v>99</v>
      </c>
      <c r="N208" s="161" t="s">
        <v>91</v>
      </c>
      <c r="O208" s="161">
        <v>18</v>
      </c>
      <c r="P208" s="163">
        <v>18</v>
      </c>
      <c r="Q208" s="163"/>
      <c r="R208" s="162"/>
      <c r="S208" s="164">
        <f>TABLAINV[[#This Row],[Conteo Físico]]-TABLAINV[[#This Row],[Cant. UND]]</f>
        <v>0</v>
      </c>
      <c r="T20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8" s="165" t="str">
        <f>IFERROR(IF(MOD(TABLAINV[[#This Row],[C]],2)=0,"PAR","IMPAR"),"Zona")</f>
        <v>PAR</v>
      </c>
      <c r="W208" s="166"/>
      <c r="X208" s="167">
        <f>IFERROR(IF(TABLAINV[[#This Row],[Cant. UND]]=0,TABLAINV[[#This Row],[PMV]]*TABLAINV[[#This Row],[Conteo Físico]],TABLAINV[[#This Row],[PMV]]*TABLAINV[[#This Row],[Cant. UND]]),0)</f>
        <v>0</v>
      </c>
      <c r="Y208" s="167">
        <f>IFERROR(ABS(TABLAINV[[#This Row],[PMV]]*TABLAINV[[#This Row],[Diferencia]]),0)</f>
        <v>0</v>
      </c>
      <c r="Z208" s="168">
        <f>IFERROR(VLOOKUP(TABLAINV[[#This Row],[Codigo Estado]],unds!O:P,2,0),"PEND.")</f>
        <v>2001</v>
      </c>
      <c r="AA208" s="168" t="str">
        <f t="shared" si="13"/>
        <v>CD09</v>
      </c>
      <c r="AB208" s="169">
        <f t="shared" ca="1" si="14"/>
        <v>45827</v>
      </c>
      <c r="AC208" s="1"/>
      <c r="AD208" s="1"/>
      <c r="AE208" s="1"/>
      <c r="AF208" s="1"/>
    </row>
    <row r="209" spans="1:32" ht="15" customHeight="1" x14ac:dyDescent="0.2">
      <c r="A209" s="170" t="str">
        <f t="shared" si="12"/>
        <v>MRC01</v>
      </c>
      <c r="B209" s="160" t="str">
        <f>IF(TABLAINV[[#This Row],[Z]]="","",D209&amp;"."&amp;TEXT(E209,"000")&amp;"."&amp;TEXT(F209,"000")&amp;"."&amp;TEXT(G209,"000"))</f>
        <v>MR.C01.160.002</v>
      </c>
      <c r="C209" s="161"/>
      <c r="D209" s="162" t="s">
        <v>95</v>
      </c>
      <c r="E209" s="162" t="s">
        <v>96</v>
      </c>
      <c r="F209" s="162">
        <v>160</v>
      </c>
      <c r="G209" s="162">
        <v>2</v>
      </c>
      <c r="H209" s="162">
        <v>49463003</v>
      </c>
      <c r="I209" s="162" t="s">
        <v>297</v>
      </c>
      <c r="J209" s="171">
        <v>3</v>
      </c>
      <c r="K209" s="162" t="s">
        <v>64</v>
      </c>
      <c r="L209" s="163" t="s">
        <v>115</v>
      </c>
      <c r="M209" s="162" t="s">
        <v>99</v>
      </c>
      <c r="N209" s="161" t="s">
        <v>91</v>
      </c>
      <c r="O209" s="161">
        <v>3</v>
      </c>
      <c r="P209" s="163">
        <v>3</v>
      </c>
      <c r="Q209" s="163"/>
      <c r="R209" s="162"/>
      <c r="S209" s="164">
        <f>TABLAINV[[#This Row],[Conteo Físico]]-TABLAINV[[#This Row],[Cant. UND]]</f>
        <v>0</v>
      </c>
      <c r="T20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0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09" s="165" t="str">
        <f>IFERROR(IF(MOD(TABLAINV[[#This Row],[C]],2)=0,"PAR","IMPAR"),"Zona")</f>
        <v>PAR</v>
      </c>
      <c r="W209" s="166"/>
      <c r="X209" s="167">
        <f>IFERROR(IF(TABLAINV[[#This Row],[Cant. UND]]=0,TABLAINV[[#This Row],[PMV]]*TABLAINV[[#This Row],[Conteo Físico]],TABLAINV[[#This Row],[PMV]]*TABLAINV[[#This Row],[Cant. UND]]),0)</f>
        <v>0</v>
      </c>
      <c r="Y209" s="167">
        <f>IFERROR(ABS(TABLAINV[[#This Row],[PMV]]*TABLAINV[[#This Row],[Diferencia]]),0)</f>
        <v>0</v>
      </c>
      <c r="Z209" s="168">
        <f>IFERROR(VLOOKUP(TABLAINV[[#This Row],[Codigo Estado]],unds!O:P,2,0),"PEND.")</f>
        <v>2001</v>
      </c>
      <c r="AA209" s="168" t="str">
        <f t="shared" si="13"/>
        <v>CD09</v>
      </c>
      <c r="AB209" s="169">
        <f t="shared" ca="1" si="14"/>
        <v>45827</v>
      </c>
      <c r="AC209" s="1"/>
      <c r="AD209" s="1"/>
      <c r="AE209" s="1"/>
      <c r="AF209" s="1"/>
    </row>
    <row r="210" spans="1:32" ht="15" customHeight="1" x14ac:dyDescent="0.2">
      <c r="A210" s="170" t="str">
        <f t="shared" si="12"/>
        <v>MRC01</v>
      </c>
      <c r="B210" s="160" t="str">
        <f>IF(TABLAINV[[#This Row],[Z]]="","",D210&amp;"."&amp;TEXT(E210,"000")&amp;"."&amp;TEXT(F210,"000")&amp;"."&amp;TEXT(G210,"000"))</f>
        <v>MR.C01.160.002</v>
      </c>
      <c r="C210" s="161"/>
      <c r="D210" s="162" t="s">
        <v>95</v>
      </c>
      <c r="E210" s="162" t="s">
        <v>96</v>
      </c>
      <c r="F210" s="162">
        <v>160</v>
      </c>
      <c r="G210" s="162">
        <v>2</v>
      </c>
      <c r="H210" s="162">
        <v>768637002</v>
      </c>
      <c r="I210" s="162" t="s">
        <v>298</v>
      </c>
      <c r="J210" s="171">
        <v>6</v>
      </c>
      <c r="K210" s="162" t="s">
        <v>64</v>
      </c>
      <c r="L210" s="163" t="s">
        <v>98</v>
      </c>
      <c r="M210" s="162" t="s">
        <v>99</v>
      </c>
      <c r="N210" s="161" t="s">
        <v>91</v>
      </c>
      <c r="O210" s="161">
        <v>6</v>
      </c>
      <c r="P210" s="163">
        <v>6</v>
      </c>
      <c r="Q210" s="163"/>
      <c r="R210" s="162"/>
      <c r="S210" s="164">
        <f>TABLAINV[[#This Row],[Conteo Físico]]-TABLAINV[[#This Row],[Cant. UND]]</f>
        <v>0</v>
      </c>
      <c r="T21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0" s="165" t="str">
        <f>IFERROR(IF(MOD(TABLAINV[[#This Row],[C]],2)=0,"PAR","IMPAR"),"Zona")</f>
        <v>PAR</v>
      </c>
      <c r="W210" s="166"/>
      <c r="X210" s="167">
        <f>IFERROR(IF(TABLAINV[[#This Row],[Cant. UND]]=0,TABLAINV[[#This Row],[PMV]]*TABLAINV[[#This Row],[Conteo Físico]],TABLAINV[[#This Row],[PMV]]*TABLAINV[[#This Row],[Cant. UND]]),0)</f>
        <v>0</v>
      </c>
      <c r="Y210" s="167">
        <f>IFERROR(ABS(TABLAINV[[#This Row],[PMV]]*TABLAINV[[#This Row],[Diferencia]]),0)</f>
        <v>0</v>
      </c>
      <c r="Z210" s="168">
        <f>IFERROR(VLOOKUP(TABLAINV[[#This Row],[Codigo Estado]],unds!O:P,2,0),"PEND.")</f>
        <v>2001</v>
      </c>
      <c r="AA210" s="168" t="str">
        <f t="shared" si="13"/>
        <v>CD09</v>
      </c>
      <c r="AB210" s="169">
        <f t="shared" ca="1" si="14"/>
        <v>45827</v>
      </c>
      <c r="AC210" s="1"/>
      <c r="AD210" s="1"/>
      <c r="AE210" s="1"/>
      <c r="AF210" s="1"/>
    </row>
    <row r="211" spans="1:32" ht="15" customHeight="1" x14ac:dyDescent="0.2">
      <c r="A211" s="170" t="str">
        <f t="shared" si="12"/>
        <v>MRC01</v>
      </c>
      <c r="B211" s="160" t="str">
        <f>IF(TABLAINV[[#This Row],[Z]]="","",D211&amp;"."&amp;TEXT(E211,"000")&amp;"."&amp;TEXT(F211,"000")&amp;"."&amp;TEXT(G211,"000"))</f>
        <v>MR.C01.160.002</v>
      </c>
      <c r="C211" s="161"/>
      <c r="D211" s="162" t="s">
        <v>95</v>
      </c>
      <c r="E211" s="162" t="s">
        <v>96</v>
      </c>
      <c r="F211" s="162">
        <v>160</v>
      </c>
      <c r="G211" s="162">
        <v>2</v>
      </c>
      <c r="H211" s="162">
        <v>771246</v>
      </c>
      <c r="I211" s="162" t="s">
        <v>299</v>
      </c>
      <c r="J211" s="171">
        <v>4</v>
      </c>
      <c r="K211" s="162" t="s">
        <v>64</v>
      </c>
      <c r="L211" s="163" t="s">
        <v>184</v>
      </c>
      <c r="M211" s="162" t="s">
        <v>99</v>
      </c>
      <c r="N211" s="161" t="s">
        <v>91</v>
      </c>
      <c r="O211" s="161">
        <v>4</v>
      </c>
      <c r="P211" s="163">
        <v>4</v>
      </c>
      <c r="Q211" s="163"/>
      <c r="R211" s="162"/>
      <c r="S211" s="164">
        <f>TABLAINV[[#This Row],[Conteo Físico]]-TABLAINV[[#This Row],[Cant. UND]]</f>
        <v>0</v>
      </c>
      <c r="T21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1" s="165" t="str">
        <f>IFERROR(IF(MOD(TABLAINV[[#This Row],[C]],2)=0,"PAR","IMPAR"),"Zona")</f>
        <v>PAR</v>
      </c>
      <c r="W211" s="166"/>
      <c r="X211" s="167">
        <f>IFERROR(IF(TABLAINV[[#This Row],[Cant. UND]]=0,TABLAINV[[#This Row],[PMV]]*TABLAINV[[#This Row],[Conteo Físico]],TABLAINV[[#This Row],[PMV]]*TABLAINV[[#This Row],[Cant. UND]]),0)</f>
        <v>0</v>
      </c>
      <c r="Y211" s="167">
        <f>IFERROR(ABS(TABLAINV[[#This Row],[PMV]]*TABLAINV[[#This Row],[Diferencia]]),0)</f>
        <v>0</v>
      </c>
      <c r="Z211" s="168">
        <f>IFERROR(VLOOKUP(TABLAINV[[#This Row],[Codigo Estado]],unds!O:P,2,0),"PEND.")</f>
        <v>2001</v>
      </c>
      <c r="AA211" s="168" t="str">
        <f t="shared" si="13"/>
        <v>CD09</v>
      </c>
      <c r="AB211" s="169">
        <f t="shared" ca="1" si="14"/>
        <v>45827</v>
      </c>
      <c r="AC211" s="1"/>
      <c r="AD211" s="1"/>
      <c r="AE211" s="1"/>
      <c r="AF211" s="1"/>
    </row>
    <row r="212" spans="1:32" ht="15" customHeight="1" x14ac:dyDescent="0.2">
      <c r="A212" s="170" t="str">
        <f t="shared" si="12"/>
        <v>MRC01</v>
      </c>
      <c r="B212" s="160" t="str">
        <f>IF(TABLAINV[[#This Row],[Z]]="","",D212&amp;"."&amp;TEXT(E212,"000")&amp;"."&amp;TEXT(F212,"000")&amp;"."&amp;TEXT(G212,"000"))</f>
        <v>MR.C01.160.003</v>
      </c>
      <c r="C212" s="161"/>
      <c r="D212" s="162" t="s">
        <v>95</v>
      </c>
      <c r="E212" s="162" t="s">
        <v>96</v>
      </c>
      <c r="F212" s="162">
        <v>160</v>
      </c>
      <c r="G212" s="162">
        <v>3</v>
      </c>
      <c r="H212" s="162">
        <v>1024530</v>
      </c>
      <c r="I212" s="162" t="s">
        <v>300</v>
      </c>
      <c r="J212" s="171">
        <v>1</v>
      </c>
      <c r="K212" s="162" t="s">
        <v>64</v>
      </c>
      <c r="L212" s="163" t="s">
        <v>212</v>
      </c>
      <c r="M212" s="162" t="s">
        <v>99</v>
      </c>
      <c r="N212" s="161" t="s">
        <v>91</v>
      </c>
      <c r="O212" s="161">
        <v>1</v>
      </c>
      <c r="P212" s="163">
        <v>1</v>
      </c>
      <c r="Q212" s="163"/>
      <c r="R212" s="162"/>
      <c r="S212" s="164">
        <f>TABLAINV[[#This Row],[Conteo Físico]]-TABLAINV[[#This Row],[Cant. UND]]</f>
        <v>0</v>
      </c>
      <c r="T21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2" s="165" t="str">
        <f>IFERROR(IF(MOD(TABLAINV[[#This Row],[C]],2)=0,"PAR","IMPAR"),"Zona")</f>
        <v>PAR</v>
      </c>
      <c r="W212" s="166"/>
      <c r="X212" s="167">
        <f>IFERROR(IF(TABLAINV[[#This Row],[Cant. UND]]=0,TABLAINV[[#This Row],[PMV]]*TABLAINV[[#This Row],[Conteo Físico]],TABLAINV[[#This Row],[PMV]]*TABLAINV[[#This Row],[Cant. UND]]),0)</f>
        <v>0</v>
      </c>
      <c r="Y212" s="167">
        <f>IFERROR(ABS(TABLAINV[[#This Row],[PMV]]*TABLAINV[[#This Row],[Diferencia]]),0)</f>
        <v>0</v>
      </c>
      <c r="Z212" s="168">
        <f>IFERROR(VLOOKUP(TABLAINV[[#This Row],[Codigo Estado]],unds!O:P,2,0),"PEND.")</f>
        <v>2001</v>
      </c>
      <c r="AA212" s="168" t="str">
        <f t="shared" si="13"/>
        <v>CD09</v>
      </c>
      <c r="AB212" s="169">
        <f t="shared" ca="1" si="14"/>
        <v>45827</v>
      </c>
      <c r="AC212" s="1"/>
      <c r="AD212" s="1"/>
      <c r="AE212" s="1"/>
      <c r="AF212" s="1"/>
    </row>
    <row r="213" spans="1:32" ht="15" customHeight="1" x14ac:dyDescent="0.2">
      <c r="A213" s="170" t="str">
        <f t="shared" si="12"/>
        <v>MRC01</v>
      </c>
      <c r="B213" s="160" t="str">
        <f>IF(TABLAINV[[#This Row],[Z]]="","",D213&amp;"."&amp;TEXT(E213,"000")&amp;"."&amp;TEXT(F213,"000")&amp;"."&amp;TEXT(G213,"000"))</f>
        <v>MR.C01.160.003</v>
      </c>
      <c r="C213" s="161"/>
      <c r="D213" s="162" t="s">
        <v>95</v>
      </c>
      <c r="E213" s="162" t="s">
        <v>96</v>
      </c>
      <c r="F213" s="162">
        <v>160</v>
      </c>
      <c r="G213" s="162">
        <v>3</v>
      </c>
      <c r="H213" s="162">
        <v>1031958</v>
      </c>
      <c r="I213" s="162" t="s">
        <v>301</v>
      </c>
      <c r="J213" s="171">
        <v>18</v>
      </c>
      <c r="K213" s="162" t="s">
        <v>64</v>
      </c>
      <c r="L213" s="163" t="s">
        <v>98</v>
      </c>
      <c r="M213" s="162" t="s">
        <v>99</v>
      </c>
      <c r="N213" s="161" t="s">
        <v>91</v>
      </c>
      <c r="O213" s="161">
        <v>18</v>
      </c>
      <c r="P213" s="163">
        <v>18</v>
      </c>
      <c r="Q213" s="163"/>
      <c r="R213" s="162"/>
      <c r="S213" s="164">
        <f>TABLAINV[[#This Row],[Conteo Físico]]-TABLAINV[[#This Row],[Cant. UND]]</f>
        <v>0</v>
      </c>
      <c r="T21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3" s="165" t="str">
        <f>IFERROR(IF(MOD(TABLAINV[[#This Row],[C]],2)=0,"PAR","IMPAR"),"Zona")</f>
        <v>PAR</v>
      </c>
      <c r="W213" s="166"/>
      <c r="X213" s="167">
        <f>IFERROR(IF(TABLAINV[[#This Row],[Cant. UND]]=0,TABLAINV[[#This Row],[PMV]]*TABLAINV[[#This Row],[Conteo Físico]],TABLAINV[[#This Row],[PMV]]*TABLAINV[[#This Row],[Cant. UND]]),0)</f>
        <v>0</v>
      </c>
      <c r="Y213" s="167">
        <f>IFERROR(ABS(TABLAINV[[#This Row],[PMV]]*TABLAINV[[#This Row],[Diferencia]]),0)</f>
        <v>0</v>
      </c>
      <c r="Z213" s="168">
        <f>IFERROR(VLOOKUP(TABLAINV[[#This Row],[Codigo Estado]],unds!O:P,2,0),"PEND.")</f>
        <v>2001</v>
      </c>
      <c r="AA213" s="168" t="str">
        <f t="shared" si="13"/>
        <v>CD09</v>
      </c>
      <c r="AB213" s="169">
        <f t="shared" ca="1" si="14"/>
        <v>45827</v>
      </c>
      <c r="AC213" s="1"/>
      <c r="AD213" s="1"/>
      <c r="AE213" s="1"/>
      <c r="AF213" s="1"/>
    </row>
    <row r="214" spans="1:32" ht="15" customHeight="1" x14ac:dyDescent="0.2">
      <c r="A214" s="170" t="str">
        <f t="shared" si="12"/>
        <v>MRC01</v>
      </c>
      <c r="B214" s="160" t="str">
        <f>IF(TABLAINV[[#This Row],[Z]]="","",D214&amp;"."&amp;TEXT(E214,"000")&amp;"."&amp;TEXT(F214,"000")&amp;"."&amp;TEXT(G214,"000"))</f>
        <v>MR.C01.160.003</v>
      </c>
      <c r="C214" s="161"/>
      <c r="D214" s="162" t="s">
        <v>95</v>
      </c>
      <c r="E214" s="162" t="s">
        <v>96</v>
      </c>
      <c r="F214" s="162">
        <v>160</v>
      </c>
      <c r="G214" s="162">
        <v>3</v>
      </c>
      <c r="H214" s="162">
        <v>23494</v>
      </c>
      <c r="I214" s="162" t="s">
        <v>302</v>
      </c>
      <c r="J214" s="171">
        <v>10</v>
      </c>
      <c r="K214" s="162" t="s">
        <v>64</v>
      </c>
      <c r="L214" s="163" t="s">
        <v>212</v>
      </c>
      <c r="M214" s="162" t="s">
        <v>99</v>
      </c>
      <c r="N214" s="161" t="s">
        <v>91</v>
      </c>
      <c r="O214" s="161">
        <v>10</v>
      </c>
      <c r="P214" s="163">
        <v>10</v>
      </c>
      <c r="Q214" s="163"/>
      <c r="R214" s="162"/>
      <c r="S214" s="164">
        <f>TABLAINV[[#This Row],[Conteo Físico]]-TABLAINV[[#This Row],[Cant. UND]]</f>
        <v>0</v>
      </c>
      <c r="T21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4" s="165" t="str">
        <f>IFERROR(IF(MOD(TABLAINV[[#This Row],[C]],2)=0,"PAR","IMPAR"),"Zona")</f>
        <v>PAR</v>
      </c>
      <c r="W214" s="166"/>
      <c r="X214" s="167">
        <f>IFERROR(IF(TABLAINV[[#This Row],[Cant. UND]]=0,TABLAINV[[#This Row],[PMV]]*TABLAINV[[#This Row],[Conteo Físico]],TABLAINV[[#This Row],[PMV]]*TABLAINV[[#This Row],[Cant. UND]]),0)</f>
        <v>0</v>
      </c>
      <c r="Y214" s="167">
        <f>IFERROR(ABS(TABLAINV[[#This Row],[PMV]]*TABLAINV[[#This Row],[Diferencia]]),0)</f>
        <v>0</v>
      </c>
      <c r="Z214" s="168">
        <f>IFERROR(VLOOKUP(TABLAINV[[#This Row],[Codigo Estado]],unds!O:P,2,0),"PEND.")</f>
        <v>2001</v>
      </c>
      <c r="AA214" s="168" t="str">
        <f t="shared" si="13"/>
        <v>CD09</v>
      </c>
      <c r="AB214" s="169">
        <f t="shared" ca="1" si="14"/>
        <v>45827</v>
      </c>
      <c r="AC214" s="1"/>
      <c r="AD214" s="1"/>
      <c r="AE214" s="1"/>
      <c r="AF214" s="1"/>
    </row>
    <row r="215" spans="1:32" ht="15" customHeight="1" x14ac:dyDescent="0.2">
      <c r="A215" s="170" t="str">
        <f t="shared" si="12"/>
        <v>MRC01</v>
      </c>
      <c r="B215" s="160" t="str">
        <f>IF(TABLAINV[[#This Row],[Z]]="","",D215&amp;"."&amp;TEXT(E215,"000")&amp;"."&amp;TEXT(F215,"000")&amp;"."&amp;TEXT(G215,"000"))</f>
        <v>MR.C01.160.003</v>
      </c>
      <c r="C215" s="161"/>
      <c r="D215" s="162" t="s">
        <v>95</v>
      </c>
      <c r="E215" s="162" t="s">
        <v>96</v>
      </c>
      <c r="F215" s="162">
        <v>160</v>
      </c>
      <c r="G215" s="162">
        <v>3</v>
      </c>
      <c r="H215" s="162">
        <v>357712</v>
      </c>
      <c r="I215" s="162" t="s">
        <v>303</v>
      </c>
      <c r="J215" s="171">
        <v>12</v>
      </c>
      <c r="K215" s="162" t="s">
        <v>64</v>
      </c>
      <c r="L215" s="163" t="s">
        <v>221</v>
      </c>
      <c r="M215" s="162" t="s">
        <v>99</v>
      </c>
      <c r="N215" s="161" t="s">
        <v>91</v>
      </c>
      <c r="O215" s="161">
        <v>12</v>
      </c>
      <c r="P215" s="163">
        <v>12</v>
      </c>
      <c r="Q215" s="163"/>
      <c r="R215" s="162"/>
      <c r="S215" s="164">
        <f>TABLAINV[[#This Row],[Conteo Físico]]-TABLAINV[[#This Row],[Cant. UND]]</f>
        <v>0</v>
      </c>
      <c r="T21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5" s="165" t="str">
        <f>IFERROR(IF(MOD(TABLAINV[[#This Row],[C]],2)=0,"PAR","IMPAR"),"Zona")</f>
        <v>PAR</v>
      </c>
      <c r="W215" s="166"/>
      <c r="X215" s="167">
        <f>IFERROR(IF(TABLAINV[[#This Row],[Cant. UND]]=0,TABLAINV[[#This Row],[PMV]]*TABLAINV[[#This Row],[Conteo Físico]],TABLAINV[[#This Row],[PMV]]*TABLAINV[[#This Row],[Cant. UND]]),0)</f>
        <v>0</v>
      </c>
      <c r="Y215" s="167">
        <f>IFERROR(ABS(TABLAINV[[#This Row],[PMV]]*TABLAINV[[#This Row],[Diferencia]]),0)</f>
        <v>0</v>
      </c>
      <c r="Z215" s="168">
        <f>IFERROR(VLOOKUP(TABLAINV[[#This Row],[Codigo Estado]],unds!O:P,2,0),"PEND.")</f>
        <v>2001</v>
      </c>
      <c r="AA215" s="168" t="str">
        <f t="shared" si="13"/>
        <v>CD09</v>
      </c>
      <c r="AB215" s="169">
        <f t="shared" ca="1" si="14"/>
        <v>45827</v>
      </c>
      <c r="AC215" s="1"/>
      <c r="AD215" s="1"/>
      <c r="AE215" s="1"/>
      <c r="AF215" s="1"/>
    </row>
    <row r="216" spans="1:32" ht="15" customHeight="1" x14ac:dyDescent="0.2">
      <c r="A216" s="170" t="str">
        <f t="shared" si="12"/>
        <v>MRC01</v>
      </c>
      <c r="B216" s="160" t="str">
        <f>IF(TABLAINV[[#This Row],[Z]]="","",D216&amp;"."&amp;TEXT(E216,"000")&amp;"."&amp;TEXT(F216,"000")&amp;"."&amp;TEXT(G216,"000"))</f>
        <v>MR.C01.160.003</v>
      </c>
      <c r="C216" s="161"/>
      <c r="D216" s="162" t="s">
        <v>95</v>
      </c>
      <c r="E216" s="162" t="s">
        <v>96</v>
      </c>
      <c r="F216" s="162">
        <v>160</v>
      </c>
      <c r="G216" s="162">
        <v>3</v>
      </c>
      <c r="H216" s="162">
        <v>531745</v>
      </c>
      <c r="I216" s="162" t="s">
        <v>304</v>
      </c>
      <c r="J216" s="171">
        <v>3</v>
      </c>
      <c r="K216" s="162" t="s">
        <v>64</v>
      </c>
      <c r="L216" s="163" t="s">
        <v>115</v>
      </c>
      <c r="M216" s="162" t="s">
        <v>99</v>
      </c>
      <c r="N216" s="161" t="s">
        <v>91</v>
      </c>
      <c r="O216" s="161">
        <v>3</v>
      </c>
      <c r="P216" s="163">
        <v>3</v>
      </c>
      <c r="Q216" s="163"/>
      <c r="R216" s="162"/>
      <c r="S216" s="164">
        <f>TABLAINV[[#This Row],[Conteo Físico]]-TABLAINV[[#This Row],[Cant. UND]]</f>
        <v>0</v>
      </c>
      <c r="T21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6" s="165" t="str">
        <f>IFERROR(IF(MOD(TABLAINV[[#This Row],[C]],2)=0,"PAR","IMPAR"),"Zona")</f>
        <v>PAR</v>
      </c>
      <c r="W216" s="166"/>
      <c r="X216" s="167">
        <f>IFERROR(IF(TABLAINV[[#This Row],[Cant. UND]]=0,TABLAINV[[#This Row],[PMV]]*TABLAINV[[#This Row],[Conteo Físico]],TABLAINV[[#This Row],[PMV]]*TABLAINV[[#This Row],[Cant. UND]]),0)</f>
        <v>0</v>
      </c>
      <c r="Y216" s="167">
        <f>IFERROR(ABS(TABLAINV[[#This Row],[PMV]]*TABLAINV[[#This Row],[Diferencia]]),0)</f>
        <v>0</v>
      </c>
      <c r="Z216" s="168">
        <f>IFERROR(VLOOKUP(TABLAINV[[#This Row],[Codigo Estado]],unds!O:P,2,0),"PEND.")</f>
        <v>2001</v>
      </c>
      <c r="AA216" s="168" t="str">
        <f t="shared" si="13"/>
        <v>CD09</v>
      </c>
      <c r="AB216" s="169">
        <f t="shared" ca="1" si="14"/>
        <v>45827</v>
      </c>
      <c r="AC216" s="1"/>
      <c r="AD216" s="1"/>
      <c r="AE216" s="1"/>
      <c r="AF216" s="1"/>
    </row>
    <row r="217" spans="1:32" ht="15" customHeight="1" x14ac:dyDescent="0.2">
      <c r="A217" s="170" t="str">
        <f t="shared" si="12"/>
        <v>MRC01</v>
      </c>
      <c r="B217" s="160" t="str">
        <f>IF(TABLAINV[[#This Row],[Z]]="","",D217&amp;"."&amp;TEXT(E217,"000")&amp;"."&amp;TEXT(F217,"000")&amp;"."&amp;TEXT(G217,"000"))</f>
        <v>MR.C01.160.003</v>
      </c>
      <c r="C217" s="161"/>
      <c r="D217" s="162" t="s">
        <v>95</v>
      </c>
      <c r="E217" s="162" t="s">
        <v>96</v>
      </c>
      <c r="F217" s="162">
        <v>160</v>
      </c>
      <c r="G217" s="162">
        <v>3</v>
      </c>
      <c r="H217" s="162">
        <v>768638002</v>
      </c>
      <c r="I217" s="162" t="s">
        <v>271</v>
      </c>
      <c r="J217" s="171">
        <v>3</v>
      </c>
      <c r="K217" s="162" t="s">
        <v>64</v>
      </c>
      <c r="L217" s="163" t="s">
        <v>212</v>
      </c>
      <c r="M217" s="162" t="s">
        <v>99</v>
      </c>
      <c r="N217" s="161" t="s">
        <v>91</v>
      </c>
      <c r="O217" s="161">
        <v>3</v>
      </c>
      <c r="P217" s="163">
        <v>3</v>
      </c>
      <c r="Q217" s="163"/>
      <c r="R217" s="162"/>
      <c r="S217" s="164">
        <f>TABLAINV[[#This Row],[Conteo Físico]]-TABLAINV[[#This Row],[Cant. UND]]</f>
        <v>0</v>
      </c>
      <c r="T21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7" s="165" t="str">
        <f>IFERROR(IF(MOD(TABLAINV[[#This Row],[C]],2)=0,"PAR","IMPAR"),"Zona")</f>
        <v>PAR</v>
      </c>
      <c r="W217" s="166"/>
      <c r="X217" s="167">
        <f>IFERROR(IF(TABLAINV[[#This Row],[Cant. UND]]=0,TABLAINV[[#This Row],[PMV]]*TABLAINV[[#This Row],[Conteo Físico]],TABLAINV[[#This Row],[PMV]]*TABLAINV[[#This Row],[Cant. UND]]),0)</f>
        <v>0</v>
      </c>
      <c r="Y217" s="167">
        <f>IFERROR(ABS(TABLAINV[[#This Row],[PMV]]*TABLAINV[[#This Row],[Diferencia]]),0)</f>
        <v>0</v>
      </c>
      <c r="Z217" s="168">
        <f>IFERROR(VLOOKUP(TABLAINV[[#This Row],[Codigo Estado]],unds!O:P,2,0),"PEND.")</f>
        <v>2001</v>
      </c>
      <c r="AA217" s="168" t="str">
        <f t="shared" si="13"/>
        <v>CD09</v>
      </c>
      <c r="AB217" s="169">
        <f t="shared" ca="1" si="14"/>
        <v>45827</v>
      </c>
      <c r="AC217" s="1"/>
      <c r="AD217" s="1"/>
      <c r="AE217" s="1"/>
      <c r="AF217" s="1"/>
    </row>
    <row r="218" spans="1:32" ht="15" customHeight="1" x14ac:dyDescent="0.2">
      <c r="A218" s="170" t="str">
        <f t="shared" si="12"/>
        <v>MRC01</v>
      </c>
      <c r="B218" s="160" t="str">
        <f>IF(TABLAINV[[#This Row],[Z]]="","",D218&amp;"."&amp;TEXT(E218,"000")&amp;"."&amp;TEXT(F218,"000")&amp;"."&amp;TEXT(G218,"000"))</f>
        <v>MR.C01.161.001</v>
      </c>
      <c r="C218" s="161"/>
      <c r="D218" s="162" t="s">
        <v>95</v>
      </c>
      <c r="E218" s="162" t="s">
        <v>96</v>
      </c>
      <c r="F218" s="162">
        <v>161</v>
      </c>
      <c r="G218" s="162">
        <v>1</v>
      </c>
      <c r="H218" s="162">
        <v>475903</v>
      </c>
      <c r="I218" s="162" t="s">
        <v>305</v>
      </c>
      <c r="J218" s="171">
        <v>6</v>
      </c>
      <c r="K218" s="162" t="s">
        <v>64</v>
      </c>
      <c r="L218" s="163" t="s">
        <v>98</v>
      </c>
      <c r="M218" s="162" t="s">
        <v>99</v>
      </c>
      <c r="N218" s="161" t="s">
        <v>91</v>
      </c>
      <c r="O218" s="161">
        <v>6</v>
      </c>
      <c r="P218" s="163">
        <v>6</v>
      </c>
      <c r="Q218" s="163"/>
      <c r="R218" s="162"/>
      <c r="S218" s="164">
        <f>TABLAINV[[#This Row],[Conteo Físico]]-TABLAINV[[#This Row],[Cant. UND]]</f>
        <v>0</v>
      </c>
      <c r="T21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8" s="165" t="str">
        <f>IFERROR(IF(MOD(TABLAINV[[#This Row],[C]],2)=0,"PAR","IMPAR"),"Zona")</f>
        <v>IMPAR</v>
      </c>
      <c r="W218" s="166"/>
      <c r="X218" s="167">
        <f>IFERROR(IF(TABLAINV[[#This Row],[Cant. UND]]=0,TABLAINV[[#This Row],[PMV]]*TABLAINV[[#This Row],[Conteo Físico]],TABLAINV[[#This Row],[PMV]]*TABLAINV[[#This Row],[Cant. UND]]),0)</f>
        <v>0</v>
      </c>
      <c r="Y218" s="167">
        <f>IFERROR(ABS(TABLAINV[[#This Row],[PMV]]*TABLAINV[[#This Row],[Diferencia]]),0)</f>
        <v>0</v>
      </c>
      <c r="Z218" s="168">
        <f>IFERROR(VLOOKUP(TABLAINV[[#This Row],[Codigo Estado]],unds!O:P,2,0),"PEND.")</f>
        <v>2001</v>
      </c>
      <c r="AA218" s="168" t="str">
        <f t="shared" si="13"/>
        <v>CD09</v>
      </c>
      <c r="AB218" s="169">
        <f t="shared" ca="1" si="14"/>
        <v>45827</v>
      </c>
      <c r="AC218" s="1"/>
      <c r="AD218" s="1"/>
      <c r="AE218" s="1"/>
      <c r="AF218" s="1"/>
    </row>
    <row r="219" spans="1:32" ht="15" customHeight="1" x14ac:dyDescent="0.2">
      <c r="A219" s="170" t="str">
        <f t="shared" si="12"/>
        <v>MRC01</v>
      </c>
      <c r="B219" s="160" t="str">
        <f>IF(TABLAINV[[#This Row],[Z]]="","",D219&amp;"."&amp;TEXT(E219,"000")&amp;"."&amp;TEXT(F219,"000")&amp;"."&amp;TEXT(G219,"000"))</f>
        <v>MR.C01.161.001</v>
      </c>
      <c r="C219" s="161"/>
      <c r="D219" s="162" t="s">
        <v>95</v>
      </c>
      <c r="E219" s="162" t="s">
        <v>96</v>
      </c>
      <c r="F219" s="162">
        <v>161</v>
      </c>
      <c r="G219" s="162">
        <v>1</v>
      </c>
      <c r="H219" s="162">
        <v>902578</v>
      </c>
      <c r="I219" s="162" t="s">
        <v>306</v>
      </c>
      <c r="J219" s="171">
        <v>3</v>
      </c>
      <c r="K219" s="162" t="s">
        <v>64</v>
      </c>
      <c r="L219" s="163" t="s">
        <v>115</v>
      </c>
      <c r="M219" s="162" t="s">
        <v>99</v>
      </c>
      <c r="N219" s="161" t="s">
        <v>91</v>
      </c>
      <c r="O219" s="161">
        <v>3</v>
      </c>
      <c r="P219" s="163">
        <v>3</v>
      </c>
      <c r="Q219" s="163"/>
      <c r="R219" s="162"/>
      <c r="S219" s="164">
        <f>TABLAINV[[#This Row],[Conteo Físico]]-TABLAINV[[#This Row],[Cant. UND]]</f>
        <v>0</v>
      </c>
      <c r="T21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1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19" s="165" t="str">
        <f>IFERROR(IF(MOD(TABLAINV[[#This Row],[C]],2)=0,"PAR","IMPAR"),"Zona")</f>
        <v>IMPAR</v>
      </c>
      <c r="W219" s="166"/>
      <c r="X219" s="167">
        <f>IFERROR(IF(TABLAINV[[#This Row],[Cant. UND]]=0,TABLAINV[[#This Row],[PMV]]*TABLAINV[[#This Row],[Conteo Físico]],TABLAINV[[#This Row],[PMV]]*TABLAINV[[#This Row],[Cant. UND]]),0)</f>
        <v>0</v>
      </c>
      <c r="Y219" s="167">
        <f>IFERROR(ABS(TABLAINV[[#This Row],[PMV]]*TABLAINV[[#This Row],[Diferencia]]),0)</f>
        <v>0</v>
      </c>
      <c r="Z219" s="168">
        <f>IFERROR(VLOOKUP(TABLAINV[[#This Row],[Codigo Estado]],unds!O:P,2,0),"PEND.")</f>
        <v>2001</v>
      </c>
      <c r="AA219" s="168" t="str">
        <f t="shared" si="13"/>
        <v>CD09</v>
      </c>
      <c r="AB219" s="169">
        <f t="shared" ca="1" si="14"/>
        <v>45827</v>
      </c>
      <c r="AC219" s="1"/>
      <c r="AD219" s="1"/>
      <c r="AE219" s="1"/>
      <c r="AF219" s="1"/>
    </row>
    <row r="220" spans="1:32" ht="15" customHeight="1" x14ac:dyDescent="0.2">
      <c r="A220" s="170" t="str">
        <f t="shared" si="12"/>
        <v>MRC01</v>
      </c>
      <c r="B220" s="160" t="str">
        <f>IF(TABLAINV[[#This Row],[Z]]="","",D220&amp;"."&amp;TEXT(E220,"000")&amp;"."&amp;TEXT(F220,"000")&amp;"."&amp;TEXT(G220,"000"))</f>
        <v>MR.C01.161.002</v>
      </c>
      <c r="C220" s="161"/>
      <c r="D220" s="162" t="s">
        <v>95</v>
      </c>
      <c r="E220" s="162" t="s">
        <v>96</v>
      </c>
      <c r="F220" s="162">
        <v>161</v>
      </c>
      <c r="G220" s="162">
        <v>2</v>
      </c>
      <c r="H220" s="162">
        <v>45959</v>
      </c>
      <c r="I220" s="162" t="s">
        <v>307</v>
      </c>
      <c r="J220" s="171">
        <v>12</v>
      </c>
      <c r="K220" s="162" t="s">
        <v>64</v>
      </c>
      <c r="L220" s="163" t="s">
        <v>308</v>
      </c>
      <c r="M220" s="162" t="s">
        <v>111</v>
      </c>
      <c r="N220" s="161" t="s">
        <v>91</v>
      </c>
      <c r="O220" s="161">
        <v>12</v>
      </c>
      <c r="P220" s="163">
        <v>12</v>
      </c>
      <c r="Q220" s="163"/>
      <c r="R220" s="162"/>
      <c r="S220" s="164">
        <f>TABLAINV[[#This Row],[Conteo Físico]]-TABLAINV[[#This Row],[Cant. UND]]</f>
        <v>0</v>
      </c>
      <c r="T22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0" s="165" t="str">
        <f>IFERROR(IF(MOD(TABLAINV[[#This Row],[C]],2)=0,"PAR","IMPAR"),"Zona")</f>
        <v>IMPAR</v>
      </c>
      <c r="W220" s="166"/>
      <c r="X220" s="167">
        <f>IFERROR(IF(TABLAINV[[#This Row],[Cant. UND]]=0,TABLAINV[[#This Row],[PMV]]*TABLAINV[[#This Row],[Conteo Físico]],TABLAINV[[#This Row],[PMV]]*TABLAINV[[#This Row],[Cant. UND]]),0)</f>
        <v>0</v>
      </c>
      <c r="Y220" s="167">
        <f>IFERROR(ABS(TABLAINV[[#This Row],[PMV]]*TABLAINV[[#This Row],[Diferencia]]),0)</f>
        <v>0</v>
      </c>
      <c r="Z220" s="168">
        <f>IFERROR(VLOOKUP(TABLAINV[[#This Row],[Codigo Estado]],unds!O:P,2,0),"PEND.")</f>
        <v>2001</v>
      </c>
      <c r="AA220" s="168" t="str">
        <f t="shared" si="13"/>
        <v>CD09</v>
      </c>
      <c r="AB220" s="169">
        <f t="shared" ca="1" si="14"/>
        <v>45827</v>
      </c>
      <c r="AC220" s="1"/>
      <c r="AD220" s="1"/>
      <c r="AE220" s="1"/>
      <c r="AF220" s="1"/>
    </row>
    <row r="221" spans="1:32" ht="15" customHeight="1" x14ac:dyDescent="0.2">
      <c r="A221" s="170" t="str">
        <f t="shared" si="12"/>
        <v>MRC01</v>
      </c>
      <c r="B221" s="160" t="str">
        <f>IF(TABLAINV[[#This Row],[Z]]="","",D221&amp;"."&amp;TEXT(E221,"000")&amp;"."&amp;TEXT(F221,"000")&amp;"."&amp;TEXT(G221,"000"))</f>
        <v>MR.C01.161.002</v>
      </c>
      <c r="C221" s="161"/>
      <c r="D221" s="162" t="s">
        <v>95</v>
      </c>
      <c r="E221" s="162" t="s">
        <v>96</v>
      </c>
      <c r="F221" s="162">
        <v>161</v>
      </c>
      <c r="G221" s="162">
        <v>2</v>
      </c>
      <c r="H221" s="162">
        <v>4724</v>
      </c>
      <c r="I221" s="162" t="s">
        <v>220</v>
      </c>
      <c r="J221" s="171">
        <v>9</v>
      </c>
      <c r="K221" s="162" t="s">
        <v>64</v>
      </c>
      <c r="L221" s="163" t="s">
        <v>221</v>
      </c>
      <c r="M221" s="162" t="s">
        <v>99</v>
      </c>
      <c r="N221" s="161" t="s">
        <v>91</v>
      </c>
      <c r="O221" s="161">
        <v>9</v>
      </c>
      <c r="P221" s="163">
        <v>9</v>
      </c>
      <c r="Q221" s="163"/>
      <c r="R221" s="162"/>
      <c r="S221" s="164">
        <f>TABLAINV[[#This Row],[Conteo Físico]]-TABLAINV[[#This Row],[Cant. UND]]</f>
        <v>0</v>
      </c>
      <c r="T22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1" s="165" t="str">
        <f>IFERROR(IF(MOD(TABLAINV[[#This Row],[C]],2)=0,"PAR","IMPAR"),"Zona")</f>
        <v>IMPAR</v>
      </c>
      <c r="W221" s="166"/>
      <c r="X221" s="167">
        <f>IFERROR(IF(TABLAINV[[#This Row],[Cant. UND]]=0,TABLAINV[[#This Row],[PMV]]*TABLAINV[[#This Row],[Conteo Físico]],TABLAINV[[#This Row],[PMV]]*TABLAINV[[#This Row],[Cant. UND]]),0)</f>
        <v>0</v>
      </c>
      <c r="Y221" s="167">
        <f>IFERROR(ABS(TABLAINV[[#This Row],[PMV]]*TABLAINV[[#This Row],[Diferencia]]),0)</f>
        <v>0</v>
      </c>
      <c r="Z221" s="168">
        <f>IFERROR(VLOOKUP(TABLAINV[[#This Row],[Codigo Estado]],unds!O:P,2,0),"PEND.")</f>
        <v>2001</v>
      </c>
      <c r="AA221" s="168" t="str">
        <f t="shared" si="13"/>
        <v>CD09</v>
      </c>
      <c r="AB221" s="169">
        <f t="shared" ca="1" si="14"/>
        <v>45827</v>
      </c>
      <c r="AC221" s="1"/>
      <c r="AD221" s="1"/>
      <c r="AE221" s="1"/>
      <c r="AF221" s="1"/>
    </row>
    <row r="222" spans="1:32" ht="15" customHeight="1" x14ac:dyDescent="0.2">
      <c r="A222" s="170" t="str">
        <f t="shared" si="12"/>
        <v>MRC01</v>
      </c>
      <c r="B222" s="160" t="str">
        <f>IF(TABLAINV[[#This Row],[Z]]="","",D222&amp;"."&amp;TEXT(E222,"000")&amp;"."&amp;TEXT(F222,"000")&amp;"."&amp;TEXT(G222,"000"))</f>
        <v>MR.C01.161.002</v>
      </c>
      <c r="C222" s="161"/>
      <c r="D222" s="162" t="s">
        <v>95</v>
      </c>
      <c r="E222" s="162" t="s">
        <v>96</v>
      </c>
      <c r="F222" s="162">
        <v>161</v>
      </c>
      <c r="G222" s="162">
        <v>2</v>
      </c>
      <c r="H222" s="162">
        <v>755916</v>
      </c>
      <c r="I222" s="162" t="s">
        <v>292</v>
      </c>
      <c r="J222" s="171">
        <v>18</v>
      </c>
      <c r="K222" s="162" t="s">
        <v>64</v>
      </c>
      <c r="L222" s="163" t="s">
        <v>113</v>
      </c>
      <c r="M222" s="162" t="s">
        <v>99</v>
      </c>
      <c r="N222" s="161" t="s">
        <v>91</v>
      </c>
      <c r="O222" s="161">
        <v>18</v>
      </c>
      <c r="P222" s="163">
        <v>18</v>
      </c>
      <c r="Q222" s="163"/>
      <c r="R222" s="162"/>
      <c r="S222" s="164">
        <f>TABLAINV[[#This Row],[Conteo Físico]]-TABLAINV[[#This Row],[Cant. UND]]</f>
        <v>0</v>
      </c>
      <c r="T22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2" s="165" t="str">
        <f>IFERROR(IF(MOD(TABLAINV[[#This Row],[C]],2)=0,"PAR","IMPAR"),"Zona")</f>
        <v>IMPAR</v>
      </c>
      <c r="W222" s="166"/>
      <c r="X222" s="167">
        <f>IFERROR(IF(TABLAINV[[#This Row],[Cant. UND]]=0,TABLAINV[[#This Row],[PMV]]*TABLAINV[[#This Row],[Conteo Físico]],TABLAINV[[#This Row],[PMV]]*TABLAINV[[#This Row],[Cant. UND]]),0)</f>
        <v>0</v>
      </c>
      <c r="Y222" s="167">
        <f>IFERROR(ABS(TABLAINV[[#This Row],[PMV]]*TABLAINV[[#This Row],[Diferencia]]),0)</f>
        <v>0</v>
      </c>
      <c r="Z222" s="168">
        <f>IFERROR(VLOOKUP(TABLAINV[[#This Row],[Codigo Estado]],unds!O:P,2,0),"PEND.")</f>
        <v>2001</v>
      </c>
      <c r="AA222" s="168" t="str">
        <f t="shared" si="13"/>
        <v>CD09</v>
      </c>
      <c r="AB222" s="169">
        <f t="shared" ca="1" si="14"/>
        <v>45827</v>
      </c>
      <c r="AC222" s="1"/>
      <c r="AD222" s="1"/>
      <c r="AE222" s="1"/>
      <c r="AF222" s="1"/>
    </row>
    <row r="223" spans="1:32" ht="15" customHeight="1" x14ac:dyDescent="0.2">
      <c r="A223" s="170" t="str">
        <f t="shared" si="12"/>
        <v>MRC01</v>
      </c>
      <c r="B223" s="160" t="str">
        <f>IF(TABLAINV[[#This Row],[Z]]="","",D223&amp;"."&amp;TEXT(E223,"000")&amp;"."&amp;TEXT(F223,"000")&amp;"."&amp;TEXT(G223,"000"))</f>
        <v>MR.C01.161.002</v>
      </c>
      <c r="C223" s="161"/>
      <c r="D223" s="162" t="s">
        <v>95</v>
      </c>
      <c r="E223" s="162" t="s">
        <v>96</v>
      </c>
      <c r="F223" s="162">
        <v>161</v>
      </c>
      <c r="G223" s="162">
        <v>2</v>
      </c>
      <c r="H223" s="162">
        <v>961174</v>
      </c>
      <c r="I223" s="162" t="s">
        <v>309</v>
      </c>
      <c r="J223" s="171">
        <v>6</v>
      </c>
      <c r="K223" s="162" t="s">
        <v>64</v>
      </c>
      <c r="L223" s="163" t="s">
        <v>115</v>
      </c>
      <c r="M223" s="162" t="s">
        <v>99</v>
      </c>
      <c r="N223" s="161" t="s">
        <v>91</v>
      </c>
      <c r="O223" s="161">
        <v>6</v>
      </c>
      <c r="P223" s="163">
        <v>6</v>
      </c>
      <c r="Q223" s="163"/>
      <c r="R223" s="162"/>
      <c r="S223" s="164">
        <f>TABLAINV[[#This Row],[Conteo Físico]]-TABLAINV[[#This Row],[Cant. UND]]</f>
        <v>0</v>
      </c>
      <c r="T22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3" s="165" t="str">
        <f>IFERROR(IF(MOD(TABLAINV[[#This Row],[C]],2)=0,"PAR","IMPAR"),"Zona")</f>
        <v>IMPAR</v>
      </c>
      <c r="W223" s="166"/>
      <c r="X223" s="167">
        <f>IFERROR(IF(TABLAINV[[#This Row],[Cant. UND]]=0,TABLAINV[[#This Row],[PMV]]*TABLAINV[[#This Row],[Conteo Físico]],TABLAINV[[#This Row],[PMV]]*TABLAINV[[#This Row],[Cant. UND]]),0)</f>
        <v>0</v>
      </c>
      <c r="Y223" s="167">
        <f>IFERROR(ABS(TABLAINV[[#This Row],[PMV]]*TABLAINV[[#This Row],[Diferencia]]),0)</f>
        <v>0</v>
      </c>
      <c r="Z223" s="168">
        <f>IFERROR(VLOOKUP(TABLAINV[[#This Row],[Codigo Estado]],unds!O:P,2,0),"PEND.")</f>
        <v>2001</v>
      </c>
      <c r="AA223" s="168" t="str">
        <f t="shared" si="13"/>
        <v>CD09</v>
      </c>
      <c r="AB223" s="169">
        <f t="shared" ca="1" si="14"/>
        <v>45827</v>
      </c>
      <c r="AC223" s="1"/>
      <c r="AD223" s="1"/>
      <c r="AE223" s="1"/>
      <c r="AF223" s="1"/>
    </row>
    <row r="224" spans="1:32" ht="15" customHeight="1" x14ac:dyDescent="0.2">
      <c r="A224" s="170" t="str">
        <f t="shared" si="12"/>
        <v>MRC01</v>
      </c>
      <c r="B224" s="160" t="str">
        <f>IF(TABLAINV[[#This Row],[Z]]="","",D224&amp;"."&amp;TEXT(E224,"000")&amp;"."&amp;TEXT(F224,"000")&amp;"."&amp;TEXT(G224,"000"))</f>
        <v>MR.C01.161.003</v>
      </c>
      <c r="C224" s="161"/>
      <c r="D224" s="162" t="s">
        <v>95</v>
      </c>
      <c r="E224" s="162" t="s">
        <v>96</v>
      </c>
      <c r="F224" s="162">
        <v>161</v>
      </c>
      <c r="G224" s="162">
        <v>3</v>
      </c>
      <c r="H224" s="162">
        <v>1015686</v>
      </c>
      <c r="I224" s="162" t="s">
        <v>248</v>
      </c>
      <c r="J224" s="171">
        <v>72</v>
      </c>
      <c r="K224" s="162" t="s">
        <v>64</v>
      </c>
      <c r="L224" s="163" t="s">
        <v>98</v>
      </c>
      <c r="M224" s="162" t="s">
        <v>99</v>
      </c>
      <c r="N224" s="161" t="s">
        <v>91</v>
      </c>
      <c r="O224" s="161">
        <v>72</v>
      </c>
      <c r="P224" s="163">
        <v>72</v>
      </c>
      <c r="Q224" s="163"/>
      <c r="R224" s="162"/>
      <c r="S224" s="164">
        <f>TABLAINV[[#This Row],[Conteo Físico]]-TABLAINV[[#This Row],[Cant. UND]]</f>
        <v>0</v>
      </c>
      <c r="T22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4" s="165" t="str">
        <f>IFERROR(IF(MOD(TABLAINV[[#This Row],[C]],2)=0,"PAR","IMPAR"),"Zona")</f>
        <v>IMPAR</v>
      </c>
      <c r="W224" s="166"/>
      <c r="X224" s="167">
        <f>IFERROR(IF(TABLAINV[[#This Row],[Cant. UND]]=0,TABLAINV[[#This Row],[PMV]]*TABLAINV[[#This Row],[Conteo Físico]],TABLAINV[[#This Row],[PMV]]*TABLAINV[[#This Row],[Cant. UND]]),0)</f>
        <v>0</v>
      </c>
      <c r="Y224" s="167">
        <f>IFERROR(ABS(TABLAINV[[#This Row],[PMV]]*TABLAINV[[#This Row],[Diferencia]]),0)</f>
        <v>0</v>
      </c>
      <c r="Z224" s="168">
        <f>IFERROR(VLOOKUP(TABLAINV[[#This Row],[Codigo Estado]],unds!O:P,2,0),"PEND.")</f>
        <v>2001</v>
      </c>
      <c r="AA224" s="168" t="str">
        <f t="shared" si="13"/>
        <v>CD09</v>
      </c>
      <c r="AB224" s="169">
        <f t="shared" ca="1" si="14"/>
        <v>45827</v>
      </c>
      <c r="AC224" s="1"/>
      <c r="AD224" s="1"/>
      <c r="AE224" s="1"/>
      <c r="AF224" s="1"/>
    </row>
    <row r="225" spans="1:32" ht="15" customHeight="1" x14ac:dyDescent="0.2">
      <c r="A225" s="170" t="str">
        <f t="shared" si="12"/>
        <v>MRC01</v>
      </c>
      <c r="B225" s="160" t="str">
        <f>IF(TABLAINV[[#This Row],[Z]]="","",D225&amp;"."&amp;TEXT(E225,"000")&amp;"."&amp;TEXT(F225,"000")&amp;"."&amp;TEXT(G225,"000"))</f>
        <v>MR.C01.161.003</v>
      </c>
      <c r="C225" s="161"/>
      <c r="D225" s="162" t="s">
        <v>95</v>
      </c>
      <c r="E225" s="162" t="s">
        <v>96</v>
      </c>
      <c r="F225" s="162">
        <v>161</v>
      </c>
      <c r="G225" s="162">
        <v>3</v>
      </c>
      <c r="H225" s="162">
        <v>4986</v>
      </c>
      <c r="I225" s="162" t="s">
        <v>255</v>
      </c>
      <c r="J225" s="171">
        <v>10</v>
      </c>
      <c r="K225" s="162" t="s">
        <v>64</v>
      </c>
      <c r="L225" s="163" t="s">
        <v>256</v>
      </c>
      <c r="M225" s="162" t="s">
        <v>111</v>
      </c>
      <c r="N225" s="161" t="s">
        <v>91</v>
      </c>
      <c r="O225" s="161">
        <v>10</v>
      </c>
      <c r="P225" s="163">
        <v>10</v>
      </c>
      <c r="Q225" s="163"/>
      <c r="R225" s="162"/>
      <c r="S225" s="164">
        <f>TABLAINV[[#This Row],[Conteo Físico]]-TABLAINV[[#This Row],[Cant. UND]]</f>
        <v>0</v>
      </c>
      <c r="T22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5" s="165" t="str">
        <f>IFERROR(IF(MOD(TABLAINV[[#This Row],[C]],2)=0,"PAR","IMPAR"),"Zona")</f>
        <v>IMPAR</v>
      </c>
      <c r="W225" s="166"/>
      <c r="X225" s="167">
        <f>IFERROR(IF(TABLAINV[[#This Row],[Cant. UND]]=0,TABLAINV[[#This Row],[PMV]]*TABLAINV[[#This Row],[Conteo Físico]],TABLAINV[[#This Row],[PMV]]*TABLAINV[[#This Row],[Cant. UND]]),0)</f>
        <v>0</v>
      </c>
      <c r="Y225" s="167">
        <f>IFERROR(ABS(TABLAINV[[#This Row],[PMV]]*TABLAINV[[#This Row],[Diferencia]]),0)</f>
        <v>0</v>
      </c>
      <c r="Z225" s="168">
        <f>IFERROR(VLOOKUP(TABLAINV[[#This Row],[Codigo Estado]],unds!O:P,2,0),"PEND.")</f>
        <v>2001</v>
      </c>
      <c r="AA225" s="168" t="str">
        <f t="shared" si="13"/>
        <v>CD09</v>
      </c>
      <c r="AB225" s="169">
        <f t="shared" ca="1" si="14"/>
        <v>45827</v>
      </c>
      <c r="AC225" s="1"/>
      <c r="AD225" s="1"/>
      <c r="AE225" s="1"/>
      <c r="AF225" s="1"/>
    </row>
    <row r="226" spans="1:32" ht="15" customHeight="1" x14ac:dyDescent="0.2">
      <c r="A226" s="170" t="str">
        <f t="shared" si="12"/>
        <v>MRC01</v>
      </c>
      <c r="B226" s="160" t="str">
        <f>IF(TABLAINV[[#This Row],[Z]]="","",D226&amp;"."&amp;TEXT(E226,"000")&amp;"."&amp;TEXT(F226,"000")&amp;"."&amp;TEXT(G226,"000"))</f>
        <v>MR.C01.161.003</v>
      </c>
      <c r="C226" s="161"/>
      <c r="D226" s="162" t="s">
        <v>95</v>
      </c>
      <c r="E226" s="162" t="s">
        <v>96</v>
      </c>
      <c r="F226" s="162">
        <v>161</v>
      </c>
      <c r="G226" s="162">
        <v>3</v>
      </c>
      <c r="H226" s="162">
        <v>533047001</v>
      </c>
      <c r="I226" s="162" t="s">
        <v>310</v>
      </c>
      <c r="J226" s="171">
        <v>18</v>
      </c>
      <c r="K226" s="162" t="s">
        <v>64</v>
      </c>
      <c r="L226" s="163" t="s">
        <v>108</v>
      </c>
      <c r="M226" s="162" t="s">
        <v>99</v>
      </c>
      <c r="N226" s="161" t="s">
        <v>91</v>
      </c>
      <c r="O226" s="161">
        <v>18</v>
      </c>
      <c r="P226" s="163">
        <v>18</v>
      </c>
      <c r="Q226" s="163"/>
      <c r="R226" s="162"/>
      <c r="S226" s="164">
        <f>TABLAINV[[#This Row],[Conteo Físico]]-TABLAINV[[#This Row],[Cant. UND]]</f>
        <v>0</v>
      </c>
      <c r="T22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6" s="165" t="str">
        <f>IFERROR(IF(MOD(TABLAINV[[#This Row],[C]],2)=0,"PAR","IMPAR"),"Zona")</f>
        <v>IMPAR</v>
      </c>
      <c r="W226" s="166"/>
      <c r="X226" s="167">
        <f>IFERROR(IF(TABLAINV[[#This Row],[Cant. UND]]=0,TABLAINV[[#This Row],[PMV]]*TABLAINV[[#This Row],[Conteo Físico]],TABLAINV[[#This Row],[PMV]]*TABLAINV[[#This Row],[Cant. UND]]),0)</f>
        <v>0</v>
      </c>
      <c r="Y226" s="167">
        <f>IFERROR(ABS(TABLAINV[[#This Row],[PMV]]*TABLAINV[[#This Row],[Diferencia]]),0)</f>
        <v>0</v>
      </c>
      <c r="Z226" s="168">
        <f>IFERROR(VLOOKUP(TABLAINV[[#This Row],[Codigo Estado]],unds!O:P,2,0),"PEND.")</f>
        <v>2001</v>
      </c>
      <c r="AA226" s="168" t="str">
        <f t="shared" si="13"/>
        <v>CD09</v>
      </c>
      <c r="AB226" s="169">
        <f t="shared" ca="1" si="14"/>
        <v>45827</v>
      </c>
      <c r="AC226" s="1"/>
      <c r="AD226" s="1"/>
      <c r="AE226" s="1"/>
      <c r="AF226" s="1"/>
    </row>
    <row r="227" spans="1:32" ht="15" customHeight="1" x14ac:dyDescent="0.2">
      <c r="A227" s="170" t="str">
        <f t="shared" si="12"/>
        <v>MRC01</v>
      </c>
      <c r="B227" s="160" t="str">
        <f>IF(TABLAINV[[#This Row],[Z]]="","",D227&amp;"."&amp;TEXT(E227,"000")&amp;"."&amp;TEXT(F227,"000")&amp;"."&amp;TEXT(G227,"000"))</f>
        <v>MR.C01.161.003</v>
      </c>
      <c r="C227" s="161"/>
      <c r="D227" s="162" t="s">
        <v>95</v>
      </c>
      <c r="E227" s="162" t="s">
        <v>96</v>
      </c>
      <c r="F227" s="162">
        <v>161</v>
      </c>
      <c r="G227" s="162">
        <v>3</v>
      </c>
      <c r="H227" s="162">
        <v>947247</v>
      </c>
      <c r="I227" s="162" t="s">
        <v>311</v>
      </c>
      <c r="J227" s="171">
        <v>18</v>
      </c>
      <c r="K227" s="162" t="s">
        <v>64</v>
      </c>
      <c r="L227" s="163" t="s">
        <v>98</v>
      </c>
      <c r="M227" s="162" t="s">
        <v>99</v>
      </c>
      <c r="N227" s="161" t="s">
        <v>91</v>
      </c>
      <c r="O227" s="161">
        <v>18</v>
      </c>
      <c r="P227" s="163">
        <v>18</v>
      </c>
      <c r="Q227" s="163"/>
      <c r="R227" s="162"/>
      <c r="S227" s="164">
        <f>TABLAINV[[#This Row],[Conteo Físico]]-TABLAINV[[#This Row],[Cant. UND]]</f>
        <v>0</v>
      </c>
      <c r="T22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7" s="165" t="str">
        <f>IFERROR(IF(MOD(TABLAINV[[#This Row],[C]],2)=0,"PAR","IMPAR"),"Zona")</f>
        <v>IMPAR</v>
      </c>
      <c r="W227" s="166"/>
      <c r="X227" s="167">
        <f>IFERROR(IF(TABLAINV[[#This Row],[Cant. UND]]=0,TABLAINV[[#This Row],[PMV]]*TABLAINV[[#This Row],[Conteo Físico]],TABLAINV[[#This Row],[PMV]]*TABLAINV[[#This Row],[Cant. UND]]),0)</f>
        <v>0</v>
      </c>
      <c r="Y227" s="167">
        <f>IFERROR(ABS(TABLAINV[[#This Row],[PMV]]*TABLAINV[[#This Row],[Diferencia]]),0)</f>
        <v>0</v>
      </c>
      <c r="Z227" s="168">
        <f>IFERROR(VLOOKUP(TABLAINV[[#This Row],[Codigo Estado]],unds!O:P,2,0),"PEND.")</f>
        <v>2001</v>
      </c>
      <c r="AA227" s="168" t="str">
        <f t="shared" si="13"/>
        <v>CD09</v>
      </c>
      <c r="AB227" s="169">
        <f t="shared" ca="1" si="14"/>
        <v>45827</v>
      </c>
      <c r="AC227" s="1"/>
      <c r="AD227" s="1"/>
      <c r="AE227" s="1"/>
      <c r="AF227" s="1"/>
    </row>
    <row r="228" spans="1:32" ht="15" customHeight="1" x14ac:dyDescent="0.2">
      <c r="A228" s="170" t="str">
        <f t="shared" si="12"/>
        <v>MRC01</v>
      </c>
      <c r="B228" s="160" t="str">
        <f>IF(TABLAINV[[#This Row],[Z]]="","",D228&amp;"."&amp;TEXT(E228,"000")&amp;"."&amp;TEXT(F228,"000")&amp;"."&amp;TEXT(G228,"000"))</f>
        <v>MR.C01.161.003</v>
      </c>
      <c r="C228" s="161"/>
      <c r="D228" s="162" t="s">
        <v>95</v>
      </c>
      <c r="E228" s="162" t="s">
        <v>96</v>
      </c>
      <c r="F228" s="162">
        <v>161</v>
      </c>
      <c r="G228" s="162">
        <v>3</v>
      </c>
      <c r="H228" s="162">
        <v>954239001</v>
      </c>
      <c r="I228" s="162" t="s">
        <v>312</v>
      </c>
      <c r="J228" s="171">
        <v>7</v>
      </c>
      <c r="K228" s="162" t="s">
        <v>64</v>
      </c>
      <c r="L228" s="163" t="s">
        <v>233</v>
      </c>
      <c r="M228" s="162" t="s">
        <v>99</v>
      </c>
      <c r="N228" s="161" t="s">
        <v>91</v>
      </c>
      <c r="O228" s="161">
        <v>7</v>
      </c>
      <c r="P228" s="163">
        <v>7</v>
      </c>
      <c r="Q228" s="163"/>
      <c r="R228" s="162"/>
      <c r="S228" s="164">
        <f>TABLAINV[[#This Row],[Conteo Físico]]-TABLAINV[[#This Row],[Cant. UND]]</f>
        <v>0</v>
      </c>
      <c r="T22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8" s="165" t="str">
        <f>IFERROR(IF(MOD(TABLAINV[[#This Row],[C]],2)=0,"PAR","IMPAR"),"Zona")</f>
        <v>IMPAR</v>
      </c>
      <c r="W228" s="166"/>
      <c r="X228" s="167">
        <f>IFERROR(IF(TABLAINV[[#This Row],[Cant. UND]]=0,TABLAINV[[#This Row],[PMV]]*TABLAINV[[#This Row],[Conteo Físico]],TABLAINV[[#This Row],[PMV]]*TABLAINV[[#This Row],[Cant. UND]]),0)</f>
        <v>0</v>
      </c>
      <c r="Y228" s="167">
        <f>IFERROR(ABS(TABLAINV[[#This Row],[PMV]]*TABLAINV[[#This Row],[Diferencia]]),0)</f>
        <v>0</v>
      </c>
      <c r="Z228" s="168">
        <f>IFERROR(VLOOKUP(TABLAINV[[#This Row],[Codigo Estado]],unds!O:P,2,0),"PEND.")</f>
        <v>2001</v>
      </c>
      <c r="AA228" s="168" t="str">
        <f t="shared" si="13"/>
        <v>CD09</v>
      </c>
      <c r="AB228" s="169">
        <f t="shared" ca="1" si="14"/>
        <v>45827</v>
      </c>
      <c r="AC228" s="1"/>
      <c r="AD228" s="1"/>
      <c r="AE228" s="1"/>
      <c r="AF228" s="1"/>
    </row>
    <row r="229" spans="1:32" ht="15" customHeight="1" x14ac:dyDescent="0.2">
      <c r="A229" s="170" t="str">
        <f t="shared" si="12"/>
        <v>MRC01</v>
      </c>
      <c r="B229" s="160" t="str">
        <f>IF(TABLAINV[[#This Row],[Z]]="","",D229&amp;"."&amp;TEXT(E229,"000")&amp;"."&amp;TEXT(F229,"000")&amp;"."&amp;TEXT(G229,"000"))</f>
        <v>MR.C01.162.001</v>
      </c>
      <c r="C229" s="161"/>
      <c r="D229" s="162" t="s">
        <v>95</v>
      </c>
      <c r="E229" s="162" t="s">
        <v>96</v>
      </c>
      <c r="F229" s="162">
        <v>162</v>
      </c>
      <c r="G229" s="162">
        <v>1</v>
      </c>
      <c r="H229" s="162">
        <v>1030706</v>
      </c>
      <c r="I229" s="162" t="s">
        <v>313</v>
      </c>
      <c r="J229" s="171">
        <v>3</v>
      </c>
      <c r="K229" s="162" t="s">
        <v>64</v>
      </c>
      <c r="L229" s="163" t="s">
        <v>98</v>
      </c>
      <c r="M229" s="162" t="s">
        <v>99</v>
      </c>
      <c r="N229" s="161" t="s">
        <v>91</v>
      </c>
      <c r="O229" s="161">
        <v>3</v>
      </c>
      <c r="P229" s="163">
        <v>3</v>
      </c>
      <c r="Q229" s="163"/>
      <c r="R229" s="162"/>
      <c r="S229" s="164">
        <f>TABLAINV[[#This Row],[Conteo Físico]]-TABLAINV[[#This Row],[Cant. UND]]</f>
        <v>0</v>
      </c>
      <c r="T22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2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29" s="165" t="str">
        <f>IFERROR(IF(MOD(TABLAINV[[#This Row],[C]],2)=0,"PAR","IMPAR"),"Zona")</f>
        <v>PAR</v>
      </c>
      <c r="W229" s="166"/>
      <c r="X229" s="167">
        <f>IFERROR(IF(TABLAINV[[#This Row],[Cant. UND]]=0,TABLAINV[[#This Row],[PMV]]*TABLAINV[[#This Row],[Conteo Físico]],TABLAINV[[#This Row],[PMV]]*TABLAINV[[#This Row],[Cant. UND]]),0)</f>
        <v>0</v>
      </c>
      <c r="Y229" s="167">
        <f>IFERROR(ABS(TABLAINV[[#This Row],[PMV]]*TABLAINV[[#This Row],[Diferencia]]),0)</f>
        <v>0</v>
      </c>
      <c r="Z229" s="168">
        <f>IFERROR(VLOOKUP(TABLAINV[[#This Row],[Codigo Estado]],unds!O:P,2,0),"PEND.")</f>
        <v>2001</v>
      </c>
      <c r="AA229" s="168" t="str">
        <f t="shared" si="13"/>
        <v>CD09</v>
      </c>
      <c r="AB229" s="169">
        <f t="shared" ca="1" si="14"/>
        <v>45827</v>
      </c>
      <c r="AC229" s="1"/>
      <c r="AD229" s="1"/>
      <c r="AE229" s="1"/>
      <c r="AF229" s="1"/>
    </row>
    <row r="230" spans="1:32" ht="15" customHeight="1" x14ac:dyDescent="0.2">
      <c r="A230" s="170" t="str">
        <f t="shared" si="12"/>
        <v>MRC01</v>
      </c>
      <c r="B230" s="160" t="str">
        <f>IF(TABLAINV[[#This Row],[Z]]="","",D230&amp;"."&amp;TEXT(E230,"000")&amp;"."&amp;TEXT(F230,"000")&amp;"."&amp;TEXT(G230,"000"))</f>
        <v>MR.C01.167.001</v>
      </c>
      <c r="C230" s="161"/>
      <c r="D230" s="162" t="s">
        <v>95</v>
      </c>
      <c r="E230" s="162" t="s">
        <v>96</v>
      </c>
      <c r="F230" s="162">
        <v>167</v>
      </c>
      <c r="G230" s="162">
        <v>1</v>
      </c>
      <c r="H230" s="162">
        <v>314889</v>
      </c>
      <c r="I230" s="162" t="s">
        <v>314</v>
      </c>
      <c r="J230" s="171">
        <v>6</v>
      </c>
      <c r="K230" s="162" t="s">
        <v>64</v>
      </c>
      <c r="L230" s="163" t="s">
        <v>115</v>
      </c>
      <c r="M230" s="162" t="s">
        <v>99</v>
      </c>
      <c r="N230" s="161" t="s">
        <v>91</v>
      </c>
      <c r="O230" s="161">
        <v>6</v>
      </c>
      <c r="P230" s="163">
        <v>6</v>
      </c>
      <c r="Q230" s="163"/>
      <c r="R230" s="162"/>
      <c r="S230" s="164">
        <f>TABLAINV[[#This Row],[Conteo Físico]]-TABLAINV[[#This Row],[Cant. UND]]</f>
        <v>0</v>
      </c>
      <c r="T23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0" s="165" t="str">
        <f>IFERROR(IF(MOD(TABLAINV[[#This Row],[C]],2)=0,"PAR","IMPAR"),"Zona")</f>
        <v>IMPAR</v>
      </c>
      <c r="W230" s="166"/>
      <c r="X230" s="167">
        <f>IFERROR(IF(TABLAINV[[#This Row],[Cant. UND]]=0,TABLAINV[[#This Row],[PMV]]*TABLAINV[[#This Row],[Conteo Físico]],TABLAINV[[#This Row],[PMV]]*TABLAINV[[#This Row],[Cant. UND]]),0)</f>
        <v>0</v>
      </c>
      <c r="Y230" s="167">
        <f>IFERROR(ABS(TABLAINV[[#This Row],[PMV]]*TABLAINV[[#This Row],[Diferencia]]),0)</f>
        <v>0</v>
      </c>
      <c r="Z230" s="168">
        <f>IFERROR(VLOOKUP(TABLAINV[[#This Row],[Codigo Estado]],unds!O:P,2,0),"PEND.")</f>
        <v>2001</v>
      </c>
      <c r="AA230" s="168" t="str">
        <f t="shared" si="13"/>
        <v>CD09</v>
      </c>
      <c r="AB230" s="169">
        <f t="shared" ca="1" si="14"/>
        <v>45827</v>
      </c>
      <c r="AC230" s="1"/>
      <c r="AD230" s="1"/>
      <c r="AE230" s="1"/>
      <c r="AF230" s="1"/>
    </row>
    <row r="231" spans="1:32" ht="15" customHeight="1" x14ac:dyDescent="0.2">
      <c r="A231" s="170" t="str">
        <f t="shared" si="12"/>
        <v>MRC01</v>
      </c>
      <c r="B231" s="160" t="str">
        <f>IF(TABLAINV[[#This Row],[Z]]="","",D231&amp;"."&amp;TEXT(E231,"000")&amp;"."&amp;TEXT(F231,"000")&amp;"."&amp;TEXT(G231,"000"))</f>
        <v>MR.C01.167.001</v>
      </c>
      <c r="C231" s="161"/>
      <c r="D231" s="162" t="s">
        <v>95</v>
      </c>
      <c r="E231" s="162" t="s">
        <v>96</v>
      </c>
      <c r="F231" s="162">
        <v>167</v>
      </c>
      <c r="G231" s="162">
        <v>1</v>
      </c>
      <c r="H231" s="162">
        <v>3283</v>
      </c>
      <c r="I231" s="162" t="s">
        <v>109</v>
      </c>
      <c r="J231" s="171">
        <v>12</v>
      </c>
      <c r="K231" s="162" t="s">
        <v>64</v>
      </c>
      <c r="L231" s="163" t="s">
        <v>110</v>
      </c>
      <c r="M231" s="162" t="s">
        <v>111</v>
      </c>
      <c r="N231" s="161" t="s">
        <v>91</v>
      </c>
      <c r="O231" s="161">
        <v>12</v>
      </c>
      <c r="P231" s="163">
        <v>12</v>
      </c>
      <c r="Q231" s="163"/>
      <c r="R231" s="162"/>
      <c r="S231" s="164">
        <f>TABLAINV[[#This Row],[Conteo Físico]]-TABLAINV[[#This Row],[Cant. UND]]</f>
        <v>0</v>
      </c>
      <c r="T23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1" s="165" t="str">
        <f>IFERROR(IF(MOD(TABLAINV[[#This Row],[C]],2)=0,"PAR","IMPAR"),"Zona")</f>
        <v>IMPAR</v>
      </c>
      <c r="W231" s="166"/>
      <c r="X231" s="167">
        <f>IFERROR(IF(TABLAINV[[#This Row],[Cant. UND]]=0,TABLAINV[[#This Row],[PMV]]*TABLAINV[[#This Row],[Conteo Físico]],TABLAINV[[#This Row],[PMV]]*TABLAINV[[#This Row],[Cant. UND]]),0)</f>
        <v>0</v>
      </c>
      <c r="Y231" s="167">
        <f>IFERROR(ABS(TABLAINV[[#This Row],[PMV]]*TABLAINV[[#This Row],[Diferencia]]),0)</f>
        <v>0</v>
      </c>
      <c r="Z231" s="168">
        <f>IFERROR(VLOOKUP(TABLAINV[[#This Row],[Codigo Estado]],unds!O:P,2,0),"PEND.")</f>
        <v>2001</v>
      </c>
      <c r="AA231" s="168" t="str">
        <f t="shared" si="13"/>
        <v>CD09</v>
      </c>
      <c r="AB231" s="169">
        <f t="shared" ca="1" si="14"/>
        <v>45827</v>
      </c>
      <c r="AC231" s="1"/>
      <c r="AD231" s="1"/>
      <c r="AE231" s="1"/>
      <c r="AF231" s="1"/>
    </row>
    <row r="232" spans="1:32" ht="15" customHeight="1" x14ac:dyDescent="0.2">
      <c r="A232" s="170" t="str">
        <f t="shared" si="12"/>
        <v>MRC01</v>
      </c>
      <c r="B232" s="160" t="str">
        <f>IF(TABLAINV[[#This Row],[Z]]="","",D232&amp;"."&amp;TEXT(E232,"000")&amp;"."&amp;TEXT(F232,"000")&amp;"."&amp;TEXT(G232,"000"))</f>
        <v>MR.C01.167.001</v>
      </c>
      <c r="C232" s="161"/>
      <c r="D232" s="162" t="s">
        <v>95</v>
      </c>
      <c r="E232" s="162" t="s">
        <v>96</v>
      </c>
      <c r="F232" s="162">
        <v>167</v>
      </c>
      <c r="G232" s="162">
        <v>1</v>
      </c>
      <c r="H232" s="162">
        <v>774198</v>
      </c>
      <c r="I232" s="162" t="s">
        <v>315</v>
      </c>
      <c r="J232" s="171">
        <v>6</v>
      </c>
      <c r="K232" s="162" t="s">
        <v>64</v>
      </c>
      <c r="L232" s="163" t="s">
        <v>115</v>
      </c>
      <c r="M232" s="162" t="s">
        <v>99</v>
      </c>
      <c r="N232" s="161" t="s">
        <v>91</v>
      </c>
      <c r="O232" s="161">
        <v>6</v>
      </c>
      <c r="P232" s="163">
        <v>6</v>
      </c>
      <c r="Q232" s="163"/>
      <c r="R232" s="162"/>
      <c r="S232" s="164">
        <f>TABLAINV[[#This Row],[Conteo Físico]]-TABLAINV[[#This Row],[Cant. UND]]</f>
        <v>0</v>
      </c>
      <c r="T23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2" s="165" t="str">
        <f>IFERROR(IF(MOD(TABLAINV[[#This Row],[C]],2)=0,"PAR","IMPAR"),"Zona")</f>
        <v>IMPAR</v>
      </c>
      <c r="W232" s="166"/>
      <c r="X232" s="167">
        <f>IFERROR(IF(TABLAINV[[#This Row],[Cant. UND]]=0,TABLAINV[[#This Row],[PMV]]*TABLAINV[[#This Row],[Conteo Físico]],TABLAINV[[#This Row],[PMV]]*TABLAINV[[#This Row],[Cant. UND]]),0)</f>
        <v>0</v>
      </c>
      <c r="Y232" s="167">
        <f>IFERROR(ABS(TABLAINV[[#This Row],[PMV]]*TABLAINV[[#This Row],[Diferencia]]),0)</f>
        <v>0</v>
      </c>
      <c r="Z232" s="168">
        <f>IFERROR(VLOOKUP(TABLAINV[[#This Row],[Codigo Estado]],unds!O:P,2,0),"PEND.")</f>
        <v>2001</v>
      </c>
      <c r="AA232" s="168" t="str">
        <f t="shared" si="13"/>
        <v>CD09</v>
      </c>
      <c r="AB232" s="169">
        <f t="shared" ca="1" si="14"/>
        <v>45827</v>
      </c>
      <c r="AC232" s="1"/>
      <c r="AD232" s="1"/>
      <c r="AE232" s="1"/>
      <c r="AF232" s="1"/>
    </row>
    <row r="233" spans="1:32" ht="15" customHeight="1" x14ac:dyDescent="0.2">
      <c r="A233" s="170" t="str">
        <f t="shared" si="12"/>
        <v>MRC01</v>
      </c>
      <c r="B233" s="160" t="str">
        <f>IF(TABLAINV[[#This Row],[Z]]="","",D233&amp;"."&amp;TEXT(E233,"000")&amp;"."&amp;TEXT(F233,"000")&amp;"."&amp;TEXT(G233,"000"))</f>
        <v>MR.C01.167.002</v>
      </c>
      <c r="C233" s="161"/>
      <c r="D233" s="162" t="s">
        <v>95</v>
      </c>
      <c r="E233" s="162" t="s">
        <v>96</v>
      </c>
      <c r="F233" s="162">
        <v>167</v>
      </c>
      <c r="G233" s="162">
        <v>2</v>
      </c>
      <c r="H233" s="162">
        <v>252911</v>
      </c>
      <c r="I233" s="162" t="s">
        <v>316</v>
      </c>
      <c r="J233" s="171">
        <v>6</v>
      </c>
      <c r="K233" s="162" t="s">
        <v>64</v>
      </c>
      <c r="L233" s="163" t="s">
        <v>110</v>
      </c>
      <c r="M233" s="162" t="s">
        <v>135</v>
      </c>
      <c r="N233" s="161" t="s">
        <v>91</v>
      </c>
      <c r="O233" s="161">
        <v>6</v>
      </c>
      <c r="P233" s="163">
        <v>6</v>
      </c>
      <c r="Q233" s="163"/>
      <c r="R233" s="162"/>
      <c r="S233" s="164">
        <f>TABLAINV[[#This Row],[Conteo Físico]]-TABLAINV[[#This Row],[Cant. UND]]</f>
        <v>0</v>
      </c>
      <c r="T23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3" s="165" t="str">
        <f>IFERROR(IF(MOD(TABLAINV[[#This Row],[C]],2)=0,"PAR","IMPAR"),"Zona")</f>
        <v>IMPAR</v>
      </c>
      <c r="W233" s="166"/>
      <c r="X233" s="167">
        <f>IFERROR(IF(TABLAINV[[#This Row],[Cant. UND]]=0,TABLAINV[[#This Row],[PMV]]*TABLAINV[[#This Row],[Conteo Físico]],TABLAINV[[#This Row],[PMV]]*TABLAINV[[#This Row],[Cant. UND]]),0)</f>
        <v>0</v>
      </c>
      <c r="Y233" s="167">
        <f>IFERROR(ABS(TABLAINV[[#This Row],[PMV]]*TABLAINV[[#This Row],[Diferencia]]),0)</f>
        <v>0</v>
      </c>
      <c r="Z233" s="168">
        <f>IFERROR(VLOOKUP(TABLAINV[[#This Row],[Codigo Estado]],unds!O:P,2,0),"PEND.")</f>
        <v>2001</v>
      </c>
      <c r="AA233" s="168" t="str">
        <f t="shared" si="13"/>
        <v>CD09</v>
      </c>
      <c r="AB233" s="169">
        <f t="shared" ca="1" si="14"/>
        <v>45827</v>
      </c>
      <c r="AC233" s="1"/>
      <c r="AD233" s="1"/>
      <c r="AE233" s="1"/>
      <c r="AF233" s="1"/>
    </row>
    <row r="234" spans="1:32" ht="15" customHeight="1" x14ac:dyDescent="0.2">
      <c r="A234" s="170" t="str">
        <f t="shared" si="12"/>
        <v>MRC01</v>
      </c>
      <c r="B234" s="160" t="str">
        <f>IF(TABLAINV[[#This Row],[Z]]="","",D234&amp;"."&amp;TEXT(E234,"000")&amp;"."&amp;TEXT(F234,"000")&amp;"."&amp;TEXT(G234,"000"))</f>
        <v>MR.C01.167.002</v>
      </c>
      <c r="C234" s="161"/>
      <c r="D234" s="162" t="s">
        <v>95</v>
      </c>
      <c r="E234" s="162" t="s">
        <v>96</v>
      </c>
      <c r="F234" s="162">
        <v>167</v>
      </c>
      <c r="G234" s="162">
        <v>2</v>
      </c>
      <c r="H234" s="162">
        <v>355397</v>
      </c>
      <c r="I234" s="162" t="s">
        <v>295</v>
      </c>
      <c r="J234" s="171">
        <v>14</v>
      </c>
      <c r="K234" s="162" t="s">
        <v>64</v>
      </c>
      <c r="L234" s="163" t="s">
        <v>113</v>
      </c>
      <c r="M234" s="162" t="s">
        <v>99</v>
      </c>
      <c r="N234" s="161" t="s">
        <v>91</v>
      </c>
      <c r="O234" s="161">
        <v>14</v>
      </c>
      <c r="P234" s="163">
        <v>14</v>
      </c>
      <c r="Q234" s="163"/>
      <c r="R234" s="162"/>
      <c r="S234" s="164">
        <f>TABLAINV[[#This Row],[Conteo Físico]]-TABLAINV[[#This Row],[Cant. UND]]</f>
        <v>0</v>
      </c>
      <c r="T23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4" s="165" t="str">
        <f>IFERROR(IF(MOD(TABLAINV[[#This Row],[C]],2)=0,"PAR","IMPAR"),"Zona")</f>
        <v>IMPAR</v>
      </c>
      <c r="W234" s="166"/>
      <c r="X234" s="167">
        <f>IFERROR(IF(TABLAINV[[#This Row],[Cant. UND]]=0,TABLAINV[[#This Row],[PMV]]*TABLAINV[[#This Row],[Conteo Físico]],TABLAINV[[#This Row],[PMV]]*TABLAINV[[#This Row],[Cant. UND]]),0)</f>
        <v>0</v>
      </c>
      <c r="Y234" s="167">
        <f>IFERROR(ABS(TABLAINV[[#This Row],[PMV]]*TABLAINV[[#This Row],[Diferencia]]),0)</f>
        <v>0</v>
      </c>
      <c r="Z234" s="168">
        <f>IFERROR(VLOOKUP(TABLAINV[[#This Row],[Codigo Estado]],unds!O:P,2,0),"PEND.")</f>
        <v>2001</v>
      </c>
      <c r="AA234" s="168" t="str">
        <f t="shared" si="13"/>
        <v>CD09</v>
      </c>
      <c r="AB234" s="169">
        <f t="shared" ca="1" si="14"/>
        <v>45827</v>
      </c>
      <c r="AC234" s="1"/>
      <c r="AD234" s="1"/>
      <c r="AE234" s="1"/>
      <c r="AF234" s="1"/>
    </row>
    <row r="235" spans="1:32" ht="15" customHeight="1" x14ac:dyDescent="0.2">
      <c r="A235" s="170" t="str">
        <f t="shared" si="12"/>
        <v>MRC01</v>
      </c>
      <c r="B235" s="160" t="str">
        <f>IF(TABLAINV[[#This Row],[Z]]="","",D235&amp;"."&amp;TEXT(E235,"000")&amp;"."&amp;TEXT(F235,"000")&amp;"."&amp;TEXT(G235,"000"))</f>
        <v>MR.C01.167.002</v>
      </c>
      <c r="C235" s="161"/>
      <c r="D235" s="162" t="s">
        <v>95</v>
      </c>
      <c r="E235" s="162" t="s">
        <v>96</v>
      </c>
      <c r="F235" s="162">
        <v>167</v>
      </c>
      <c r="G235" s="162">
        <v>2</v>
      </c>
      <c r="H235" s="162">
        <v>373674</v>
      </c>
      <c r="I235" s="162" t="s">
        <v>317</v>
      </c>
      <c r="J235" s="171">
        <v>1</v>
      </c>
      <c r="K235" s="162" t="s">
        <v>64</v>
      </c>
      <c r="L235" s="163" t="s">
        <v>212</v>
      </c>
      <c r="M235" s="162" t="s">
        <v>99</v>
      </c>
      <c r="N235" s="161" t="s">
        <v>91</v>
      </c>
      <c r="O235" s="161">
        <v>1</v>
      </c>
      <c r="P235" s="163">
        <v>1</v>
      </c>
      <c r="Q235" s="163"/>
      <c r="R235" s="162"/>
      <c r="S235" s="164">
        <f>TABLAINV[[#This Row],[Conteo Físico]]-TABLAINV[[#This Row],[Cant. UND]]</f>
        <v>0</v>
      </c>
      <c r="T23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5" s="165" t="str">
        <f>IFERROR(IF(MOD(TABLAINV[[#This Row],[C]],2)=0,"PAR","IMPAR"),"Zona")</f>
        <v>IMPAR</v>
      </c>
      <c r="W235" s="166"/>
      <c r="X235" s="167">
        <f>IFERROR(IF(TABLAINV[[#This Row],[Cant. UND]]=0,TABLAINV[[#This Row],[PMV]]*TABLAINV[[#This Row],[Conteo Físico]],TABLAINV[[#This Row],[PMV]]*TABLAINV[[#This Row],[Cant. UND]]),0)</f>
        <v>0</v>
      </c>
      <c r="Y235" s="167">
        <f>IFERROR(ABS(TABLAINV[[#This Row],[PMV]]*TABLAINV[[#This Row],[Diferencia]]),0)</f>
        <v>0</v>
      </c>
      <c r="Z235" s="168">
        <f>IFERROR(VLOOKUP(TABLAINV[[#This Row],[Codigo Estado]],unds!O:P,2,0),"PEND.")</f>
        <v>2001</v>
      </c>
      <c r="AA235" s="168" t="str">
        <f t="shared" si="13"/>
        <v>CD09</v>
      </c>
      <c r="AB235" s="169">
        <f t="shared" ca="1" si="14"/>
        <v>45827</v>
      </c>
      <c r="AC235" s="1"/>
      <c r="AD235" s="1"/>
      <c r="AE235" s="1"/>
      <c r="AF235" s="1"/>
    </row>
    <row r="236" spans="1:32" ht="15" customHeight="1" x14ac:dyDescent="0.2">
      <c r="A236" s="170" t="str">
        <f t="shared" si="12"/>
        <v>MRC01</v>
      </c>
      <c r="B236" s="160" t="str">
        <f>IF(TABLAINV[[#This Row],[Z]]="","",D236&amp;"."&amp;TEXT(E236,"000")&amp;"."&amp;TEXT(F236,"000")&amp;"."&amp;TEXT(G236,"000"))</f>
        <v>MR.C01.167.002</v>
      </c>
      <c r="C236" s="161"/>
      <c r="D236" s="162" t="s">
        <v>95</v>
      </c>
      <c r="E236" s="162" t="s">
        <v>96</v>
      </c>
      <c r="F236" s="162">
        <v>167</v>
      </c>
      <c r="G236" s="162">
        <v>2</v>
      </c>
      <c r="H236" s="162">
        <v>733867</v>
      </c>
      <c r="I236" s="162" t="s">
        <v>120</v>
      </c>
      <c r="J236" s="171">
        <v>1</v>
      </c>
      <c r="K236" s="162" t="s">
        <v>64</v>
      </c>
      <c r="L236" s="163" t="s">
        <v>113</v>
      </c>
      <c r="M236" s="162" t="s">
        <v>99</v>
      </c>
      <c r="N236" s="161" t="s">
        <v>91</v>
      </c>
      <c r="O236" s="161">
        <v>1</v>
      </c>
      <c r="P236" s="163">
        <v>1</v>
      </c>
      <c r="Q236" s="163"/>
      <c r="R236" s="162"/>
      <c r="S236" s="164">
        <f>TABLAINV[[#This Row],[Conteo Físico]]-TABLAINV[[#This Row],[Cant. UND]]</f>
        <v>0</v>
      </c>
      <c r="T23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6" s="165" t="str">
        <f>IFERROR(IF(MOD(TABLAINV[[#This Row],[C]],2)=0,"PAR","IMPAR"),"Zona")</f>
        <v>IMPAR</v>
      </c>
      <c r="W236" s="166"/>
      <c r="X236" s="167">
        <f>IFERROR(IF(TABLAINV[[#This Row],[Cant. UND]]=0,TABLAINV[[#This Row],[PMV]]*TABLAINV[[#This Row],[Conteo Físico]],TABLAINV[[#This Row],[PMV]]*TABLAINV[[#This Row],[Cant. UND]]),0)</f>
        <v>0</v>
      </c>
      <c r="Y236" s="167">
        <f>IFERROR(ABS(TABLAINV[[#This Row],[PMV]]*TABLAINV[[#This Row],[Diferencia]]),0)</f>
        <v>0</v>
      </c>
      <c r="Z236" s="168">
        <f>IFERROR(VLOOKUP(TABLAINV[[#This Row],[Codigo Estado]],unds!O:P,2,0),"PEND.")</f>
        <v>2001</v>
      </c>
      <c r="AA236" s="168" t="str">
        <f t="shared" si="13"/>
        <v>CD09</v>
      </c>
      <c r="AB236" s="169">
        <f t="shared" ca="1" si="14"/>
        <v>45827</v>
      </c>
      <c r="AC236" s="1"/>
      <c r="AD236" s="1"/>
      <c r="AE236" s="1"/>
      <c r="AF236" s="1"/>
    </row>
    <row r="237" spans="1:32" ht="15" customHeight="1" x14ac:dyDescent="0.2">
      <c r="A237" s="170" t="str">
        <f t="shared" si="12"/>
        <v>MRC01</v>
      </c>
      <c r="B237" s="160" t="str">
        <f>IF(TABLAINV[[#This Row],[Z]]="","",D237&amp;"."&amp;TEXT(E237,"000")&amp;"."&amp;TEXT(F237,"000")&amp;"."&amp;TEXT(G237,"000"))</f>
        <v>MR.C01.167.002</v>
      </c>
      <c r="C237" s="161"/>
      <c r="D237" s="162" t="s">
        <v>95</v>
      </c>
      <c r="E237" s="162" t="s">
        <v>96</v>
      </c>
      <c r="F237" s="162">
        <v>167</v>
      </c>
      <c r="G237" s="162">
        <v>2</v>
      </c>
      <c r="H237" s="162">
        <v>755916</v>
      </c>
      <c r="I237" s="162" t="s">
        <v>292</v>
      </c>
      <c r="J237" s="171">
        <v>3</v>
      </c>
      <c r="K237" s="162" t="s">
        <v>64</v>
      </c>
      <c r="L237" s="163" t="s">
        <v>113</v>
      </c>
      <c r="M237" s="162" t="s">
        <v>99</v>
      </c>
      <c r="N237" s="161" t="s">
        <v>91</v>
      </c>
      <c r="O237" s="161">
        <v>3</v>
      </c>
      <c r="P237" s="163">
        <v>3</v>
      </c>
      <c r="Q237" s="163"/>
      <c r="R237" s="162"/>
      <c r="S237" s="164">
        <f>TABLAINV[[#This Row],[Conteo Físico]]-TABLAINV[[#This Row],[Cant. UND]]</f>
        <v>0</v>
      </c>
      <c r="T23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7" s="165" t="str">
        <f>IFERROR(IF(MOD(TABLAINV[[#This Row],[C]],2)=0,"PAR","IMPAR"),"Zona")</f>
        <v>IMPAR</v>
      </c>
      <c r="W237" s="166"/>
      <c r="X237" s="167">
        <f>IFERROR(IF(TABLAINV[[#This Row],[Cant. UND]]=0,TABLAINV[[#This Row],[PMV]]*TABLAINV[[#This Row],[Conteo Físico]],TABLAINV[[#This Row],[PMV]]*TABLAINV[[#This Row],[Cant. UND]]),0)</f>
        <v>0</v>
      </c>
      <c r="Y237" s="167">
        <f>IFERROR(ABS(TABLAINV[[#This Row],[PMV]]*TABLAINV[[#This Row],[Diferencia]]),0)</f>
        <v>0</v>
      </c>
      <c r="Z237" s="168">
        <f>IFERROR(VLOOKUP(TABLAINV[[#This Row],[Codigo Estado]],unds!O:P,2,0),"PEND.")</f>
        <v>2001</v>
      </c>
      <c r="AA237" s="168" t="str">
        <f t="shared" si="13"/>
        <v>CD09</v>
      </c>
      <c r="AB237" s="169">
        <f t="shared" ca="1" si="14"/>
        <v>45827</v>
      </c>
      <c r="AC237" s="1"/>
      <c r="AD237" s="1"/>
      <c r="AE237" s="1"/>
      <c r="AF237" s="1"/>
    </row>
    <row r="238" spans="1:32" ht="15" customHeight="1" x14ac:dyDescent="0.2">
      <c r="A238" s="170" t="str">
        <f t="shared" si="12"/>
        <v>MRC01</v>
      </c>
      <c r="B238" s="160" t="str">
        <f>IF(TABLAINV[[#This Row],[Z]]="","",D238&amp;"."&amp;TEXT(E238,"000")&amp;"."&amp;TEXT(F238,"000")&amp;"."&amp;TEXT(G238,"000"))</f>
        <v>MR.C01.167.002</v>
      </c>
      <c r="C238" s="161"/>
      <c r="D238" s="162" t="s">
        <v>95</v>
      </c>
      <c r="E238" s="162" t="s">
        <v>96</v>
      </c>
      <c r="F238" s="162">
        <v>167</v>
      </c>
      <c r="G238" s="162">
        <v>2</v>
      </c>
      <c r="H238" s="162">
        <v>768104</v>
      </c>
      <c r="I238" s="162" t="s">
        <v>270</v>
      </c>
      <c r="J238" s="171">
        <v>1</v>
      </c>
      <c r="K238" s="162" t="s">
        <v>64</v>
      </c>
      <c r="L238" s="163" t="s">
        <v>164</v>
      </c>
      <c r="M238" s="162" t="s">
        <v>99</v>
      </c>
      <c r="N238" s="161" t="s">
        <v>91</v>
      </c>
      <c r="O238" s="161">
        <v>1</v>
      </c>
      <c r="P238" s="163">
        <v>1</v>
      </c>
      <c r="Q238" s="163"/>
      <c r="R238" s="162"/>
      <c r="S238" s="164">
        <f>TABLAINV[[#This Row],[Conteo Físico]]-TABLAINV[[#This Row],[Cant. UND]]</f>
        <v>0</v>
      </c>
      <c r="T23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8" s="165" t="str">
        <f>IFERROR(IF(MOD(TABLAINV[[#This Row],[C]],2)=0,"PAR","IMPAR"),"Zona")</f>
        <v>IMPAR</v>
      </c>
      <c r="W238" s="166"/>
      <c r="X238" s="167">
        <f>IFERROR(IF(TABLAINV[[#This Row],[Cant. UND]]=0,TABLAINV[[#This Row],[PMV]]*TABLAINV[[#This Row],[Conteo Físico]],TABLAINV[[#This Row],[PMV]]*TABLAINV[[#This Row],[Cant. UND]]),0)</f>
        <v>0</v>
      </c>
      <c r="Y238" s="167">
        <f>IFERROR(ABS(TABLAINV[[#This Row],[PMV]]*TABLAINV[[#This Row],[Diferencia]]),0)</f>
        <v>0</v>
      </c>
      <c r="Z238" s="168">
        <f>IFERROR(VLOOKUP(TABLAINV[[#This Row],[Codigo Estado]],unds!O:P,2,0),"PEND.")</f>
        <v>2001</v>
      </c>
      <c r="AA238" s="168" t="str">
        <f t="shared" si="13"/>
        <v>CD09</v>
      </c>
      <c r="AB238" s="169">
        <f t="shared" ca="1" si="14"/>
        <v>45827</v>
      </c>
      <c r="AC238" s="1"/>
      <c r="AD238" s="1"/>
      <c r="AE238" s="1"/>
      <c r="AF238" s="1"/>
    </row>
    <row r="239" spans="1:32" ht="15" customHeight="1" x14ac:dyDescent="0.2">
      <c r="A239" s="170" t="str">
        <f t="shared" si="12"/>
        <v>MRC01</v>
      </c>
      <c r="B239" s="160" t="str">
        <f>IF(TABLAINV[[#This Row],[Z]]="","",D239&amp;"."&amp;TEXT(E239,"000")&amp;"."&amp;TEXT(F239,"000")&amp;"."&amp;TEXT(G239,"000"))</f>
        <v>MR.C01.167.003</v>
      </c>
      <c r="C239" s="161"/>
      <c r="D239" s="162" t="s">
        <v>95</v>
      </c>
      <c r="E239" s="162" t="s">
        <v>96</v>
      </c>
      <c r="F239" s="162">
        <v>167</v>
      </c>
      <c r="G239" s="162">
        <v>3</v>
      </c>
      <c r="H239" s="162">
        <v>533047003</v>
      </c>
      <c r="I239" s="162" t="s">
        <v>318</v>
      </c>
      <c r="J239" s="171">
        <v>22</v>
      </c>
      <c r="K239" s="162" t="s">
        <v>64</v>
      </c>
      <c r="L239" s="163" t="s">
        <v>108</v>
      </c>
      <c r="M239" s="162" t="s">
        <v>99</v>
      </c>
      <c r="N239" s="161" t="s">
        <v>91</v>
      </c>
      <c r="O239" s="161">
        <v>22</v>
      </c>
      <c r="P239" s="163">
        <v>22</v>
      </c>
      <c r="Q239" s="163"/>
      <c r="R239" s="162"/>
      <c r="S239" s="164">
        <f>TABLAINV[[#This Row],[Conteo Físico]]-TABLAINV[[#This Row],[Cant. UND]]</f>
        <v>0</v>
      </c>
      <c r="T23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3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39" s="165" t="str">
        <f>IFERROR(IF(MOD(TABLAINV[[#This Row],[C]],2)=0,"PAR","IMPAR"),"Zona")</f>
        <v>IMPAR</v>
      </c>
      <c r="W239" s="166"/>
      <c r="X239" s="167">
        <f>IFERROR(IF(TABLAINV[[#This Row],[Cant. UND]]=0,TABLAINV[[#This Row],[PMV]]*TABLAINV[[#This Row],[Conteo Físico]],TABLAINV[[#This Row],[PMV]]*TABLAINV[[#This Row],[Cant. UND]]),0)</f>
        <v>0</v>
      </c>
      <c r="Y239" s="167">
        <f>IFERROR(ABS(TABLAINV[[#This Row],[PMV]]*TABLAINV[[#This Row],[Diferencia]]),0)</f>
        <v>0</v>
      </c>
      <c r="Z239" s="168">
        <f>IFERROR(VLOOKUP(TABLAINV[[#This Row],[Codigo Estado]],unds!O:P,2,0),"PEND.")</f>
        <v>2001</v>
      </c>
      <c r="AA239" s="168" t="str">
        <f t="shared" si="13"/>
        <v>CD09</v>
      </c>
      <c r="AB239" s="169">
        <f t="shared" ca="1" si="14"/>
        <v>45827</v>
      </c>
      <c r="AC239" s="1"/>
      <c r="AD239" s="1"/>
      <c r="AE239" s="1"/>
      <c r="AF239" s="1"/>
    </row>
    <row r="240" spans="1:32" ht="15" customHeight="1" x14ac:dyDescent="0.2">
      <c r="A240" s="170" t="str">
        <f t="shared" si="12"/>
        <v>MRC01</v>
      </c>
      <c r="B240" s="160" t="str">
        <f>IF(TABLAINV[[#This Row],[Z]]="","",D240&amp;"."&amp;TEXT(E240,"000")&amp;"."&amp;TEXT(F240,"000")&amp;"."&amp;TEXT(G240,"000"))</f>
        <v>MR.C01.167.003</v>
      </c>
      <c r="C240" s="161"/>
      <c r="D240" s="162" t="s">
        <v>95</v>
      </c>
      <c r="E240" s="162" t="s">
        <v>96</v>
      </c>
      <c r="F240" s="162">
        <v>167</v>
      </c>
      <c r="G240" s="162">
        <v>3</v>
      </c>
      <c r="H240" s="162">
        <v>891733</v>
      </c>
      <c r="I240" s="162" t="s">
        <v>319</v>
      </c>
      <c r="J240" s="171">
        <v>3</v>
      </c>
      <c r="K240" s="162" t="s">
        <v>64</v>
      </c>
      <c r="L240" s="163" t="s">
        <v>115</v>
      </c>
      <c r="M240" s="162" t="s">
        <v>99</v>
      </c>
      <c r="N240" s="161" t="s">
        <v>91</v>
      </c>
      <c r="O240" s="161">
        <v>3</v>
      </c>
      <c r="P240" s="163">
        <v>3</v>
      </c>
      <c r="Q240" s="163"/>
      <c r="R240" s="162"/>
      <c r="S240" s="164">
        <f>TABLAINV[[#This Row],[Conteo Físico]]-TABLAINV[[#This Row],[Cant. UND]]</f>
        <v>0</v>
      </c>
      <c r="T24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0" s="165" t="str">
        <f>IFERROR(IF(MOD(TABLAINV[[#This Row],[C]],2)=0,"PAR","IMPAR"),"Zona")</f>
        <v>IMPAR</v>
      </c>
      <c r="W240" s="166"/>
      <c r="X240" s="167">
        <f>IFERROR(IF(TABLAINV[[#This Row],[Cant. UND]]=0,TABLAINV[[#This Row],[PMV]]*TABLAINV[[#This Row],[Conteo Físico]],TABLAINV[[#This Row],[PMV]]*TABLAINV[[#This Row],[Cant. UND]]),0)</f>
        <v>0</v>
      </c>
      <c r="Y240" s="167">
        <f>IFERROR(ABS(TABLAINV[[#This Row],[PMV]]*TABLAINV[[#This Row],[Diferencia]]),0)</f>
        <v>0</v>
      </c>
      <c r="Z240" s="168">
        <f>IFERROR(VLOOKUP(TABLAINV[[#This Row],[Codigo Estado]],unds!O:P,2,0),"PEND.")</f>
        <v>2001</v>
      </c>
      <c r="AA240" s="168" t="str">
        <f t="shared" si="13"/>
        <v>CD09</v>
      </c>
      <c r="AB240" s="169">
        <f t="shared" ca="1" si="14"/>
        <v>45827</v>
      </c>
      <c r="AC240" s="1"/>
      <c r="AD240" s="1"/>
      <c r="AE240" s="1"/>
      <c r="AF240" s="1"/>
    </row>
    <row r="241" spans="1:32" ht="15" customHeight="1" x14ac:dyDescent="0.2">
      <c r="A241" s="170" t="str">
        <f t="shared" si="12"/>
        <v>MRC01</v>
      </c>
      <c r="B241" s="160" t="str">
        <f>IF(TABLAINV[[#This Row],[Z]]="","",D241&amp;"."&amp;TEXT(E241,"000")&amp;"."&amp;TEXT(F241,"000")&amp;"."&amp;TEXT(G241,"000"))</f>
        <v>MR.C01.167.003</v>
      </c>
      <c r="C241" s="161"/>
      <c r="D241" s="162" t="s">
        <v>95</v>
      </c>
      <c r="E241" s="162" t="s">
        <v>96</v>
      </c>
      <c r="F241" s="162">
        <v>167</v>
      </c>
      <c r="G241" s="162">
        <v>3</v>
      </c>
      <c r="H241" s="162">
        <v>954239002</v>
      </c>
      <c r="I241" s="162" t="s">
        <v>320</v>
      </c>
      <c r="J241" s="171">
        <v>5</v>
      </c>
      <c r="K241" s="162" t="s">
        <v>64</v>
      </c>
      <c r="L241" s="163" t="s">
        <v>233</v>
      </c>
      <c r="M241" s="162" t="s">
        <v>99</v>
      </c>
      <c r="N241" s="161" t="s">
        <v>91</v>
      </c>
      <c r="O241" s="161">
        <v>5</v>
      </c>
      <c r="P241" s="163">
        <v>5</v>
      </c>
      <c r="Q241" s="163"/>
      <c r="R241" s="162"/>
      <c r="S241" s="164">
        <f>TABLAINV[[#This Row],[Conteo Físico]]-TABLAINV[[#This Row],[Cant. UND]]</f>
        <v>0</v>
      </c>
      <c r="T24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1" s="165" t="str">
        <f>IFERROR(IF(MOD(TABLAINV[[#This Row],[C]],2)=0,"PAR","IMPAR"),"Zona")</f>
        <v>IMPAR</v>
      </c>
      <c r="W241" s="166"/>
      <c r="X241" s="167">
        <f>IFERROR(IF(TABLAINV[[#This Row],[Cant. UND]]=0,TABLAINV[[#This Row],[PMV]]*TABLAINV[[#This Row],[Conteo Físico]],TABLAINV[[#This Row],[PMV]]*TABLAINV[[#This Row],[Cant. UND]]),0)</f>
        <v>0</v>
      </c>
      <c r="Y241" s="167">
        <f>IFERROR(ABS(TABLAINV[[#This Row],[PMV]]*TABLAINV[[#This Row],[Diferencia]]),0)</f>
        <v>0</v>
      </c>
      <c r="Z241" s="168">
        <f>IFERROR(VLOOKUP(TABLAINV[[#This Row],[Codigo Estado]],unds!O:P,2,0),"PEND.")</f>
        <v>2001</v>
      </c>
      <c r="AA241" s="168" t="str">
        <f t="shared" si="13"/>
        <v>CD09</v>
      </c>
      <c r="AB241" s="169">
        <f t="shared" ca="1" si="14"/>
        <v>45827</v>
      </c>
      <c r="AC241" s="1"/>
      <c r="AD241" s="1"/>
      <c r="AE241" s="1"/>
      <c r="AF241" s="1"/>
    </row>
    <row r="242" spans="1:32" ht="15" customHeight="1" x14ac:dyDescent="0.2">
      <c r="A242" s="170" t="str">
        <f t="shared" si="12"/>
        <v>MRC01</v>
      </c>
      <c r="B242" s="160" t="str">
        <f>IF(TABLAINV[[#This Row],[Z]]="","",D242&amp;"."&amp;TEXT(E242,"000")&amp;"."&amp;TEXT(F242,"000")&amp;"."&amp;TEXT(G242,"000"))</f>
        <v>MR.C01.169.001</v>
      </c>
      <c r="C242" s="161"/>
      <c r="D242" s="162" t="s">
        <v>95</v>
      </c>
      <c r="E242" s="162" t="s">
        <v>96</v>
      </c>
      <c r="F242" s="162">
        <v>169</v>
      </c>
      <c r="G242" s="162">
        <v>1</v>
      </c>
      <c r="H242" s="162">
        <v>1022890</v>
      </c>
      <c r="I242" s="162" t="s">
        <v>321</v>
      </c>
      <c r="J242" s="171">
        <v>10</v>
      </c>
      <c r="K242" s="162" t="s">
        <v>64</v>
      </c>
      <c r="L242" s="163" t="s">
        <v>115</v>
      </c>
      <c r="M242" s="162" t="s">
        <v>99</v>
      </c>
      <c r="N242" s="161" t="s">
        <v>91</v>
      </c>
      <c r="O242" s="161">
        <v>10</v>
      </c>
      <c r="P242" s="163">
        <v>10</v>
      </c>
      <c r="Q242" s="163"/>
      <c r="R242" s="162"/>
      <c r="S242" s="164">
        <f>TABLAINV[[#This Row],[Conteo Físico]]-TABLAINV[[#This Row],[Cant. UND]]</f>
        <v>0</v>
      </c>
      <c r="T24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2" s="165" t="str">
        <f>IFERROR(IF(MOD(TABLAINV[[#This Row],[C]],2)=0,"PAR","IMPAR"),"Zona")</f>
        <v>IMPAR</v>
      </c>
      <c r="W242" s="166"/>
      <c r="X242" s="167">
        <f>IFERROR(IF(TABLAINV[[#This Row],[Cant. UND]]=0,TABLAINV[[#This Row],[PMV]]*TABLAINV[[#This Row],[Conteo Físico]],TABLAINV[[#This Row],[PMV]]*TABLAINV[[#This Row],[Cant. UND]]),0)</f>
        <v>0</v>
      </c>
      <c r="Y242" s="167">
        <f>IFERROR(ABS(TABLAINV[[#This Row],[PMV]]*TABLAINV[[#This Row],[Diferencia]]),0)</f>
        <v>0</v>
      </c>
      <c r="Z242" s="168">
        <f>IFERROR(VLOOKUP(TABLAINV[[#This Row],[Codigo Estado]],unds!O:P,2,0),"PEND.")</f>
        <v>2001</v>
      </c>
      <c r="AA242" s="168" t="str">
        <f t="shared" si="13"/>
        <v>CD09</v>
      </c>
      <c r="AB242" s="169">
        <f t="shared" ca="1" si="14"/>
        <v>45827</v>
      </c>
      <c r="AC242" s="1"/>
      <c r="AD242" s="1"/>
      <c r="AE242" s="1"/>
      <c r="AF242" s="1"/>
    </row>
    <row r="243" spans="1:32" ht="15" customHeight="1" x14ac:dyDescent="0.2">
      <c r="A243" s="170" t="str">
        <f t="shared" si="12"/>
        <v>MRC01</v>
      </c>
      <c r="B243" s="160" t="str">
        <f>IF(TABLAINV[[#This Row],[Z]]="","",D243&amp;"."&amp;TEXT(E243,"000")&amp;"."&amp;TEXT(F243,"000")&amp;"."&amp;TEXT(G243,"000"))</f>
        <v>MR.C01.169.001</v>
      </c>
      <c r="C243" s="161"/>
      <c r="D243" s="162" t="s">
        <v>95</v>
      </c>
      <c r="E243" s="162" t="s">
        <v>96</v>
      </c>
      <c r="F243" s="162">
        <v>169</v>
      </c>
      <c r="G243" s="162">
        <v>1</v>
      </c>
      <c r="H243" s="162">
        <v>484645</v>
      </c>
      <c r="I243" s="162" t="s">
        <v>322</v>
      </c>
      <c r="J243" s="171">
        <v>4</v>
      </c>
      <c r="K243" s="162" t="s">
        <v>64</v>
      </c>
      <c r="L243" s="163" t="s">
        <v>244</v>
      </c>
      <c r="M243" s="162" t="s">
        <v>99</v>
      </c>
      <c r="N243" s="161" t="s">
        <v>91</v>
      </c>
      <c r="O243" s="161">
        <v>4</v>
      </c>
      <c r="P243" s="163">
        <v>4</v>
      </c>
      <c r="Q243" s="163"/>
      <c r="R243" s="162"/>
      <c r="S243" s="164">
        <f>TABLAINV[[#This Row],[Conteo Físico]]-TABLAINV[[#This Row],[Cant. UND]]</f>
        <v>0</v>
      </c>
      <c r="T24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3" s="165" t="str">
        <f>IFERROR(IF(MOD(TABLAINV[[#This Row],[C]],2)=0,"PAR","IMPAR"),"Zona")</f>
        <v>IMPAR</v>
      </c>
      <c r="W243" s="166"/>
      <c r="X243" s="167">
        <f>IFERROR(IF(TABLAINV[[#This Row],[Cant. UND]]=0,TABLAINV[[#This Row],[PMV]]*TABLAINV[[#This Row],[Conteo Físico]],TABLAINV[[#This Row],[PMV]]*TABLAINV[[#This Row],[Cant. UND]]),0)</f>
        <v>0</v>
      </c>
      <c r="Y243" s="167">
        <f>IFERROR(ABS(TABLAINV[[#This Row],[PMV]]*TABLAINV[[#This Row],[Diferencia]]),0)</f>
        <v>0</v>
      </c>
      <c r="Z243" s="168">
        <f>IFERROR(VLOOKUP(TABLAINV[[#This Row],[Codigo Estado]],unds!O:P,2,0),"PEND.")</f>
        <v>2001</v>
      </c>
      <c r="AA243" s="168" t="str">
        <f t="shared" si="13"/>
        <v>CD09</v>
      </c>
      <c r="AB243" s="169">
        <f t="shared" ca="1" si="14"/>
        <v>45827</v>
      </c>
      <c r="AC243" s="1"/>
      <c r="AD243" s="1"/>
      <c r="AE243" s="1"/>
      <c r="AF243" s="1"/>
    </row>
    <row r="244" spans="1:32" ht="15" customHeight="1" x14ac:dyDescent="0.2">
      <c r="A244" s="170" t="str">
        <f t="shared" si="12"/>
        <v>MRC01</v>
      </c>
      <c r="B244" s="160" t="str">
        <f>IF(TABLAINV[[#This Row],[Z]]="","",D244&amp;"."&amp;TEXT(E244,"000")&amp;"."&amp;TEXT(F244,"000")&amp;"."&amp;TEXT(G244,"000"))</f>
        <v>MR.C01.169.001</v>
      </c>
      <c r="C244" s="161"/>
      <c r="D244" s="162" t="s">
        <v>95</v>
      </c>
      <c r="E244" s="162" t="s">
        <v>96</v>
      </c>
      <c r="F244" s="162">
        <v>169</v>
      </c>
      <c r="G244" s="162">
        <v>1</v>
      </c>
      <c r="H244" s="162">
        <v>62651</v>
      </c>
      <c r="I244" s="162" t="s">
        <v>323</v>
      </c>
      <c r="J244" s="171">
        <v>8</v>
      </c>
      <c r="K244" s="162" t="s">
        <v>64</v>
      </c>
      <c r="L244" s="163" t="s">
        <v>110</v>
      </c>
      <c r="M244" s="162" t="s">
        <v>135</v>
      </c>
      <c r="N244" s="161" t="s">
        <v>91</v>
      </c>
      <c r="O244" s="161">
        <v>8</v>
      </c>
      <c r="P244" s="163">
        <v>8</v>
      </c>
      <c r="Q244" s="163"/>
      <c r="R244" s="162"/>
      <c r="S244" s="164">
        <f>TABLAINV[[#This Row],[Conteo Físico]]-TABLAINV[[#This Row],[Cant. UND]]</f>
        <v>0</v>
      </c>
      <c r="T24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4" s="165" t="str">
        <f>IFERROR(IF(MOD(TABLAINV[[#This Row],[C]],2)=0,"PAR","IMPAR"),"Zona")</f>
        <v>IMPAR</v>
      </c>
      <c r="W244" s="166"/>
      <c r="X244" s="167">
        <f>IFERROR(IF(TABLAINV[[#This Row],[Cant. UND]]=0,TABLAINV[[#This Row],[PMV]]*TABLAINV[[#This Row],[Conteo Físico]],TABLAINV[[#This Row],[PMV]]*TABLAINV[[#This Row],[Cant. UND]]),0)</f>
        <v>0</v>
      </c>
      <c r="Y244" s="167">
        <f>IFERROR(ABS(TABLAINV[[#This Row],[PMV]]*TABLAINV[[#This Row],[Diferencia]]),0)</f>
        <v>0</v>
      </c>
      <c r="Z244" s="168">
        <f>IFERROR(VLOOKUP(TABLAINV[[#This Row],[Codigo Estado]],unds!O:P,2,0),"PEND.")</f>
        <v>2001</v>
      </c>
      <c r="AA244" s="168" t="str">
        <f t="shared" si="13"/>
        <v>CD09</v>
      </c>
      <c r="AB244" s="169">
        <f t="shared" ca="1" si="14"/>
        <v>45827</v>
      </c>
      <c r="AC244" s="1"/>
      <c r="AD244" s="1"/>
      <c r="AE244" s="1"/>
      <c r="AF244" s="1"/>
    </row>
    <row r="245" spans="1:32" ht="15" customHeight="1" x14ac:dyDescent="0.2">
      <c r="A245" s="170" t="str">
        <f t="shared" si="12"/>
        <v>MRC01</v>
      </c>
      <c r="B245" s="160" t="str">
        <f>IF(TABLAINV[[#This Row],[Z]]="","",D245&amp;"."&amp;TEXT(E245,"000")&amp;"."&amp;TEXT(F245,"000")&amp;"."&amp;TEXT(G245,"000"))</f>
        <v>MR.C01.169.001</v>
      </c>
      <c r="C245" s="161"/>
      <c r="D245" s="162" t="s">
        <v>95</v>
      </c>
      <c r="E245" s="162" t="s">
        <v>96</v>
      </c>
      <c r="F245" s="162">
        <v>169</v>
      </c>
      <c r="G245" s="162">
        <v>1</v>
      </c>
      <c r="H245" s="162">
        <v>987088</v>
      </c>
      <c r="I245" s="162" t="s">
        <v>324</v>
      </c>
      <c r="J245" s="171">
        <v>3</v>
      </c>
      <c r="K245" s="162" t="s">
        <v>64</v>
      </c>
      <c r="L245" s="163" t="s">
        <v>115</v>
      </c>
      <c r="M245" s="162" t="s">
        <v>99</v>
      </c>
      <c r="N245" s="161" t="s">
        <v>91</v>
      </c>
      <c r="O245" s="161">
        <v>3</v>
      </c>
      <c r="P245" s="163">
        <v>3</v>
      </c>
      <c r="Q245" s="163"/>
      <c r="R245" s="162"/>
      <c r="S245" s="164">
        <f>TABLAINV[[#This Row],[Conteo Físico]]-TABLAINV[[#This Row],[Cant. UND]]</f>
        <v>0</v>
      </c>
      <c r="T24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5" s="165" t="str">
        <f>IFERROR(IF(MOD(TABLAINV[[#This Row],[C]],2)=0,"PAR","IMPAR"),"Zona")</f>
        <v>IMPAR</v>
      </c>
      <c r="W245" s="166"/>
      <c r="X245" s="167">
        <f>IFERROR(IF(TABLAINV[[#This Row],[Cant. UND]]=0,TABLAINV[[#This Row],[PMV]]*TABLAINV[[#This Row],[Conteo Físico]],TABLAINV[[#This Row],[PMV]]*TABLAINV[[#This Row],[Cant. UND]]),0)</f>
        <v>0</v>
      </c>
      <c r="Y245" s="167">
        <f>IFERROR(ABS(TABLAINV[[#This Row],[PMV]]*TABLAINV[[#This Row],[Diferencia]]),0)</f>
        <v>0</v>
      </c>
      <c r="Z245" s="168">
        <f>IFERROR(VLOOKUP(TABLAINV[[#This Row],[Codigo Estado]],unds!O:P,2,0),"PEND.")</f>
        <v>2001</v>
      </c>
      <c r="AA245" s="168" t="str">
        <f t="shared" si="13"/>
        <v>CD09</v>
      </c>
      <c r="AB245" s="169">
        <f t="shared" ca="1" si="14"/>
        <v>45827</v>
      </c>
      <c r="AC245" s="1"/>
      <c r="AD245" s="1"/>
      <c r="AE245" s="1"/>
      <c r="AF245" s="1"/>
    </row>
    <row r="246" spans="1:32" ht="15" customHeight="1" x14ac:dyDescent="0.2">
      <c r="A246" s="170" t="str">
        <f t="shared" si="12"/>
        <v>MRC01</v>
      </c>
      <c r="B246" s="160" t="str">
        <f>IF(TABLAINV[[#This Row],[Z]]="","",D246&amp;"."&amp;TEXT(E246,"000")&amp;"."&amp;TEXT(F246,"000")&amp;"."&amp;TEXT(G246,"000"))</f>
        <v>MR.C01.175.001</v>
      </c>
      <c r="C246" s="161"/>
      <c r="D246" s="162" t="s">
        <v>95</v>
      </c>
      <c r="E246" s="162" t="s">
        <v>96</v>
      </c>
      <c r="F246" s="162">
        <v>175</v>
      </c>
      <c r="G246" s="162">
        <v>1</v>
      </c>
      <c r="H246" s="162">
        <v>25919</v>
      </c>
      <c r="I246" s="162" t="s">
        <v>325</v>
      </c>
      <c r="J246" s="171">
        <v>4</v>
      </c>
      <c r="K246" s="162" t="s">
        <v>64</v>
      </c>
      <c r="L246" s="163" t="s">
        <v>134</v>
      </c>
      <c r="M246" s="162" t="s">
        <v>135</v>
      </c>
      <c r="N246" s="161" t="s">
        <v>91</v>
      </c>
      <c r="O246" s="161">
        <v>4</v>
      </c>
      <c r="P246" s="163">
        <v>4</v>
      </c>
      <c r="Q246" s="163"/>
      <c r="R246" s="162"/>
      <c r="S246" s="164">
        <f>TABLAINV[[#This Row],[Conteo Físico]]-TABLAINV[[#This Row],[Cant. UND]]</f>
        <v>0</v>
      </c>
      <c r="T24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6" s="165" t="str">
        <f>IFERROR(IF(MOD(TABLAINV[[#This Row],[C]],2)=0,"PAR","IMPAR"),"Zona")</f>
        <v>IMPAR</v>
      </c>
      <c r="W246" s="166"/>
      <c r="X246" s="167">
        <f>IFERROR(IF(TABLAINV[[#This Row],[Cant. UND]]=0,TABLAINV[[#This Row],[PMV]]*TABLAINV[[#This Row],[Conteo Físico]],TABLAINV[[#This Row],[PMV]]*TABLAINV[[#This Row],[Cant. UND]]),0)</f>
        <v>0</v>
      </c>
      <c r="Y246" s="167">
        <f>IFERROR(ABS(TABLAINV[[#This Row],[PMV]]*TABLAINV[[#This Row],[Diferencia]]),0)</f>
        <v>0</v>
      </c>
      <c r="Z246" s="168">
        <f>IFERROR(VLOOKUP(TABLAINV[[#This Row],[Codigo Estado]],unds!O:P,2,0),"PEND.")</f>
        <v>2001</v>
      </c>
      <c r="AA246" s="168" t="str">
        <f t="shared" si="13"/>
        <v>CD09</v>
      </c>
      <c r="AB246" s="169">
        <f t="shared" ca="1" si="14"/>
        <v>45827</v>
      </c>
      <c r="AC246" s="1"/>
      <c r="AD246" s="1"/>
      <c r="AE246" s="1"/>
      <c r="AF246" s="1"/>
    </row>
    <row r="247" spans="1:32" ht="15" customHeight="1" x14ac:dyDescent="0.2">
      <c r="A247" s="170" t="str">
        <f t="shared" si="12"/>
        <v>MRC01</v>
      </c>
      <c r="B247" s="160" t="str">
        <f>IF(TABLAINV[[#This Row],[Z]]="","",D247&amp;"."&amp;TEXT(E247,"000")&amp;"."&amp;TEXT(F247,"000")&amp;"."&amp;TEXT(G247,"000"))</f>
        <v>MR.C01.175.001</v>
      </c>
      <c r="C247" s="161"/>
      <c r="D247" s="162" t="s">
        <v>95</v>
      </c>
      <c r="E247" s="162" t="s">
        <v>96</v>
      </c>
      <c r="F247" s="162">
        <v>175</v>
      </c>
      <c r="G247" s="162">
        <v>1</v>
      </c>
      <c r="H247" s="162">
        <v>25919</v>
      </c>
      <c r="I247" s="162" t="s">
        <v>325</v>
      </c>
      <c r="J247" s="171">
        <v>12</v>
      </c>
      <c r="K247" s="162" t="s">
        <v>64</v>
      </c>
      <c r="L247" s="163" t="s">
        <v>134</v>
      </c>
      <c r="M247" s="162" t="s">
        <v>135</v>
      </c>
      <c r="N247" s="161" t="s">
        <v>91</v>
      </c>
      <c r="O247" s="161">
        <v>12</v>
      </c>
      <c r="P247" s="163">
        <v>12</v>
      </c>
      <c r="Q247" s="163"/>
      <c r="R247" s="162"/>
      <c r="S247" s="164">
        <f>TABLAINV[[#This Row],[Conteo Físico]]-TABLAINV[[#This Row],[Cant. UND]]</f>
        <v>0</v>
      </c>
      <c r="T24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7" s="165" t="str">
        <f>IFERROR(IF(MOD(TABLAINV[[#This Row],[C]],2)=0,"PAR","IMPAR"),"Zona")</f>
        <v>IMPAR</v>
      </c>
      <c r="W247" s="166"/>
      <c r="X247" s="167">
        <f>IFERROR(IF(TABLAINV[[#This Row],[Cant. UND]]=0,TABLAINV[[#This Row],[PMV]]*TABLAINV[[#This Row],[Conteo Físico]],TABLAINV[[#This Row],[PMV]]*TABLAINV[[#This Row],[Cant. UND]]),0)</f>
        <v>0</v>
      </c>
      <c r="Y247" s="167">
        <f>IFERROR(ABS(TABLAINV[[#This Row],[PMV]]*TABLAINV[[#This Row],[Diferencia]]),0)</f>
        <v>0</v>
      </c>
      <c r="Z247" s="168">
        <f>IFERROR(VLOOKUP(TABLAINV[[#This Row],[Codigo Estado]],unds!O:P,2,0),"PEND.")</f>
        <v>2001</v>
      </c>
      <c r="AA247" s="168" t="str">
        <f t="shared" si="13"/>
        <v>CD09</v>
      </c>
      <c r="AB247" s="169">
        <f t="shared" ca="1" si="14"/>
        <v>45827</v>
      </c>
      <c r="AC247" s="1"/>
      <c r="AD247" s="1"/>
      <c r="AE247" s="1"/>
      <c r="AF247" s="1"/>
    </row>
    <row r="248" spans="1:32" ht="15" customHeight="1" x14ac:dyDescent="0.2">
      <c r="A248" s="170" t="str">
        <f t="shared" si="12"/>
        <v>MRC01</v>
      </c>
      <c r="B248" s="160" t="str">
        <f>IF(TABLAINV[[#This Row],[Z]]="","",D248&amp;"."&amp;TEXT(E248,"000")&amp;"."&amp;TEXT(F248,"000")&amp;"."&amp;TEXT(G248,"000"))</f>
        <v>MR.C01.175.001</v>
      </c>
      <c r="C248" s="161"/>
      <c r="D248" s="162" t="s">
        <v>95</v>
      </c>
      <c r="E248" s="162" t="s">
        <v>96</v>
      </c>
      <c r="F248" s="162">
        <v>175</v>
      </c>
      <c r="G248" s="162">
        <v>1</v>
      </c>
      <c r="H248" s="162">
        <v>25919</v>
      </c>
      <c r="I248" s="162" t="s">
        <v>325</v>
      </c>
      <c r="J248" s="171">
        <v>37</v>
      </c>
      <c r="K248" s="162" t="s">
        <v>64</v>
      </c>
      <c r="L248" s="163" t="s">
        <v>134</v>
      </c>
      <c r="M248" s="162" t="s">
        <v>135</v>
      </c>
      <c r="N248" s="161" t="s">
        <v>91</v>
      </c>
      <c r="O248" s="161">
        <v>37</v>
      </c>
      <c r="P248" s="163">
        <v>37</v>
      </c>
      <c r="Q248" s="163"/>
      <c r="R248" s="162"/>
      <c r="S248" s="164">
        <f>TABLAINV[[#This Row],[Conteo Físico]]-TABLAINV[[#This Row],[Cant. UND]]</f>
        <v>0</v>
      </c>
      <c r="T24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8" s="165" t="str">
        <f>IFERROR(IF(MOD(TABLAINV[[#This Row],[C]],2)=0,"PAR","IMPAR"),"Zona")</f>
        <v>IMPAR</v>
      </c>
      <c r="W248" s="166"/>
      <c r="X248" s="167">
        <f>IFERROR(IF(TABLAINV[[#This Row],[Cant. UND]]=0,TABLAINV[[#This Row],[PMV]]*TABLAINV[[#This Row],[Conteo Físico]],TABLAINV[[#This Row],[PMV]]*TABLAINV[[#This Row],[Cant. UND]]),0)</f>
        <v>0</v>
      </c>
      <c r="Y248" s="167">
        <f>IFERROR(ABS(TABLAINV[[#This Row],[PMV]]*TABLAINV[[#This Row],[Diferencia]]),0)</f>
        <v>0</v>
      </c>
      <c r="Z248" s="168">
        <f>IFERROR(VLOOKUP(TABLAINV[[#This Row],[Codigo Estado]],unds!O:P,2,0),"PEND.")</f>
        <v>2001</v>
      </c>
      <c r="AA248" s="168" t="str">
        <f t="shared" si="13"/>
        <v>CD09</v>
      </c>
      <c r="AB248" s="169">
        <f t="shared" ca="1" si="14"/>
        <v>45827</v>
      </c>
      <c r="AC248" s="1"/>
      <c r="AD248" s="1"/>
      <c r="AE248" s="1"/>
      <c r="AF248" s="1"/>
    </row>
    <row r="249" spans="1:32" ht="15" customHeight="1" x14ac:dyDescent="0.2">
      <c r="A249" s="170" t="str">
        <f t="shared" si="12"/>
        <v>MRC01</v>
      </c>
      <c r="B249" s="160" t="str">
        <f>IF(TABLAINV[[#This Row],[Z]]="","",D249&amp;"."&amp;TEXT(E249,"000")&amp;"."&amp;TEXT(F249,"000")&amp;"."&amp;TEXT(G249,"000"))</f>
        <v>MR.C01.175.001</v>
      </c>
      <c r="C249" s="161"/>
      <c r="D249" s="162" t="s">
        <v>95</v>
      </c>
      <c r="E249" s="162" t="s">
        <v>96</v>
      </c>
      <c r="F249" s="162">
        <v>175</v>
      </c>
      <c r="G249" s="162">
        <v>1</v>
      </c>
      <c r="H249" s="162">
        <v>929130002</v>
      </c>
      <c r="I249" s="162" t="s">
        <v>326</v>
      </c>
      <c r="J249" s="171">
        <v>3</v>
      </c>
      <c r="K249" s="162" t="s">
        <v>64</v>
      </c>
      <c r="L249" s="163" t="s">
        <v>117</v>
      </c>
      <c r="M249" s="162" t="s">
        <v>99</v>
      </c>
      <c r="N249" s="161" t="s">
        <v>91</v>
      </c>
      <c r="O249" s="161">
        <v>3</v>
      </c>
      <c r="P249" s="163">
        <v>3</v>
      </c>
      <c r="Q249" s="163"/>
      <c r="R249" s="162"/>
      <c r="S249" s="164">
        <f>TABLAINV[[#This Row],[Conteo Físico]]-TABLAINV[[#This Row],[Cant. UND]]</f>
        <v>0</v>
      </c>
      <c r="T24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4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49" s="165" t="str">
        <f>IFERROR(IF(MOD(TABLAINV[[#This Row],[C]],2)=0,"PAR","IMPAR"),"Zona")</f>
        <v>IMPAR</v>
      </c>
      <c r="W249" s="166"/>
      <c r="X249" s="167">
        <f>IFERROR(IF(TABLAINV[[#This Row],[Cant. UND]]=0,TABLAINV[[#This Row],[PMV]]*TABLAINV[[#This Row],[Conteo Físico]],TABLAINV[[#This Row],[PMV]]*TABLAINV[[#This Row],[Cant. UND]]),0)</f>
        <v>0</v>
      </c>
      <c r="Y249" s="167">
        <f>IFERROR(ABS(TABLAINV[[#This Row],[PMV]]*TABLAINV[[#This Row],[Diferencia]]),0)</f>
        <v>0</v>
      </c>
      <c r="Z249" s="168">
        <f>IFERROR(VLOOKUP(TABLAINV[[#This Row],[Codigo Estado]],unds!O:P,2,0),"PEND.")</f>
        <v>2001</v>
      </c>
      <c r="AA249" s="168" t="str">
        <f t="shared" si="13"/>
        <v>CD09</v>
      </c>
      <c r="AB249" s="169">
        <f t="shared" ca="1" si="14"/>
        <v>45827</v>
      </c>
      <c r="AC249" s="1"/>
      <c r="AD249" s="1"/>
      <c r="AE249" s="1"/>
      <c r="AF249" s="1"/>
    </row>
    <row r="250" spans="1:32" ht="15" customHeight="1" x14ac:dyDescent="0.2">
      <c r="A250" s="170" t="str">
        <f t="shared" si="12"/>
        <v>MRC01</v>
      </c>
      <c r="B250" s="160" t="str">
        <f>IF(TABLAINV[[#This Row],[Z]]="","",D250&amp;"."&amp;TEXT(E250,"000")&amp;"."&amp;TEXT(F250,"000")&amp;"."&amp;TEXT(G250,"000"))</f>
        <v>MR.C01.175.001</v>
      </c>
      <c r="C250" s="161"/>
      <c r="D250" s="162" t="s">
        <v>95</v>
      </c>
      <c r="E250" s="162" t="s">
        <v>96</v>
      </c>
      <c r="F250" s="162">
        <v>175</v>
      </c>
      <c r="G250" s="162">
        <v>1</v>
      </c>
      <c r="H250" s="162">
        <v>974370</v>
      </c>
      <c r="I250" s="162" t="s">
        <v>327</v>
      </c>
      <c r="J250" s="171">
        <v>1</v>
      </c>
      <c r="K250" s="162" t="s">
        <v>64</v>
      </c>
      <c r="L250" s="163" t="s">
        <v>117</v>
      </c>
      <c r="M250" s="162" t="s">
        <v>99</v>
      </c>
      <c r="N250" s="161" t="s">
        <v>91</v>
      </c>
      <c r="O250" s="161">
        <v>1</v>
      </c>
      <c r="P250" s="163">
        <v>1</v>
      </c>
      <c r="Q250" s="163"/>
      <c r="R250" s="162"/>
      <c r="S250" s="164">
        <f>TABLAINV[[#This Row],[Conteo Físico]]-TABLAINV[[#This Row],[Cant. UND]]</f>
        <v>0</v>
      </c>
      <c r="T25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0" s="165" t="str">
        <f>IFERROR(IF(MOD(TABLAINV[[#This Row],[C]],2)=0,"PAR","IMPAR"),"Zona")</f>
        <v>IMPAR</v>
      </c>
      <c r="W250" s="166"/>
      <c r="X250" s="167">
        <f>IFERROR(IF(TABLAINV[[#This Row],[Cant. UND]]=0,TABLAINV[[#This Row],[PMV]]*TABLAINV[[#This Row],[Conteo Físico]],TABLAINV[[#This Row],[PMV]]*TABLAINV[[#This Row],[Cant. UND]]),0)</f>
        <v>0</v>
      </c>
      <c r="Y250" s="167">
        <f>IFERROR(ABS(TABLAINV[[#This Row],[PMV]]*TABLAINV[[#This Row],[Diferencia]]),0)</f>
        <v>0</v>
      </c>
      <c r="Z250" s="168">
        <f>IFERROR(VLOOKUP(TABLAINV[[#This Row],[Codigo Estado]],unds!O:P,2,0),"PEND.")</f>
        <v>2001</v>
      </c>
      <c r="AA250" s="168" t="str">
        <f t="shared" si="13"/>
        <v>CD09</v>
      </c>
      <c r="AB250" s="169">
        <f t="shared" ca="1" si="14"/>
        <v>45827</v>
      </c>
      <c r="AC250" s="1"/>
      <c r="AD250" s="1"/>
      <c r="AE250" s="1"/>
      <c r="AF250" s="1"/>
    </row>
    <row r="251" spans="1:32" ht="15" customHeight="1" x14ac:dyDescent="0.2">
      <c r="A251" s="170" t="str">
        <f t="shared" si="12"/>
        <v>MRC01</v>
      </c>
      <c r="B251" s="160" t="str">
        <f>IF(TABLAINV[[#This Row],[Z]]="","",D251&amp;"."&amp;TEXT(E251,"000")&amp;"."&amp;TEXT(F251,"000")&amp;"."&amp;TEXT(G251,"000"))</f>
        <v>MR.C01.175.002</v>
      </c>
      <c r="C251" s="161"/>
      <c r="D251" s="162" t="s">
        <v>95</v>
      </c>
      <c r="E251" s="162" t="s">
        <v>96</v>
      </c>
      <c r="F251" s="162">
        <v>175</v>
      </c>
      <c r="G251" s="162">
        <v>2</v>
      </c>
      <c r="H251" s="162">
        <v>1032074</v>
      </c>
      <c r="I251" s="162" t="s">
        <v>328</v>
      </c>
      <c r="J251" s="171">
        <v>9</v>
      </c>
      <c r="K251" s="162" t="s">
        <v>64</v>
      </c>
      <c r="L251" s="163" t="s">
        <v>115</v>
      </c>
      <c r="M251" s="162" t="s">
        <v>99</v>
      </c>
      <c r="N251" s="161" t="s">
        <v>91</v>
      </c>
      <c r="O251" s="161">
        <v>9</v>
      </c>
      <c r="P251" s="163">
        <v>9</v>
      </c>
      <c r="Q251" s="163"/>
      <c r="R251" s="162"/>
      <c r="S251" s="164">
        <f>TABLAINV[[#This Row],[Conteo Físico]]-TABLAINV[[#This Row],[Cant. UND]]</f>
        <v>0</v>
      </c>
      <c r="T25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1" s="165" t="str">
        <f>IFERROR(IF(MOD(TABLAINV[[#This Row],[C]],2)=0,"PAR","IMPAR"),"Zona")</f>
        <v>IMPAR</v>
      </c>
      <c r="W251" s="166"/>
      <c r="X251" s="167">
        <f>IFERROR(IF(TABLAINV[[#This Row],[Cant. UND]]=0,TABLAINV[[#This Row],[PMV]]*TABLAINV[[#This Row],[Conteo Físico]],TABLAINV[[#This Row],[PMV]]*TABLAINV[[#This Row],[Cant. UND]]),0)</f>
        <v>0</v>
      </c>
      <c r="Y251" s="167">
        <f>IFERROR(ABS(TABLAINV[[#This Row],[PMV]]*TABLAINV[[#This Row],[Diferencia]]),0)</f>
        <v>0</v>
      </c>
      <c r="Z251" s="168">
        <f>IFERROR(VLOOKUP(TABLAINV[[#This Row],[Codigo Estado]],unds!O:P,2,0),"PEND.")</f>
        <v>2001</v>
      </c>
      <c r="AA251" s="168" t="str">
        <f t="shared" si="13"/>
        <v>CD09</v>
      </c>
      <c r="AB251" s="169">
        <f t="shared" ca="1" si="14"/>
        <v>45827</v>
      </c>
      <c r="AC251" s="1"/>
      <c r="AD251" s="1"/>
      <c r="AE251" s="1"/>
      <c r="AF251" s="1"/>
    </row>
    <row r="252" spans="1:32" ht="15" customHeight="1" x14ac:dyDescent="0.2">
      <c r="A252" s="170" t="str">
        <f t="shared" si="12"/>
        <v>MRC01</v>
      </c>
      <c r="B252" s="160" t="str">
        <f>IF(TABLAINV[[#This Row],[Z]]="","",D252&amp;"."&amp;TEXT(E252,"000")&amp;"."&amp;TEXT(F252,"000")&amp;"."&amp;TEXT(G252,"000"))</f>
        <v>MR.C01.175.002</v>
      </c>
      <c r="C252" s="161"/>
      <c r="D252" s="162" t="s">
        <v>95</v>
      </c>
      <c r="E252" s="162" t="s">
        <v>96</v>
      </c>
      <c r="F252" s="162">
        <v>175</v>
      </c>
      <c r="G252" s="162">
        <v>2</v>
      </c>
      <c r="H252" s="162">
        <v>142477</v>
      </c>
      <c r="I252" s="162" t="s">
        <v>257</v>
      </c>
      <c r="J252" s="171">
        <v>3</v>
      </c>
      <c r="K252" s="162" t="s">
        <v>64</v>
      </c>
      <c r="L252" s="163" t="s">
        <v>110</v>
      </c>
      <c r="M252" s="162" t="s">
        <v>135</v>
      </c>
      <c r="N252" s="161" t="s">
        <v>91</v>
      </c>
      <c r="O252" s="161">
        <v>3</v>
      </c>
      <c r="P252" s="163">
        <v>3</v>
      </c>
      <c r="Q252" s="163"/>
      <c r="R252" s="162"/>
      <c r="S252" s="164">
        <f>TABLAINV[[#This Row],[Conteo Físico]]-TABLAINV[[#This Row],[Cant. UND]]</f>
        <v>0</v>
      </c>
      <c r="T25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2" s="165" t="str">
        <f>IFERROR(IF(MOD(TABLAINV[[#This Row],[C]],2)=0,"PAR","IMPAR"),"Zona")</f>
        <v>IMPAR</v>
      </c>
      <c r="W252" s="166"/>
      <c r="X252" s="167">
        <f>IFERROR(IF(TABLAINV[[#This Row],[Cant. UND]]=0,TABLAINV[[#This Row],[PMV]]*TABLAINV[[#This Row],[Conteo Físico]],TABLAINV[[#This Row],[PMV]]*TABLAINV[[#This Row],[Cant. UND]]),0)</f>
        <v>0</v>
      </c>
      <c r="Y252" s="167">
        <f>IFERROR(ABS(TABLAINV[[#This Row],[PMV]]*TABLAINV[[#This Row],[Diferencia]]),0)</f>
        <v>0</v>
      </c>
      <c r="Z252" s="168">
        <f>IFERROR(VLOOKUP(TABLAINV[[#This Row],[Codigo Estado]],unds!O:P,2,0),"PEND.")</f>
        <v>2001</v>
      </c>
      <c r="AA252" s="168" t="str">
        <f t="shared" si="13"/>
        <v>CD09</v>
      </c>
      <c r="AB252" s="169">
        <f t="shared" ca="1" si="14"/>
        <v>45827</v>
      </c>
      <c r="AC252" s="1"/>
      <c r="AD252" s="1"/>
      <c r="AE252" s="1"/>
      <c r="AF252" s="1"/>
    </row>
    <row r="253" spans="1:32" ht="15" customHeight="1" x14ac:dyDescent="0.2">
      <c r="A253" s="170" t="str">
        <f t="shared" si="12"/>
        <v>MRC01</v>
      </c>
      <c r="B253" s="160" t="str">
        <f>IF(TABLAINV[[#This Row],[Z]]="","",D253&amp;"."&amp;TEXT(E253,"000")&amp;"."&amp;TEXT(F253,"000")&amp;"."&amp;TEXT(G253,"000"))</f>
        <v>MR.C01.175.002</v>
      </c>
      <c r="C253" s="161"/>
      <c r="D253" s="162" t="s">
        <v>95</v>
      </c>
      <c r="E253" s="162" t="s">
        <v>96</v>
      </c>
      <c r="F253" s="162">
        <v>175</v>
      </c>
      <c r="G253" s="162">
        <v>2</v>
      </c>
      <c r="H253" s="162">
        <v>519035</v>
      </c>
      <c r="I253" s="162" t="s">
        <v>329</v>
      </c>
      <c r="J253" s="171">
        <v>4</v>
      </c>
      <c r="K253" s="162" t="s">
        <v>64</v>
      </c>
      <c r="L253" s="163" t="s">
        <v>134</v>
      </c>
      <c r="M253" s="162" t="s">
        <v>135</v>
      </c>
      <c r="N253" s="161" t="s">
        <v>91</v>
      </c>
      <c r="O253" s="161">
        <v>4</v>
      </c>
      <c r="P253" s="163">
        <v>4</v>
      </c>
      <c r="Q253" s="163"/>
      <c r="R253" s="162"/>
      <c r="S253" s="164">
        <f>TABLAINV[[#This Row],[Conteo Físico]]-TABLAINV[[#This Row],[Cant. UND]]</f>
        <v>0</v>
      </c>
      <c r="T25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3" s="165" t="str">
        <f>IFERROR(IF(MOD(TABLAINV[[#This Row],[C]],2)=0,"PAR","IMPAR"),"Zona")</f>
        <v>IMPAR</v>
      </c>
      <c r="W253" s="166"/>
      <c r="X253" s="167">
        <f>IFERROR(IF(TABLAINV[[#This Row],[Cant. UND]]=0,TABLAINV[[#This Row],[PMV]]*TABLAINV[[#This Row],[Conteo Físico]],TABLAINV[[#This Row],[PMV]]*TABLAINV[[#This Row],[Cant. UND]]),0)</f>
        <v>0</v>
      </c>
      <c r="Y253" s="167">
        <f>IFERROR(ABS(TABLAINV[[#This Row],[PMV]]*TABLAINV[[#This Row],[Diferencia]]),0)</f>
        <v>0</v>
      </c>
      <c r="Z253" s="168">
        <f>IFERROR(VLOOKUP(TABLAINV[[#This Row],[Codigo Estado]],unds!O:P,2,0),"PEND.")</f>
        <v>2001</v>
      </c>
      <c r="AA253" s="168" t="str">
        <f t="shared" si="13"/>
        <v>CD09</v>
      </c>
      <c r="AB253" s="169">
        <f t="shared" ca="1" si="14"/>
        <v>45827</v>
      </c>
      <c r="AC253" s="1"/>
      <c r="AD253" s="1"/>
      <c r="AE253" s="1"/>
      <c r="AF253" s="1"/>
    </row>
    <row r="254" spans="1:32" ht="15" customHeight="1" x14ac:dyDescent="0.2">
      <c r="A254" s="170" t="str">
        <f t="shared" si="12"/>
        <v>MRC01</v>
      </c>
      <c r="B254" s="160" t="str">
        <f>IF(TABLAINV[[#This Row],[Z]]="","",D254&amp;"."&amp;TEXT(E254,"000")&amp;"."&amp;TEXT(F254,"000")&amp;"."&amp;TEXT(G254,"000"))</f>
        <v>MR.C01.177.001</v>
      </c>
      <c r="C254" s="161"/>
      <c r="D254" s="162" t="s">
        <v>95</v>
      </c>
      <c r="E254" s="162" t="s">
        <v>96</v>
      </c>
      <c r="F254" s="162">
        <v>177</v>
      </c>
      <c r="G254" s="162">
        <v>1</v>
      </c>
      <c r="H254" s="162">
        <v>201800</v>
      </c>
      <c r="I254" s="162" t="s">
        <v>330</v>
      </c>
      <c r="J254" s="171">
        <v>9</v>
      </c>
      <c r="K254" s="162" t="s">
        <v>64</v>
      </c>
      <c r="L254" s="163" t="s">
        <v>110</v>
      </c>
      <c r="M254" s="162" t="s">
        <v>135</v>
      </c>
      <c r="N254" s="161" t="s">
        <v>91</v>
      </c>
      <c r="O254" s="161">
        <v>9</v>
      </c>
      <c r="P254" s="163">
        <v>9</v>
      </c>
      <c r="Q254" s="163"/>
      <c r="R254" s="162"/>
      <c r="S254" s="164">
        <f>TABLAINV[[#This Row],[Conteo Físico]]-TABLAINV[[#This Row],[Cant. UND]]</f>
        <v>0</v>
      </c>
      <c r="T25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4" s="165" t="str">
        <f>IFERROR(IF(MOD(TABLAINV[[#This Row],[C]],2)=0,"PAR","IMPAR"),"Zona")</f>
        <v>IMPAR</v>
      </c>
      <c r="W254" s="166"/>
      <c r="X254" s="167">
        <f>IFERROR(IF(TABLAINV[[#This Row],[Cant. UND]]=0,TABLAINV[[#This Row],[PMV]]*TABLAINV[[#This Row],[Conteo Físico]],TABLAINV[[#This Row],[PMV]]*TABLAINV[[#This Row],[Cant. UND]]),0)</f>
        <v>0</v>
      </c>
      <c r="Y254" s="167">
        <f>IFERROR(ABS(TABLAINV[[#This Row],[PMV]]*TABLAINV[[#This Row],[Diferencia]]),0)</f>
        <v>0</v>
      </c>
      <c r="Z254" s="168">
        <f>IFERROR(VLOOKUP(TABLAINV[[#This Row],[Codigo Estado]],unds!O:P,2,0),"PEND.")</f>
        <v>2001</v>
      </c>
      <c r="AA254" s="168" t="str">
        <f t="shared" si="13"/>
        <v>CD09</v>
      </c>
      <c r="AB254" s="169">
        <f t="shared" ca="1" si="14"/>
        <v>45827</v>
      </c>
      <c r="AC254" s="1"/>
      <c r="AD254" s="1"/>
      <c r="AE254" s="1"/>
      <c r="AF254" s="1"/>
    </row>
    <row r="255" spans="1:32" ht="15" customHeight="1" x14ac:dyDescent="0.2">
      <c r="A255" s="170" t="str">
        <f t="shared" si="12"/>
        <v>MRC01</v>
      </c>
      <c r="B255" s="160" t="str">
        <f>IF(TABLAINV[[#This Row],[Z]]="","",D255&amp;"."&amp;TEXT(E255,"000")&amp;"."&amp;TEXT(F255,"000")&amp;"."&amp;TEXT(G255,"000"))</f>
        <v>MR.C01.177.001</v>
      </c>
      <c r="C255" s="161"/>
      <c r="D255" s="162" t="s">
        <v>95</v>
      </c>
      <c r="E255" s="162" t="s">
        <v>96</v>
      </c>
      <c r="F255" s="162">
        <v>177</v>
      </c>
      <c r="G255" s="162">
        <v>1</v>
      </c>
      <c r="H255" s="162">
        <v>355397</v>
      </c>
      <c r="I255" s="162" t="s">
        <v>295</v>
      </c>
      <c r="J255" s="171">
        <v>6</v>
      </c>
      <c r="K255" s="162" t="s">
        <v>64</v>
      </c>
      <c r="L255" s="163" t="s">
        <v>113</v>
      </c>
      <c r="M255" s="162" t="s">
        <v>99</v>
      </c>
      <c r="N255" s="161" t="s">
        <v>91</v>
      </c>
      <c r="O255" s="161">
        <v>6</v>
      </c>
      <c r="P255" s="163">
        <v>6</v>
      </c>
      <c r="Q255" s="163"/>
      <c r="R255" s="162"/>
      <c r="S255" s="164">
        <f>TABLAINV[[#This Row],[Conteo Físico]]-TABLAINV[[#This Row],[Cant. UND]]</f>
        <v>0</v>
      </c>
      <c r="T25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5" s="165" t="str">
        <f>IFERROR(IF(MOD(TABLAINV[[#This Row],[C]],2)=0,"PAR","IMPAR"),"Zona")</f>
        <v>IMPAR</v>
      </c>
      <c r="W255" s="166"/>
      <c r="X255" s="167">
        <f>IFERROR(IF(TABLAINV[[#This Row],[Cant. UND]]=0,TABLAINV[[#This Row],[PMV]]*TABLAINV[[#This Row],[Conteo Físico]],TABLAINV[[#This Row],[PMV]]*TABLAINV[[#This Row],[Cant. UND]]),0)</f>
        <v>0</v>
      </c>
      <c r="Y255" s="167">
        <f>IFERROR(ABS(TABLAINV[[#This Row],[PMV]]*TABLAINV[[#This Row],[Diferencia]]),0)</f>
        <v>0</v>
      </c>
      <c r="Z255" s="168">
        <f>IFERROR(VLOOKUP(TABLAINV[[#This Row],[Codigo Estado]],unds!O:P,2,0),"PEND.")</f>
        <v>2001</v>
      </c>
      <c r="AA255" s="168" t="str">
        <f t="shared" si="13"/>
        <v>CD09</v>
      </c>
      <c r="AB255" s="169">
        <f t="shared" ca="1" si="14"/>
        <v>45827</v>
      </c>
      <c r="AC255" s="1"/>
      <c r="AD255" s="1"/>
      <c r="AE255" s="1"/>
      <c r="AF255" s="1"/>
    </row>
    <row r="256" spans="1:32" ht="15" customHeight="1" x14ac:dyDescent="0.2">
      <c r="A256" s="170" t="str">
        <f t="shared" si="12"/>
        <v>MRC01</v>
      </c>
      <c r="B256" s="160" t="str">
        <f>IF(TABLAINV[[#This Row],[Z]]="","",D256&amp;"."&amp;TEXT(E256,"000")&amp;"."&amp;TEXT(F256,"000")&amp;"."&amp;TEXT(G256,"000"))</f>
        <v>MR.C01.177.001</v>
      </c>
      <c r="C256" s="161"/>
      <c r="D256" s="162" t="s">
        <v>95</v>
      </c>
      <c r="E256" s="162" t="s">
        <v>96</v>
      </c>
      <c r="F256" s="162">
        <v>177</v>
      </c>
      <c r="G256" s="162">
        <v>1</v>
      </c>
      <c r="H256" s="162">
        <v>43094</v>
      </c>
      <c r="I256" s="162" t="s">
        <v>331</v>
      </c>
      <c r="J256" s="171">
        <v>3</v>
      </c>
      <c r="K256" s="162" t="s">
        <v>64</v>
      </c>
      <c r="L256" s="163" t="s">
        <v>134</v>
      </c>
      <c r="M256" s="162" t="s">
        <v>135</v>
      </c>
      <c r="N256" s="161" t="s">
        <v>91</v>
      </c>
      <c r="O256" s="161">
        <v>3</v>
      </c>
      <c r="P256" s="163">
        <v>3</v>
      </c>
      <c r="Q256" s="163"/>
      <c r="R256" s="162"/>
      <c r="S256" s="164">
        <f>TABLAINV[[#This Row],[Conteo Físico]]-TABLAINV[[#This Row],[Cant. UND]]</f>
        <v>0</v>
      </c>
      <c r="T25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6" s="165" t="str">
        <f>IFERROR(IF(MOD(TABLAINV[[#This Row],[C]],2)=0,"PAR","IMPAR"),"Zona")</f>
        <v>IMPAR</v>
      </c>
      <c r="W256" s="166"/>
      <c r="X256" s="167">
        <f>IFERROR(IF(TABLAINV[[#This Row],[Cant. UND]]=0,TABLAINV[[#This Row],[PMV]]*TABLAINV[[#This Row],[Conteo Físico]],TABLAINV[[#This Row],[PMV]]*TABLAINV[[#This Row],[Cant. UND]]),0)</f>
        <v>0</v>
      </c>
      <c r="Y256" s="167">
        <f>IFERROR(ABS(TABLAINV[[#This Row],[PMV]]*TABLAINV[[#This Row],[Diferencia]]),0)</f>
        <v>0</v>
      </c>
      <c r="Z256" s="168">
        <f>IFERROR(VLOOKUP(TABLAINV[[#This Row],[Codigo Estado]],unds!O:P,2,0),"PEND.")</f>
        <v>2001</v>
      </c>
      <c r="AA256" s="168" t="str">
        <f t="shared" si="13"/>
        <v>CD09</v>
      </c>
      <c r="AB256" s="169">
        <f t="shared" ca="1" si="14"/>
        <v>45827</v>
      </c>
      <c r="AC256" s="1"/>
      <c r="AD256" s="1"/>
      <c r="AE256" s="1"/>
      <c r="AF256" s="1"/>
    </row>
    <row r="257" spans="1:32" ht="15" customHeight="1" x14ac:dyDescent="0.2">
      <c r="A257" s="170" t="str">
        <f t="shared" si="12"/>
        <v>MRC01</v>
      </c>
      <c r="B257" s="160" t="str">
        <f>IF(TABLAINV[[#This Row],[Z]]="","",D257&amp;"."&amp;TEXT(E257,"000")&amp;"."&amp;TEXT(F257,"000")&amp;"."&amp;TEXT(G257,"000"))</f>
        <v>MR.C01.177.001</v>
      </c>
      <c r="C257" s="161"/>
      <c r="D257" s="162" t="s">
        <v>95</v>
      </c>
      <c r="E257" s="162" t="s">
        <v>96</v>
      </c>
      <c r="F257" s="162">
        <v>177</v>
      </c>
      <c r="G257" s="162">
        <v>1</v>
      </c>
      <c r="H257" s="162">
        <v>563849002</v>
      </c>
      <c r="I257" s="162" t="s">
        <v>332</v>
      </c>
      <c r="J257" s="171">
        <v>6</v>
      </c>
      <c r="K257" s="162" t="s">
        <v>64</v>
      </c>
      <c r="L257" s="163" t="s">
        <v>110</v>
      </c>
      <c r="M257" s="162" t="s">
        <v>135</v>
      </c>
      <c r="N257" s="161" t="s">
        <v>91</v>
      </c>
      <c r="O257" s="161">
        <v>6</v>
      </c>
      <c r="P257" s="163">
        <v>6</v>
      </c>
      <c r="Q257" s="163"/>
      <c r="R257" s="162"/>
      <c r="S257" s="164">
        <f>TABLAINV[[#This Row],[Conteo Físico]]-TABLAINV[[#This Row],[Cant. UND]]</f>
        <v>0</v>
      </c>
      <c r="T25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7" s="165" t="str">
        <f>IFERROR(IF(MOD(TABLAINV[[#This Row],[C]],2)=0,"PAR","IMPAR"),"Zona")</f>
        <v>IMPAR</v>
      </c>
      <c r="W257" s="166"/>
      <c r="X257" s="167">
        <f>IFERROR(IF(TABLAINV[[#This Row],[Cant. UND]]=0,TABLAINV[[#This Row],[PMV]]*TABLAINV[[#This Row],[Conteo Físico]],TABLAINV[[#This Row],[PMV]]*TABLAINV[[#This Row],[Cant. UND]]),0)</f>
        <v>0</v>
      </c>
      <c r="Y257" s="167">
        <f>IFERROR(ABS(TABLAINV[[#This Row],[PMV]]*TABLAINV[[#This Row],[Diferencia]]),0)</f>
        <v>0</v>
      </c>
      <c r="Z257" s="168">
        <f>IFERROR(VLOOKUP(TABLAINV[[#This Row],[Codigo Estado]],unds!O:P,2,0),"PEND.")</f>
        <v>2001</v>
      </c>
      <c r="AA257" s="168" t="str">
        <f t="shared" si="13"/>
        <v>CD09</v>
      </c>
      <c r="AB257" s="169">
        <f t="shared" ca="1" si="14"/>
        <v>45827</v>
      </c>
      <c r="AC257" s="1"/>
      <c r="AD257" s="1"/>
      <c r="AE257" s="1"/>
      <c r="AF257" s="1"/>
    </row>
    <row r="258" spans="1:32" ht="15" customHeight="1" x14ac:dyDescent="0.2">
      <c r="A258" s="170" t="str">
        <f t="shared" si="12"/>
        <v>MRC01</v>
      </c>
      <c r="B258" s="160" t="str">
        <f>IF(TABLAINV[[#This Row],[Z]]="","",D258&amp;"."&amp;TEXT(E258,"000")&amp;"."&amp;TEXT(F258,"000")&amp;"."&amp;TEXT(G258,"000"))</f>
        <v>MR.C01.177.001</v>
      </c>
      <c r="C258" s="161"/>
      <c r="D258" s="162" t="s">
        <v>95</v>
      </c>
      <c r="E258" s="162" t="s">
        <v>96</v>
      </c>
      <c r="F258" s="162">
        <v>177</v>
      </c>
      <c r="G258" s="162">
        <v>1</v>
      </c>
      <c r="H258" s="162">
        <v>700052</v>
      </c>
      <c r="I258" s="162" t="s">
        <v>333</v>
      </c>
      <c r="J258" s="171">
        <v>1</v>
      </c>
      <c r="K258" s="162" t="s">
        <v>64</v>
      </c>
      <c r="L258" s="163" t="s">
        <v>117</v>
      </c>
      <c r="M258" s="162" t="s">
        <v>99</v>
      </c>
      <c r="N258" s="161" t="s">
        <v>91</v>
      </c>
      <c r="O258" s="161">
        <v>1</v>
      </c>
      <c r="P258" s="163">
        <v>1</v>
      </c>
      <c r="Q258" s="163"/>
      <c r="R258" s="162"/>
      <c r="S258" s="164">
        <f>TABLAINV[[#This Row],[Conteo Físico]]-TABLAINV[[#This Row],[Cant. UND]]</f>
        <v>0</v>
      </c>
      <c r="T25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8" s="165" t="str">
        <f>IFERROR(IF(MOD(TABLAINV[[#This Row],[C]],2)=0,"PAR","IMPAR"),"Zona")</f>
        <v>IMPAR</v>
      </c>
      <c r="W258" s="166"/>
      <c r="X258" s="167">
        <f>IFERROR(IF(TABLAINV[[#This Row],[Cant. UND]]=0,TABLAINV[[#This Row],[PMV]]*TABLAINV[[#This Row],[Conteo Físico]],TABLAINV[[#This Row],[PMV]]*TABLAINV[[#This Row],[Cant. UND]]),0)</f>
        <v>0</v>
      </c>
      <c r="Y258" s="167">
        <f>IFERROR(ABS(TABLAINV[[#This Row],[PMV]]*TABLAINV[[#This Row],[Diferencia]]),0)</f>
        <v>0</v>
      </c>
      <c r="Z258" s="168">
        <f>IFERROR(VLOOKUP(TABLAINV[[#This Row],[Codigo Estado]],unds!O:P,2,0),"PEND.")</f>
        <v>2001</v>
      </c>
      <c r="AA258" s="168" t="str">
        <f t="shared" si="13"/>
        <v>CD09</v>
      </c>
      <c r="AB258" s="169">
        <f t="shared" ca="1" si="14"/>
        <v>45827</v>
      </c>
      <c r="AC258" s="1"/>
      <c r="AD258" s="1"/>
      <c r="AE258" s="1"/>
      <c r="AF258" s="1"/>
    </row>
    <row r="259" spans="1:32" ht="15" customHeight="1" x14ac:dyDescent="0.2">
      <c r="A259" s="170" t="str">
        <f t="shared" si="12"/>
        <v>MRC01</v>
      </c>
      <c r="B259" s="160" t="str">
        <f>IF(TABLAINV[[#This Row],[Z]]="","",D259&amp;"."&amp;TEXT(E259,"000")&amp;"."&amp;TEXT(F259,"000")&amp;"."&amp;TEXT(G259,"000"))</f>
        <v>MR.C01.177.001</v>
      </c>
      <c r="C259" s="161"/>
      <c r="D259" s="162" t="s">
        <v>95</v>
      </c>
      <c r="E259" s="162" t="s">
        <v>96</v>
      </c>
      <c r="F259" s="162">
        <v>177</v>
      </c>
      <c r="G259" s="162">
        <v>1</v>
      </c>
      <c r="H259" s="162">
        <v>755916</v>
      </c>
      <c r="I259" s="162" t="s">
        <v>292</v>
      </c>
      <c r="J259" s="171">
        <v>6</v>
      </c>
      <c r="K259" s="162" t="s">
        <v>64</v>
      </c>
      <c r="L259" s="163" t="s">
        <v>113</v>
      </c>
      <c r="M259" s="162" t="s">
        <v>99</v>
      </c>
      <c r="N259" s="161" t="s">
        <v>91</v>
      </c>
      <c r="O259" s="161">
        <v>6</v>
      </c>
      <c r="P259" s="163">
        <v>6</v>
      </c>
      <c r="Q259" s="163"/>
      <c r="R259" s="162"/>
      <c r="S259" s="164">
        <f>TABLAINV[[#This Row],[Conteo Físico]]-TABLAINV[[#This Row],[Cant. UND]]</f>
        <v>0</v>
      </c>
      <c r="T25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5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59" s="165" t="str">
        <f>IFERROR(IF(MOD(TABLAINV[[#This Row],[C]],2)=0,"PAR","IMPAR"),"Zona")</f>
        <v>IMPAR</v>
      </c>
      <c r="W259" s="166"/>
      <c r="X259" s="167">
        <f>IFERROR(IF(TABLAINV[[#This Row],[Cant. UND]]=0,TABLAINV[[#This Row],[PMV]]*TABLAINV[[#This Row],[Conteo Físico]],TABLAINV[[#This Row],[PMV]]*TABLAINV[[#This Row],[Cant. UND]]),0)</f>
        <v>0</v>
      </c>
      <c r="Y259" s="167">
        <f>IFERROR(ABS(TABLAINV[[#This Row],[PMV]]*TABLAINV[[#This Row],[Diferencia]]),0)</f>
        <v>0</v>
      </c>
      <c r="Z259" s="168">
        <f>IFERROR(VLOOKUP(TABLAINV[[#This Row],[Codigo Estado]],unds!O:P,2,0),"PEND.")</f>
        <v>2001</v>
      </c>
      <c r="AA259" s="168" t="str">
        <f t="shared" si="13"/>
        <v>CD09</v>
      </c>
      <c r="AB259" s="169">
        <f t="shared" ca="1" si="14"/>
        <v>45827</v>
      </c>
      <c r="AC259" s="1"/>
      <c r="AD259" s="1"/>
      <c r="AE259" s="1"/>
      <c r="AF259" s="1"/>
    </row>
    <row r="260" spans="1:32" ht="15" customHeight="1" x14ac:dyDescent="0.2">
      <c r="A260" s="170" t="str">
        <f t="shared" si="12"/>
        <v>MRC01</v>
      </c>
      <c r="B260" s="160" t="str">
        <f>IF(TABLAINV[[#This Row],[Z]]="","",D260&amp;"."&amp;TEXT(E260,"000")&amp;"."&amp;TEXT(F260,"000")&amp;"."&amp;TEXT(G260,"000"))</f>
        <v>MR.C01.177.001</v>
      </c>
      <c r="C260" s="161"/>
      <c r="D260" s="162" t="s">
        <v>95</v>
      </c>
      <c r="E260" s="162" t="s">
        <v>96</v>
      </c>
      <c r="F260" s="162">
        <v>177</v>
      </c>
      <c r="G260" s="162">
        <v>1</v>
      </c>
      <c r="H260" s="162">
        <v>974360</v>
      </c>
      <c r="I260" s="162" t="s">
        <v>334</v>
      </c>
      <c r="J260" s="171">
        <v>3</v>
      </c>
      <c r="K260" s="162" t="s">
        <v>64</v>
      </c>
      <c r="L260" s="163" t="s">
        <v>117</v>
      </c>
      <c r="M260" s="162" t="s">
        <v>99</v>
      </c>
      <c r="N260" s="161" t="s">
        <v>91</v>
      </c>
      <c r="O260" s="161">
        <v>3</v>
      </c>
      <c r="P260" s="163">
        <v>3</v>
      </c>
      <c r="Q260" s="163"/>
      <c r="R260" s="162"/>
      <c r="S260" s="164">
        <f>TABLAINV[[#This Row],[Conteo Físico]]-TABLAINV[[#This Row],[Cant. UND]]</f>
        <v>0</v>
      </c>
      <c r="T26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0" s="165" t="str">
        <f>IFERROR(IF(MOD(TABLAINV[[#This Row],[C]],2)=0,"PAR","IMPAR"),"Zona")</f>
        <v>IMPAR</v>
      </c>
      <c r="W260" s="166"/>
      <c r="X260" s="167">
        <f>IFERROR(IF(TABLAINV[[#This Row],[Cant. UND]]=0,TABLAINV[[#This Row],[PMV]]*TABLAINV[[#This Row],[Conteo Físico]],TABLAINV[[#This Row],[PMV]]*TABLAINV[[#This Row],[Cant. UND]]),0)</f>
        <v>0</v>
      </c>
      <c r="Y260" s="167">
        <f>IFERROR(ABS(TABLAINV[[#This Row],[PMV]]*TABLAINV[[#This Row],[Diferencia]]),0)</f>
        <v>0</v>
      </c>
      <c r="Z260" s="168">
        <f>IFERROR(VLOOKUP(TABLAINV[[#This Row],[Codigo Estado]],unds!O:P,2,0),"PEND.")</f>
        <v>2001</v>
      </c>
      <c r="AA260" s="168" t="str">
        <f t="shared" si="13"/>
        <v>CD09</v>
      </c>
      <c r="AB260" s="169">
        <f t="shared" ca="1" si="14"/>
        <v>45827</v>
      </c>
      <c r="AC260" s="1"/>
      <c r="AD260" s="1"/>
      <c r="AE260" s="1"/>
      <c r="AF260" s="1"/>
    </row>
    <row r="261" spans="1:32" ht="15" customHeight="1" x14ac:dyDescent="0.2">
      <c r="A261" s="170" t="str">
        <f t="shared" si="12"/>
        <v>MRC01</v>
      </c>
      <c r="B261" s="160" t="str">
        <f>IF(TABLAINV[[#This Row],[Z]]="","",D261&amp;"."&amp;TEXT(E261,"000")&amp;"."&amp;TEXT(F261,"000")&amp;"."&amp;TEXT(G261,"000"))</f>
        <v>MR.C01.177.002</v>
      </c>
      <c r="C261" s="161"/>
      <c r="D261" s="162" t="s">
        <v>95</v>
      </c>
      <c r="E261" s="162" t="s">
        <v>96</v>
      </c>
      <c r="F261" s="162">
        <v>177</v>
      </c>
      <c r="G261" s="162">
        <v>2</v>
      </c>
      <c r="H261" s="162">
        <v>1037083</v>
      </c>
      <c r="I261" s="162" t="s">
        <v>335</v>
      </c>
      <c r="J261" s="171">
        <v>1</v>
      </c>
      <c r="K261" s="162" t="s">
        <v>64</v>
      </c>
      <c r="L261" s="163" t="s">
        <v>244</v>
      </c>
      <c r="M261" s="162" t="s">
        <v>99</v>
      </c>
      <c r="N261" s="161" t="s">
        <v>91</v>
      </c>
      <c r="O261" s="161">
        <v>1</v>
      </c>
      <c r="P261" s="163">
        <v>1</v>
      </c>
      <c r="Q261" s="163"/>
      <c r="R261" s="162"/>
      <c r="S261" s="164">
        <f>TABLAINV[[#This Row],[Conteo Físico]]-TABLAINV[[#This Row],[Cant. UND]]</f>
        <v>0</v>
      </c>
      <c r="T26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1" s="165" t="str">
        <f>IFERROR(IF(MOD(TABLAINV[[#This Row],[C]],2)=0,"PAR","IMPAR"),"Zona")</f>
        <v>IMPAR</v>
      </c>
      <c r="W261" s="166"/>
      <c r="X261" s="167">
        <f>IFERROR(IF(TABLAINV[[#This Row],[Cant. UND]]=0,TABLAINV[[#This Row],[PMV]]*TABLAINV[[#This Row],[Conteo Físico]],TABLAINV[[#This Row],[PMV]]*TABLAINV[[#This Row],[Cant. UND]]),0)</f>
        <v>0</v>
      </c>
      <c r="Y261" s="167">
        <f>IFERROR(ABS(TABLAINV[[#This Row],[PMV]]*TABLAINV[[#This Row],[Diferencia]]),0)</f>
        <v>0</v>
      </c>
      <c r="Z261" s="168">
        <f>IFERROR(VLOOKUP(TABLAINV[[#This Row],[Codigo Estado]],unds!O:P,2,0),"PEND.")</f>
        <v>2001</v>
      </c>
      <c r="AA261" s="168" t="str">
        <f t="shared" si="13"/>
        <v>CD09</v>
      </c>
      <c r="AB261" s="169">
        <f t="shared" ca="1" si="14"/>
        <v>45827</v>
      </c>
      <c r="AC261" s="1"/>
      <c r="AD261" s="1"/>
      <c r="AE261" s="1"/>
      <c r="AF261" s="1"/>
    </row>
    <row r="262" spans="1:32" ht="15" customHeight="1" x14ac:dyDescent="0.2">
      <c r="A262" s="170" t="str">
        <f t="shared" si="12"/>
        <v>MRC01</v>
      </c>
      <c r="B262" s="160" t="str">
        <f>IF(TABLAINV[[#This Row],[Z]]="","",D262&amp;"."&amp;TEXT(E262,"000")&amp;"."&amp;TEXT(F262,"000")&amp;"."&amp;TEXT(G262,"000"))</f>
        <v>MR.C01.177.002</v>
      </c>
      <c r="C262" s="161"/>
      <c r="D262" s="162" t="s">
        <v>95</v>
      </c>
      <c r="E262" s="162" t="s">
        <v>96</v>
      </c>
      <c r="F262" s="162">
        <v>177</v>
      </c>
      <c r="G262" s="162">
        <v>2</v>
      </c>
      <c r="H262" s="162">
        <v>1037083</v>
      </c>
      <c r="I262" s="162" t="s">
        <v>335</v>
      </c>
      <c r="J262" s="171">
        <v>2</v>
      </c>
      <c r="K262" s="162" t="s">
        <v>64</v>
      </c>
      <c r="L262" s="163" t="s">
        <v>244</v>
      </c>
      <c r="M262" s="162" t="s">
        <v>99</v>
      </c>
      <c r="N262" s="161" t="s">
        <v>91</v>
      </c>
      <c r="O262" s="161">
        <v>2</v>
      </c>
      <c r="P262" s="163">
        <v>2</v>
      </c>
      <c r="Q262" s="163"/>
      <c r="R262" s="162"/>
      <c r="S262" s="164">
        <f>TABLAINV[[#This Row],[Conteo Físico]]-TABLAINV[[#This Row],[Cant. UND]]</f>
        <v>0</v>
      </c>
      <c r="T26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2" s="165" t="str">
        <f>IFERROR(IF(MOD(TABLAINV[[#This Row],[C]],2)=0,"PAR","IMPAR"),"Zona")</f>
        <v>IMPAR</v>
      </c>
      <c r="W262" s="166"/>
      <c r="X262" s="167">
        <f>IFERROR(IF(TABLAINV[[#This Row],[Cant. UND]]=0,TABLAINV[[#This Row],[PMV]]*TABLAINV[[#This Row],[Conteo Físico]],TABLAINV[[#This Row],[PMV]]*TABLAINV[[#This Row],[Cant. UND]]),0)</f>
        <v>0</v>
      </c>
      <c r="Y262" s="167">
        <f>IFERROR(ABS(TABLAINV[[#This Row],[PMV]]*TABLAINV[[#This Row],[Diferencia]]),0)</f>
        <v>0</v>
      </c>
      <c r="Z262" s="168">
        <f>IFERROR(VLOOKUP(TABLAINV[[#This Row],[Codigo Estado]],unds!O:P,2,0),"PEND.")</f>
        <v>2001</v>
      </c>
      <c r="AA262" s="168" t="str">
        <f t="shared" si="13"/>
        <v>CD09</v>
      </c>
      <c r="AB262" s="169">
        <f t="shared" ca="1" si="14"/>
        <v>45827</v>
      </c>
      <c r="AC262" s="1"/>
      <c r="AD262" s="1"/>
      <c r="AE262" s="1"/>
      <c r="AF262" s="1"/>
    </row>
    <row r="263" spans="1:32" ht="15" customHeight="1" x14ac:dyDescent="0.2">
      <c r="A263" s="170" t="str">
        <f t="shared" si="12"/>
        <v>MRC01</v>
      </c>
      <c r="B263" s="160" t="str">
        <f>IF(TABLAINV[[#This Row],[Z]]="","",D263&amp;"."&amp;TEXT(E263,"000")&amp;"."&amp;TEXT(F263,"000")&amp;"."&amp;TEXT(G263,"000"))</f>
        <v>MR.C01.177.002</v>
      </c>
      <c r="C263" s="161"/>
      <c r="D263" s="162" t="s">
        <v>95</v>
      </c>
      <c r="E263" s="162" t="s">
        <v>96</v>
      </c>
      <c r="F263" s="162">
        <v>177</v>
      </c>
      <c r="G263" s="162">
        <v>2</v>
      </c>
      <c r="H263" s="162">
        <v>17534</v>
      </c>
      <c r="I263" s="162" t="s">
        <v>336</v>
      </c>
      <c r="J263" s="171">
        <v>2</v>
      </c>
      <c r="K263" s="162" t="s">
        <v>64</v>
      </c>
      <c r="L263" s="163" t="s">
        <v>110</v>
      </c>
      <c r="M263" s="162" t="s">
        <v>135</v>
      </c>
      <c r="N263" s="161" t="s">
        <v>91</v>
      </c>
      <c r="O263" s="161">
        <v>2</v>
      </c>
      <c r="P263" s="163">
        <v>2</v>
      </c>
      <c r="Q263" s="163"/>
      <c r="R263" s="162"/>
      <c r="S263" s="164">
        <f>TABLAINV[[#This Row],[Conteo Físico]]-TABLAINV[[#This Row],[Cant. UND]]</f>
        <v>0</v>
      </c>
      <c r="T26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3" s="165" t="str">
        <f>IFERROR(IF(MOD(TABLAINV[[#This Row],[C]],2)=0,"PAR","IMPAR"),"Zona")</f>
        <v>IMPAR</v>
      </c>
      <c r="W263" s="166"/>
      <c r="X263" s="167">
        <f>IFERROR(IF(TABLAINV[[#This Row],[Cant. UND]]=0,TABLAINV[[#This Row],[PMV]]*TABLAINV[[#This Row],[Conteo Físico]],TABLAINV[[#This Row],[PMV]]*TABLAINV[[#This Row],[Cant. UND]]),0)</f>
        <v>0</v>
      </c>
      <c r="Y263" s="167">
        <f>IFERROR(ABS(TABLAINV[[#This Row],[PMV]]*TABLAINV[[#This Row],[Diferencia]]),0)</f>
        <v>0</v>
      </c>
      <c r="Z263" s="168">
        <f>IFERROR(VLOOKUP(TABLAINV[[#This Row],[Codigo Estado]],unds!O:P,2,0),"PEND.")</f>
        <v>2001</v>
      </c>
      <c r="AA263" s="168" t="str">
        <f t="shared" si="13"/>
        <v>CD09</v>
      </c>
      <c r="AB263" s="169">
        <f t="shared" ca="1" si="14"/>
        <v>45827</v>
      </c>
      <c r="AC263" s="1"/>
      <c r="AD263" s="1"/>
      <c r="AE263" s="1"/>
      <c r="AF263" s="1"/>
    </row>
    <row r="264" spans="1:32" ht="15" customHeight="1" x14ac:dyDescent="0.2">
      <c r="A264" s="170" t="str">
        <f t="shared" si="12"/>
        <v>MRC01</v>
      </c>
      <c r="B264" s="160" t="str">
        <f>IF(TABLAINV[[#This Row],[Z]]="","",D264&amp;"."&amp;TEXT(E264,"000")&amp;"."&amp;TEXT(F264,"000")&amp;"."&amp;TEXT(G264,"000"))</f>
        <v>MR.C01.177.002</v>
      </c>
      <c r="C264" s="161"/>
      <c r="D264" s="162" t="s">
        <v>95</v>
      </c>
      <c r="E264" s="162" t="s">
        <v>96</v>
      </c>
      <c r="F264" s="162">
        <v>177</v>
      </c>
      <c r="G264" s="162">
        <v>2</v>
      </c>
      <c r="H264" s="162">
        <v>549450</v>
      </c>
      <c r="I264" s="162" t="s">
        <v>337</v>
      </c>
      <c r="J264" s="171">
        <v>3</v>
      </c>
      <c r="K264" s="162" t="s">
        <v>64</v>
      </c>
      <c r="L264" s="163" t="s">
        <v>117</v>
      </c>
      <c r="M264" s="162" t="s">
        <v>99</v>
      </c>
      <c r="N264" s="161" t="s">
        <v>91</v>
      </c>
      <c r="O264" s="161">
        <v>3</v>
      </c>
      <c r="P264" s="163">
        <v>3</v>
      </c>
      <c r="Q264" s="163"/>
      <c r="R264" s="162"/>
      <c r="S264" s="164">
        <f>TABLAINV[[#This Row],[Conteo Físico]]-TABLAINV[[#This Row],[Cant. UND]]</f>
        <v>0</v>
      </c>
      <c r="T26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4" s="165" t="str">
        <f>IFERROR(IF(MOD(TABLAINV[[#This Row],[C]],2)=0,"PAR","IMPAR"),"Zona")</f>
        <v>IMPAR</v>
      </c>
      <c r="W264" s="166"/>
      <c r="X264" s="167">
        <f>IFERROR(IF(TABLAINV[[#This Row],[Cant. UND]]=0,TABLAINV[[#This Row],[PMV]]*TABLAINV[[#This Row],[Conteo Físico]],TABLAINV[[#This Row],[PMV]]*TABLAINV[[#This Row],[Cant. UND]]),0)</f>
        <v>0</v>
      </c>
      <c r="Y264" s="167">
        <f>IFERROR(ABS(TABLAINV[[#This Row],[PMV]]*TABLAINV[[#This Row],[Diferencia]]),0)</f>
        <v>0</v>
      </c>
      <c r="Z264" s="168">
        <f>IFERROR(VLOOKUP(TABLAINV[[#This Row],[Codigo Estado]],unds!O:P,2,0),"PEND.")</f>
        <v>2001</v>
      </c>
      <c r="AA264" s="168" t="str">
        <f t="shared" si="13"/>
        <v>CD09</v>
      </c>
      <c r="AB264" s="169">
        <f t="shared" ca="1" si="14"/>
        <v>45827</v>
      </c>
      <c r="AC264" s="1"/>
      <c r="AD264" s="1"/>
      <c r="AE264" s="1"/>
      <c r="AF264" s="1"/>
    </row>
    <row r="265" spans="1:32" ht="15" customHeight="1" x14ac:dyDescent="0.2">
      <c r="A265" s="170" t="str">
        <f t="shared" si="12"/>
        <v>MRC01</v>
      </c>
      <c r="B265" s="160" t="str">
        <f>IF(TABLAINV[[#This Row],[Z]]="","",D265&amp;"."&amp;TEXT(E265,"000")&amp;"."&amp;TEXT(F265,"000")&amp;"."&amp;TEXT(G265,"000"))</f>
        <v>MR.C01.177.002</v>
      </c>
      <c r="C265" s="161"/>
      <c r="D265" s="162" t="s">
        <v>95</v>
      </c>
      <c r="E265" s="162" t="s">
        <v>96</v>
      </c>
      <c r="F265" s="162">
        <v>177</v>
      </c>
      <c r="G265" s="162">
        <v>2</v>
      </c>
      <c r="H265" s="162">
        <v>720432</v>
      </c>
      <c r="I265" s="162" t="s">
        <v>338</v>
      </c>
      <c r="J265" s="171">
        <v>12</v>
      </c>
      <c r="K265" s="162" t="s">
        <v>64</v>
      </c>
      <c r="L265" s="163" t="s">
        <v>98</v>
      </c>
      <c r="M265" s="162" t="s">
        <v>99</v>
      </c>
      <c r="N265" s="161" t="s">
        <v>91</v>
      </c>
      <c r="O265" s="161">
        <v>12</v>
      </c>
      <c r="P265" s="163">
        <v>12</v>
      </c>
      <c r="Q265" s="163"/>
      <c r="R265" s="162"/>
      <c r="S265" s="164">
        <f>TABLAINV[[#This Row],[Conteo Físico]]-TABLAINV[[#This Row],[Cant. UND]]</f>
        <v>0</v>
      </c>
      <c r="T26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5" s="165" t="str">
        <f>IFERROR(IF(MOD(TABLAINV[[#This Row],[C]],2)=0,"PAR","IMPAR"),"Zona")</f>
        <v>IMPAR</v>
      </c>
      <c r="W265" s="166"/>
      <c r="X265" s="167">
        <f>IFERROR(IF(TABLAINV[[#This Row],[Cant. UND]]=0,TABLAINV[[#This Row],[PMV]]*TABLAINV[[#This Row],[Conteo Físico]],TABLAINV[[#This Row],[PMV]]*TABLAINV[[#This Row],[Cant. UND]]),0)</f>
        <v>0</v>
      </c>
      <c r="Y265" s="167">
        <f>IFERROR(ABS(TABLAINV[[#This Row],[PMV]]*TABLAINV[[#This Row],[Diferencia]]),0)</f>
        <v>0</v>
      </c>
      <c r="Z265" s="168">
        <f>IFERROR(VLOOKUP(TABLAINV[[#This Row],[Codigo Estado]],unds!O:P,2,0),"PEND.")</f>
        <v>2001</v>
      </c>
      <c r="AA265" s="168" t="str">
        <f t="shared" si="13"/>
        <v>CD09</v>
      </c>
      <c r="AB265" s="169">
        <f t="shared" ca="1" si="14"/>
        <v>45827</v>
      </c>
      <c r="AC265" s="1"/>
      <c r="AD265" s="1"/>
      <c r="AE265" s="1"/>
      <c r="AF265" s="1"/>
    </row>
    <row r="266" spans="1:32" ht="15" customHeight="1" x14ac:dyDescent="0.2">
      <c r="A266" s="170" t="str">
        <f t="shared" ref="A266:A329" si="15">D266&amp;E266</f>
        <v>MRC01</v>
      </c>
      <c r="B266" s="160" t="str">
        <f>IF(TABLAINV[[#This Row],[Z]]="","",D266&amp;"."&amp;TEXT(E266,"000")&amp;"."&amp;TEXT(F266,"000")&amp;"."&amp;TEXT(G266,"000"))</f>
        <v>MR.C01.177.002</v>
      </c>
      <c r="C266" s="161"/>
      <c r="D266" s="162" t="s">
        <v>95</v>
      </c>
      <c r="E266" s="162" t="s">
        <v>96</v>
      </c>
      <c r="F266" s="162">
        <v>177</v>
      </c>
      <c r="G266" s="162">
        <v>2</v>
      </c>
      <c r="H266" s="162">
        <v>768476</v>
      </c>
      <c r="I266" s="162" t="s">
        <v>339</v>
      </c>
      <c r="J266" s="171">
        <v>4</v>
      </c>
      <c r="K266" s="162" t="s">
        <v>64</v>
      </c>
      <c r="L266" s="163" t="s">
        <v>117</v>
      </c>
      <c r="M266" s="162" t="s">
        <v>99</v>
      </c>
      <c r="N266" s="161" t="s">
        <v>91</v>
      </c>
      <c r="O266" s="161">
        <v>4</v>
      </c>
      <c r="P266" s="163">
        <v>4</v>
      </c>
      <c r="Q266" s="163"/>
      <c r="R266" s="162"/>
      <c r="S266" s="164">
        <f>TABLAINV[[#This Row],[Conteo Físico]]-TABLAINV[[#This Row],[Cant. UND]]</f>
        <v>0</v>
      </c>
      <c r="T26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6" s="165" t="str">
        <f>IFERROR(IF(MOD(TABLAINV[[#This Row],[C]],2)=0,"PAR","IMPAR"),"Zona")</f>
        <v>IMPAR</v>
      </c>
      <c r="W266" s="166"/>
      <c r="X266" s="167">
        <f>IFERROR(IF(TABLAINV[[#This Row],[Cant. UND]]=0,TABLAINV[[#This Row],[PMV]]*TABLAINV[[#This Row],[Conteo Físico]],TABLAINV[[#This Row],[PMV]]*TABLAINV[[#This Row],[Cant. UND]]),0)</f>
        <v>0</v>
      </c>
      <c r="Y266" s="167">
        <f>IFERROR(ABS(TABLAINV[[#This Row],[PMV]]*TABLAINV[[#This Row],[Diferencia]]),0)</f>
        <v>0</v>
      </c>
      <c r="Z266" s="168">
        <f>IFERROR(VLOOKUP(TABLAINV[[#This Row],[Codigo Estado]],unds!O:P,2,0),"PEND.")</f>
        <v>2001</v>
      </c>
      <c r="AA266" s="168" t="str">
        <f t="shared" ref="AA266:AA329" si="16">$AA$1</f>
        <v>CD09</v>
      </c>
      <c r="AB266" s="169">
        <f t="shared" ref="AB266:AB329" ca="1" si="17">TODAY()</f>
        <v>45827</v>
      </c>
      <c r="AC266" s="1"/>
      <c r="AD266" s="1"/>
      <c r="AE266" s="1"/>
      <c r="AF266" s="1"/>
    </row>
    <row r="267" spans="1:32" ht="15" customHeight="1" x14ac:dyDescent="0.2">
      <c r="A267" s="170" t="str">
        <f t="shared" si="15"/>
        <v>MRC01</v>
      </c>
      <c r="B267" s="160" t="str">
        <f>IF(TABLAINV[[#This Row],[Z]]="","",D267&amp;"."&amp;TEXT(E267,"000")&amp;"."&amp;TEXT(F267,"000")&amp;"."&amp;TEXT(G267,"000"))</f>
        <v>MR.C01.177.002</v>
      </c>
      <c r="C267" s="161"/>
      <c r="D267" s="162" t="s">
        <v>95</v>
      </c>
      <c r="E267" s="162" t="s">
        <v>96</v>
      </c>
      <c r="F267" s="162">
        <v>177</v>
      </c>
      <c r="G267" s="162">
        <v>2</v>
      </c>
      <c r="H267" s="162">
        <v>779259</v>
      </c>
      <c r="I267" s="162" t="s">
        <v>340</v>
      </c>
      <c r="J267" s="171">
        <v>2</v>
      </c>
      <c r="K267" s="162" t="s">
        <v>64</v>
      </c>
      <c r="L267" s="163" t="s">
        <v>117</v>
      </c>
      <c r="M267" s="162" t="s">
        <v>99</v>
      </c>
      <c r="N267" s="161" t="s">
        <v>91</v>
      </c>
      <c r="O267" s="161">
        <v>2</v>
      </c>
      <c r="P267" s="163">
        <v>2</v>
      </c>
      <c r="Q267" s="163"/>
      <c r="R267" s="162"/>
      <c r="S267" s="164">
        <f>TABLAINV[[#This Row],[Conteo Físico]]-TABLAINV[[#This Row],[Cant. UND]]</f>
        <v>0</v>
      </c>
      <c r="T26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7" s="165" t="str">
        <f>IFERROR(IF(MOD(TABLAINV[[#This Row],[C]],2)=0,"PAR","IMPAR"),"Zona")</f>
        <v>IMPAR</v>
      </c>
      <c r="W267" s="166"/>
      <c r="X267" s="167">
        <f>IFERROR(IF(TABLAINV[[#This Row],[Cant. UND]]=0,TABLAINV[[#This Row],[PMV]]*TABLAINV[[#This Row],[Conteo Físico]],TABLAINV[[#This Row],[PMV]]*TABLAINV[[#This Row],[Cant. UND]]),0)</f>
        <v>0</v>
      </c>
      <c r="Y267" s="167">
        <f>IFERROR(ABS(TABLAINV[[#This Row],[PMV]]*TABLAINV[[#This Row],[Diferencia]]),0)</f>
        <v>0</v>
      </c>
      <c r="Z267" s="168">
        <f>IFERROR(VLOOKUP(TABLAINV[[#This Row],[Codigo Estado]],unds!O:P,2,0),"PEND.")</f>
        <v>2001</v>
      </c>
      <c r="AA267" s="168" t="str">
        <f t="shared" si="16"/>
        <v>CD09</v>
      </c>
      <c r="AB267" s="169">
        <f t="shared" ca="1" si="17"/>
        <v>45827</v>
      </c>
      <c r="AC267" s="1"/>
      <c r="AD267" s="1"/>
      <c r="AE267" s="1"/>
      <c r="AF267" s="1"/>
    </row>
    <row r="268" spans="1:32" ht="15" customHeight="1" x14ac:dyDescent="0.2">
      <c r="A268" s="170" t="str">
        <f t="shared" si="15"/>
        <v>MRC01</v>
      </c>
      <c r="B268" s="160" t="str">
        <f>IF(TABLAINV[[#This Row],[Z]]="","",D268&amp;"."&amp;TEXT(E268,"000")&amp;"."&amp;TEXT(F268,"000")&amp;"."&amp;TEXT(G268,"000"))</f>
        <v>MR.C01.177.002</v>
      </c>
      <c r="C268" s="161"/>
      <c r="D268" s="162" t="s">
        <v>95</v>
      </c>
      <c r="E268" s="162" t="s">
        <v>96</v>
      </c>
      <c r="F268" s="162">
        <v>177</v>
      </c>
      <c r="G268" s="162">
        <v>2</v>
      </c>
      <c r="H268" s="162">
        <v>902564</v>
      </c>
      <c r="I268" s="162" t="s">
        <v>341</v>
      </c>
      <c r="J268" s="171">
        <v>3</v>
      </c>
      <c r="K268" s="162" t="s">
        <v>64</v>
      </c>
      <c r="L268" s="163" t="s">
        <v>115</v>
      </c>
      <c r="M268" s="162" t="s">
        <v>99</v>
      </c>
      <c r="N268" s="161" t="s">
        <v>91</v>
      </c>
      <c r="O268" s="161">
        <v>3</v>
      </c>
      <c r="P268" s="163">
        <v>3</v>
      </c>
      <c r="Q268" s="163"/>
      <c r="R268" s="162"/>
      <c r="S268" s="164">
        <f>TABLAINV[[#This Row],[Conteo Físico]]-TABLAINV[[#This Row],[Cant. UND]]</f>
        <v>0</v>
      </c>
      <c r="T26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8" s="165" t="str">
        <f>IFERROR(IF(MOD(TABLAINV[[#This Row],[C]],2)=0,"PAR","IMPAR"),"Zona")</f>
        <v>IMPAR</v>
      </c>
      <c r="W268" s="166"/>
      <c r="X268" s="167">
        <f>IFERROR(IF(TABLAINV[[#This Row],[Cant. UND]]=0,TABLAINV[[#This Row],[PMV]]*TABLAINV[[#This Row],[Conteo Físico]],TABLAINV[[#This Row],[PMV]]*TABLAINV[[#This Row],[Cant. UND]]),0)</f>
        <v>0</v>
      </c>
      <c r="Y268" s="167">
        <f>IFERROR(ABS(TABLAINV[[#This Row],[PMV]]*TABLAINV[[#This Row],[Diferencia]]),0)</f>
        <v>0</v>
      </c>
      <c r="Z268" s="168">
        <f>IFERROR(VLOOKUP(TABLAINV[[#This Row],[Codigo Estado]],unds!O:P,2,0),"PEND.")</f>
        <v>2001</v>
      </c>
      <c r="AA268" s="168" t="str">
        <f t="shared" si="16"/>
        <v>CD09</v>
      </c>
      <c r="AB268" s="169">
        <f t="shared" ca="1" si="17"/>
        <v>45827</v>
      </c>
      <c r="AC268" s="1"/>
      <c r="AD268" s="1"/>
      <c r="AE268" s="1"/>
      <c r="AF268" s="1"/>
    </row>
    <row r="269" spans="1:32" ht="15" customHeight="1" x14ac:dyDescent="0.2">
      <c r="A269" s="170" t="str">
        <f t="shared" si="15"/>
        <v>MRC01</v>
      </c>
      <c r="B269" s="160" t="str">
        <f>IF(TABLAINV[[#This Row],[Z]]="","",D269&amp;"."&amp;TEXT(E269,"000")&amp;"."&amp;TEXT(F269,"000")&amp;"."&amp;TEXT(G269,"000"))</f>
        <v>MR.C01.183.001</v>
      </c>
      <c r="C269" s="161"/>
      <c r="D269" s="162" t="s">
        <v>95</v>
      </c>
      <c r="E269" s="162" t="s">
        <v>96</v>
      </c>
      <c r="F269" s="162">
        <v>183</v>
      </c>
      <c r="G269" s="162">
        <v>1</v>
      </c>
      <c r="H269" s="162">
        <v>181138</v>
      </c>
      <c r="I269" s="162" t="s">
        <v>342</v>
      </c>
      <c r="J269" s="171">
        <v>1</v>
      </c>
      <c r="K269" s="162" t="s">
        <v>64</v>
      </c>
      <c r="L269" s="163" t="s">
        <v>110</v>
      </c>
      <c r="M269" s="162" t="s">
        <v>135</v>
      </c>
      <c r="N269" s="161" t="s">
        <v>91</v>
      </c>
      <c r="O269" s="161">
        <v>1</v>
      </c>
      <c r="P269" s="163">
        <v>1</v>
      </c>
      <c r="Q269" s="163"/>
      <c r="R269" s="162"/>
      <c r="S269" s="164">
        <f>TABLAINV[[#This Row],[Conteo Físico]]-TABLAINV[[#This Row],[Cant. UND]]</f>
        <v>0</v>
      </c>
      <c r="T26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6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69" s="165" t="str">
        <f>IFERROR(IF(MOD(TABLAINV[[#This Row],[C]],2)=0,"PAR","IMPAR"),"Zona")</f>
        <v>IMPAR</v>
      </c>
      <c r="W269" s="166"/>
      <c r="X269" s="167">
        <f>IFERROR(IF(TABLAINV[[#This Row],[Cant. UND]]=0,TABLAINV[[#This Row],[PMV]]*TABLAINV[[#This Row],[Conteo Físico]],TABLAINV[[#This Row],[PMV]]*TABLAINV[[#This Row],[Cant. UND]]),0)</f>
        <v>0</v>
      </c>
      <c r="Y269" s="167">
        <f>IFERROR(ABS(TABLAINV[[#This Row],[PMV]]*TABLAINV[[#This Row],[Diferencia]]),0)</f>
        <v>0</v>
      </c>
      <c r="Z269" s="168">
        <f>IFERROR(VLOOKUP(TABLAINV[[#This Row],[Codigo Estado]],unds!O:P,2,0),"PEND.")</f>
        <v>2001</v>
      </c>
      <c r="AA269" s="168" t="str">
        <f t="shared" si="16"/>
        <v>CD09</v>
      </c>
      <c r="AB269" s="169">
        <f t="shared" ca="1" si="17"/>
        <v>45827</v>
      </c>
      <c r="AC269" s="1"/>
      <c r="AD269" s="1"/>
      <c r="AE269" s="1"/>
      <c r="AF269" s="1"/>
    </row>
    <row r="270" spans="1:32" ht="15" customHeight="1" x14ac:dyDescent="0.2">
      <c r="A270" s="170" t="str">
        <f t="shared" si="15"/>
        <v>MRC01</v>
      </c>
      <c r="B270" s="160" t="str">
        <f>IF(TABLAINV[[#This Row],[Z]]="","",D270&amp;"."&amp;TEXT(E270,"000")&amp;"."&amp;TEXT(F270,"000")&amp;"."&amp;TEXT(G270,"000"))</f>
        <v>MR.C01.183.001</v>
      </c>
      <c r="C270" s="161"/>
      <c r="D270" s="162" t="s">
        <v>95</v>
      </c>
      <c r="E270" s="162" t="s">
        <v>96</v>
      </c>
      <c r="F270" s="162">
        <v>183</v>
      </c>
      <c r="G270" s="162">
        <v>1</v>
      </c>
      <c r="H270" s="162">
        <v>215669002</v>
      </c>
      <c r="I270" s="162" t="s">
        <v>343</v>
      </c>
      <c r="J270" s="171">
        <v>2</v>
      </c>
      <c r="K270" s="162" t="s">
        <v>64</v>
      </c>
      <c r="L270" s="163" t="s">
        <v>113</v>
      </c>
      <c r="M270" s="162" t="s">
        <v>99</v>
      </c>
      <c r="N270" s="161" t="s">
        <v>91</v>
      </c>
      <c r="O270" s="161">
        <v>2</v>
      </c>
      <c r="P270" s="163">
        <v>2</v>
      </c>
      <c r="Q270" s="163"/>
      <c r="R270" s="162"/>
      <c r="S270" s="164">
        <f>TABLAINV[[#This Row],[Conteo Físico]]-TABLAINV[[#This Row],[Cant. UND]]</f>
        <v>0</v>
      </c>
      <c r="T27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0" s="165" t="str">
        <f>IFERROR(IF(MOD(TABLAINV[[#This Row],[C]],2)=0,"PAR","IMPAR"),"Zona")</f>
        <v>IMPAR</v>
      </c>
      <c r="W270" s="166"/>
      <c r="X270" s="167">
        <f>IFERROR(IF(TABLAINV[[#This Row],[Cant. UND]]=0,TABLAINV[[#This Row],[PMV]]*TABLAINV[[#This Row],[Conteo Físico]],TABLAINV[[#This Row],[PMV]]*TABLAINV[[#This Row],[Cant. UND]]),0)</f>
        <v>0</v>
      </c>
      <c r="Y270" s="167">
        <f>IFERROR(ABS(TABLAINV[[#This Row],[PMV]]*TABLAINV[[#This Row],[Diferencia]]),0)</f>
        <v>0</v>
      </c>
      <c r="Z270" s="168">
        <f>IFERROR(VLOOKUP(TABLAINV[[#This Row],[Codigo Estado]],unds!O:P,2,0),"PEND.")</f>
        <v>2001</v>
      </c>
      <c r="AA270" s="168" t="str">
        <f t="shared" si="16"/>
        <v>CD09</v>
      </c>
      <c r="AB270" s="169">
        <f t="shared" ca="1" si="17"/>
        <v>45827</v>
      </c>
      <c r="AC270" s="1"/>
      <c r="AD270" s="1"/>
      <c r="AE270" s="1"/>
      <c r="AF270" s="1"/>
    </row>
    <row r="271" spans="1:32" ht="15" customHeight="1" x14ac:dyDescent="0.2">
      <c r="A271" s="170" t="str">
        <f t="shared" si="15"/>
        <v>MRC01</v>
      </c>
      <c r="B271" s="160" t="str">
        <f>IF(TABLAINV[[#This Row],[Z]]="","",D271&amp;"."&amp;TEXT(E271,"000")&amp;"."&amp;TEXT(F271,"000")&amp;"."&amp;TEXT(G271,"000"))</f>
        <v>MR.C01.183.001</v>
      </c>
      <c r="C271" s="161"/>
      <c r="D271" s="162" t="s">
        <v>95</v>
      </c>
      <c r="E271" s="162" t="s">
        <v>96</v>
      </c>
      <c r="F271" s="162">
        <v>183</v>
      </c>
      <c r="G271" s="162">
        <v>1</v>
      </c>
      <c r="H271" s="162">
        <v>768064</v>
      </c>
      <c r="I271" s="162" t="s">
        <v>344</v>
      </c>
      <c r="J271" s="171">
        <v>5</v>
      </c>
      <c r="K271" s="162" t="s">
        <v>64</v>
      </c>
      <c r="L271" s="163" t="s">
        <v>117</v>
      </c>
      <c r="M271" s="162" t="s">
        <v>99</v>
      </c>
      <c r="N271" s="161" t="s">
        <v>91</v>
      </c>
      <c r="O271" s="161">
        <v>5</v>
      </c>
      <c r="P271" s="163">
        <v>5</v>
      </c>
      <c r="Q271" s="163"/>
      <c r="R271" s="162"/>
      <c r="S271" s="164">
        <f>TABLAINV[[#This Row],[Conteo Físico]]-TABLAINV[[#This Row],[Cant. UND]]</f>
        <v>0</v>
      </c>
      <c r="T27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1" s="165" t="str">
        <f>IFERROR(IF(MOD(TABLAINV[[#This Row],[C]],2)=0,"PAR","IMPAR"),"Zona")</f>
        <v>IMPAR</v>
      </c>
      <c r="W271" s="166"/>
      <c r="X271" s="167">
        <f>IFERROR(IF(TABLAINV[[#This Row],[Cant. UND]]=0,TABLAINV[[#This Row],[PMV]]*TABLAINV[[#This Row],[Conteo Físico]],TABLAINV[[#This Row],[PMV]]*TABLAINV[[#This Row],[Cant. UND]]),0)</f>
        <v>0</v>
      </c>
      <c r="Y271" s="167">
        <f>IFERROR(ABS(TABLAINV[[#This Row],[PMV]]*TABLAINV[[#This Row],[Diferencia]]),0)</f>
        <v>0</v>
      </c>
      <c r="Z271" s="168">
        <f>IFERROR(VLOOKUP(TABLAINV[[#This Row],[Codigo Estado]],unds!O:P,2,0),"PEND.")</f>
        <v>2001</v>
      </c>
      <c r="AA271" s="168" t="str">
        <f t="shared" si="16"/>
        <v>CD09</v>
      </c>
      <c r="AB271" s="169">
        <f t="shared" ca="1" si="17"/>
        <v>45827</v>
      </c>
      <c r="AC271" s="1"/>
      <c r="AD271" s="1"/>
      <c r="AE271" s="1"/>
      <c r="AF271" s="1"/>
    </row>
    <row r="272" spans="1:32" ht="15" customHeight="1" x14ac:dyDescent="0.2">
      <c r="A272" s="170" t="str">
        <f t="shared" si="15"/>
        <v>MRC01</v>
      </c>
      <c r="B272" s="160" t="str">
        <f>IF(TABLAINV[[#This Row],[Z]]="","",D272&amp;"."&amp;TEXT(E272,"000")&amp;"."&amp;TEXT(F272,"000")&amp;"."&amp;TEXT(G272,"000"))</f>
        <v>MR.C01.183.001</v>
      </c>
      <c r="C272" s="161"/>
      <c r="D272" s="162" t="s">
        <v>95</v>
      </c>
      <c r="E272" s="162" t="s">
        <v>96</v>
      </c>
      <c r="F272" s="162">
        <v>183</v>
      </c>
      <c r="G272" s="162">
        <v>1</v>
      </c>
      <c r="H272" s="162">
        <v>974359</v>
      </c>
      <c r="I272" s="162" t="s">
        <v>345</v>
      </c>
      <c r="J272" s="171">
        <v>9</v>
      </c>
      <c r="K272" s="162" t="s">
        <v>64</v>
      </c>
      <c r="L272" s="163" t="s">
        <v>115</v>
      </c>
      <c r="M272" s="162" t="s">
        <v>99</v>
      </c>
      <c r="N272" s="161" t="s">
        <v>91</v>
      </c>
      <c r="O272" s="161">
        <v>9</v>
      </c>
      <c r="P272" s="163">
        <v>9</v>
      </c>
      <c r="Q272" s="163"/>
      <c r="R272" s="162"/>
      <c r="S272" s="164">
        <f>TABLAINV[[#This Row],[Conteo Físico]]-TABLAINV[[#This Row],[Cant. UND]]</f>
        <v>0</v>
      </c>
      <c r="T27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2" s="165" t="str">
        <f>IFERROR(IF(MOD(TABLAINV[[#This Row],[C]],2)=0,"PAR","IMPAR"),"Zona")</f>
        <v>IMPAR</v>
      </c>
      <c r="W272" s="166"/>
      <c r="X272" s="167">
        <f>IFERROR(IF(TABLAINV[[#This Row],[Cant. UND]]=0,TABLAINV[[#This Row],[PMV]]*TABLAINV[[#This Row],[Conteo Físico]],TABLAINV[[#This Row],[PMV]]*TABLAINV[[#This Row],[Cant. UND]]),0)</f>
        <v>0</v>
      </c>
      <c r="Y272" s="167">
        <f>IFERROR(ABS(TABLAINV[[#This Row],[PMV]]*TABLAINV[[#This Row],[Diferencia]]),0)</f>
        <v>0</v>
      </c>
      <c r="Z272" s="168">
        <f>IFERROR(VLOOKUP(TABLAINV[[#This Row],[Codigo Estado]],unds!O:P,2,0),"PEND.")</f>
        <v>2001</v>
      </c>
      <c r="AA272" s="168" t="str">
        <f t="shared" si="16"/>
        <v>CD09</v>
      </c>
      <c r="AB272" s="169">
        <f t="shared" ca="1" si="17"/>
        <v>45827</v>
      </c>
      <c r="AC272" s="1"/>
      <c r="AD272" s="1"/>
      <c r="AE272" s="1"/>
      <c r="AF272" s="1"/>
    </row>
    <row r="273" spans="1:32" ht="15" customHeight="1" x14ac:dyDescent="0.2">
      <c r="A273" s="170" t="str">
        <f t="shared" si="15"/>
        <v>MRC01</v>
      </c>
      <c r="B273" s="160" t="str">
        <f>IF(TABLAINV[[#This Row],[Z]]="","",D273&amp;"."&amp;TEXT(E273,"000")&amp;"."&amp;TEXT(F273,"000")&amp;"."&amp;TEXT(G273,"000"))</f>
        <v>MR.C01.183.002</v>
      </c>
      <c r="C273" s="161"/>
      <c r="D273" s="162" t="s">
        <v>95</v>
      </c>
      <c r="E273" s="162" t="s">
        <v>96</v>
      </c>
      <c r="F273" s="162">
        <v>183</v>
      </c>
      <c r="G273" s="162">
        <v>2</v>
      </c>
      <c r="H273" s="162">
        <v>186264</v>
      </c>
      <c r="I273" s="162" t="s">
        <v>346</v>
      </c>
      <c r="J273" s="171">
        <v>6</v>
      </c>
      <c r="K273" s="162" t="s">
        <v>64</v>
      </c>
      <c r="L273" s="163" t="s">
        <v>110</v>
      </c>
      <c r="M273" s="162" t="s">
        <v>135</v>
      </c>
      <c r="N273" s="161" t="s">
        <v>91</v>
      </c>
      <c r="O273" s="161">
        <v>6</v>
      </c>
      <c r="P273" s="163">
        <v>6</v>
      </c>
      <c r="Q273" s="163"/>
      <c r="R273" s="162"/>
      <c r="S273" s="164">
        <f>TABLAINV[[#This Row],[Conteo Físico]]-TABLAINV[[#This Row],[Cant. UND]]</f>
        <v>0</v>
      </c>
      <c r="T27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3" s="165" t="str">
        <f>IFERROR(IF(MOD(TABLAINV[[#This Row],[C]],2)=0,"PAR","IMPAR"),"Zona")</f>
        <v>IMPAR</v>
      </c>
      <c r="W273" s="166"/>
      <c r="X273" s="167">
        <f>IFERROR(IF(TABLAINV[[#This Row],[Cant. UND]]=0,TABLAINV[[#This Row],[PMV]]*TABLAINV[[#This Row],[Conteo Físico]],TABLAINV[[#This Row],[PMV]]*TABLAINV[[#This Row],[Cant. UND]]),0)</f>
        <v>0</v>
      </c>
      <c r="Y273" s="167">
        <f>IFERROR(ABS(TABLAINV[[#This Row],[PMV]]*TABLAINV[[#This Row],[Diferencia]]),0)</f>
        <v>0</v>
      </c>
      <c r="Z273" s="168">
        <f>IFERROR(VLOOKUP(TABLAINV[[#This Row],[Codigo Estado]],unds!O:P,2,0),"PEND.")</f>
        <v>2001</v>
      </c>
      <c r="AA273" s="168" t="str">
        <f t="shared" si="16"/>
        <v>CD09</v>
      </c>
      <c r="AB273" s="169">
        <f t="shared" ca="1" si="17"/>
        <v>45827</v>
      </c>
      <c r="AC273" s="1"/>
      <c r="AD273" s="1"/>
      <c r="AE273" s="1"/>
      <c r="AF273" s="1"/>
    </row>
    <row r="274" spans="1:32" ht="15" customHeight="1" x14ac:dyDescent="0.2">
      <c r="A274" s="170" t="str">
        <f t="shared" si="15"/>
        <v>MRC01</v>
      </c>
      <c r="B274" s="160" t="str">
        <f>IF(TABLAINV[[#This Row],[Z]]="","",D274&amp;"."&amp;TEXT(E274,"000")&amp;"."&amp;TEXT(F274,"000")&amp;"."&amp;TEXT(G274,"000"))</f>
        <v>MR.C01.183.002</v>
      </c>
      <c r="C274" s="161"/>
      <c r="D274" s="162" t="s">
        <v>95</v>
      </c>
      <c r="E274" s="162" t="s">
        <v>96</v>
      </c>
      <c r="F274" s="162">
        <v>183</v>
      </c>
      <c r="G274" s="162">
        <v>2</v>
      </c>
      <c r="H274" s="162">
        <v>515988</v>
      </c>
      <c r="I274" s="162" t="s">
        <v>347</v>
      </c>
      <c r="J274" s="171">
        <v>4</v>
      </c>
      <c r="K274" s="162" t="s">
        <v>64</v>
      </c>
      <c r="L274" s="163" t="s">
        <v>134</v>
      </c>
      <c r="M274" s="162" t="s">
        <v>135</v>
      </c>
      <c r="N274" s="161" t="s">
        <v>91</v>
      </c>
      <c r="O274" s="161">
        <v>4</v>
      </c>
      <c r="P274" s="163">
        <v>4</v>
      </c>
      <c r="Q274" s="163"/>
      <c r="R274" s="162"/>
      <c r="S274" s="164">
        <f>TABLAINV[[#This Row],[Conteo Físico]]-TABLAINV[[#This Row],[Cant. UND]]</f>
        <v>0</v>
      </c>
      <c r="T27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4" s="165" t="str">
        <f>IFERROR(IF(MOD(TABLAINV[[#This Row],[C]],2)=0,"PAR","IMPAR"),"Zona")</f>
        <v>IMPAR</v>
      </c>
      <c r="W274" s="166"/>
      <c r="X274" s="167">
        <f>IFERROR(IF(TABLAINV[[#This Row],[Cant. UND]]=0,TABLAINV[[#This Row],[PMV]]*TABLAINV[[#This Row],[Conteo Físico]],TABLAINV[[#This Row],[PMV]]*TABLAINV[[#This Row],[Cant. UND]]),0)</f>
        <v>0</v>
      </c>
      <c r="Y274" s="167">
        <f>IFERROR(ABS(TABLAINV[[#This Row],[PMV]]*TABLAINV[[#This Row],[Diferencia]]),0)</f>
        <v>0</v>
      </c>
      <c r="Z274" s="168">
        <f>IFERROR(VLOOKUP(TABLAINV[[#This Row],[Codigo Estado]],unds!O:P,2,0),"PEND.")</f>
        <v>2001</v>
      </c>
      <c r="AA274" s="168" t="str">
        <f t="shared" si="16"/>
        <v>CD09</v>
      </c>
      <c r="AB274" s="169">
        <f t="shared" ca="1" si="17"/>
        <v>45827</v>
      </c>
      <c r="AC274" s="1"/>
      <c r="AD274" s="1"/>
      <c r="AE274" s="1"/>
      <c r="AF274" s="1"/>
    </row>
    <row r="275" spans="1:32" ht="15" customHeight="1" x14ac:dyDescent="0.2">
      <c r="A275" s="170" t="str">
        <f t="shared" si="15"/>
        <v>MRC01</v>
      </c>
      <c r="B275" s="160" t="str">
        <f>IF(TABLAINV[[#This Row],[Z]]="","",D275&amp;"."&amp;TEXT(E275,"000")&amp;"."&amp;TEXT(F275,"000")&amp;"."&amp;TEXT(G275,"000"))</f>
        <v>MR.C01.183.002</v>
      </c>
      <c r="C275" s="161"/>
      <c r="D275" s="162" t="s">
        <v>95</v>
      </c>
      <c r="E275" s="162" t="s">
        <v>96</v>
      </c>
      <c r="F275" s="162">
        <v>183</v>
      </c>
      <c r="G275" s="162">
        <v>2</v>
      </c>
      <c r="H275" s="162">
        <v>545902</v>
      </c>
      <c r="I275" s="162" t="s">
        <v>348</v>
      </c>
      <c r="J275" s="171">
        <v>3</v>
      </c>
      <c r="K275" s="162" t="s">
        <v>64</v>
      </c>
      <c r="L275" s="163" t="s">
        <v>134</v>
      </c>
      <c r="M275" s="162" t="s">
        <v>135</v>
      </c>
      <c r="N275" s="161" t="s">
        <v>91</v>
      </c>
      <c r="O275" s="161">
        <v>3</v>
      </c>
      <c r="P275" s="163">
        <v>3</v>
      </c>
      <c r="Q275" s="163"/>
      <c r="R275" s="162"/>
      <c r="S275" s="164">
        <f>TABLAINV[[#This Row],[Conteo Físico]]-TABLAINV[[#This Row],[Cant. UND]]</f>
        <v>0</v>
      </c>
      <c r="T27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5" s="165" t="str">
        <f>IFERROR(IF(MOD(TABLAINV[[#This Row],[C]],2)=0,"PAR","IMPAR"),"Zona")</f>
        <v>IMPAR</v>
      </c>
      <c r="W275" s="166"/>
      <c r="X275" s="167">
        <f>IFERROR(IF(TABLAINV[[#This Row],[Cant. UND]]=0,TABLAINV[[#This Row],[PMV]]*TABLAINV[[#This Row],[Conteo Físico]],TABLAINV[[#This Row],[PMV]]*TABLAINV[[#This Row],[Cant. UND]]),0)</f>
        <v>0</v>
      </c>
      <c r="Y275" s="167">
        <f>IFERROR(ABS(TABLAINV[[#This Row],[PMV]]*TABLAINV[[#This Row],[Diferencia]]),0)</f>
        <v>0</v>
      </c>
      <c r="Z275" s="168">
        <f>IFERROR(VLOOKUP(TABLAINV[[#This Row],[Codigo Estado]],unds!O:P,2,0),"PEND.")</f>
        <v>2001</v>
      </c>
      <c r="AA275" s="168" t="str">
        <f t="shared" si="16"/>
        <v>CD09</v>
      </c>
      <c r="AB275" s="169">
        <f t="shared" ca="1" si="17"/>
        <v>45827</v>
      </c>
      <c r="AC275" s="1"/>
      <c r="AD275" s="1"/>
      <c r="AE275" s="1"/>
      <c r="AF275" s="1"/>
    </row>
    <row r="276" spans="1:32" ht="15" customHeight="1" x14ac:dyDescent="0.2">
      <c r="A276" s="170" t="str">
        <f t="shared" si="15"/>
        <v>MRC01</v>
      </c>
      <c r="B276" s="160" t="str">
        <f>IF(TABLAINV[[#This Row],[Z]]="","",D276&amp;"."&amp;TEXT(E276,"000")&amp;"."&amp;TEXT(F276,"000")&amp;"."&amp;TEXT(G276,"000"))</f>
        <v>MR.C01.183.002</v>
      </c>
      <c r="C276" s="161"/>
      <c r="D276" s="162" t="s">
        <v>95</v>
      </c>
      <c r="E276" s="162" t="s">
        <v>96</v>
      </c>
      <c r="F276" s="162">
        <v>183</v>
      </c>
      <c r="G276" s="162">
        <v>2</v>
      </c>
      <c r="H276" s="162">
        <v>720432</v>
      </c>
      <c r="I276" s="162" t="s">
        <v>338</v>
      </c>
      <c r="J276" s="171">
        <v>1</v>
      </c>
      <c r="K276" s="162" t="s">
        <v>64</v>
      </c>
      <c r="L276" s="163" t="s">
        <v>98</v>
      </c>
      <c r="M276" s="162" t="s">
        <v>99</v>
      </c>
      <c r="N276" s="161" t="s">
        <v>91</v>
      </c>
      <c r="O276" s="161">
        <v>1</v>
      </c>
      <c r="P276" s="163">
        <v>1</v>
      </c>
      <c r="Q276" s="163"/>
      <c r="R276" s="162"/>
      <c r="S276" s="164">
        <f>TABLAINV[[#This Row],[Conteo Físico]]-TABLAINV[[#This Row],[Cant. UND]]</f>
        <v>0</v>
      </c>
      <c r="T27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6" s="165" t="str">
        <f>IFERROR(IF(MOD(TABLAINV[[#This Row],[C]],2)=0,"PAR","IMPAR"),"Zona")</f>
        <v>IMPAR</v>
      </c>
      <c r="W276" s="166"/>
      <c r="X276" s="167">
        <f>IFERROR(IF(TABLAINV[[#This Row],[Cant. UND]]=0,TABLAINV[[#This Row],[PMV]]*TABLAINV[[#This Row],[Conteo Físico]],TABLAINV[[#This Row],[PMV]]*TABLAINV[[#This Row],[Cant. UND]]),0)</f>
        <v>0</v>
      </c>
      <c r="Y276" s="167">
        <f>IFERROR(ABS(TABLAINV[[#This Row],[PMV]]*TABLAINV[[#This Row],[Diferencia]]),0)</f>
        <v>0</v>
      </c>
      <c r="Z276" s="168">
        <f>IFERROR(VLOOKUP(TABLAINV[[#This Row],[Codigo Estado]],unds!O:P,2,0),"PEND.")</f>
        <v>2001</v>
      </c>
      <c r="AA276" s="168" t="str">
        <f t="shared" si="16"/>
        <v>CD09</v>
      </c>
      <c r="AB276" s="169">
        <f t="shared" ca="1" si="17"/>
        <v>45827</v>
      </c>
      <c r="AC276" s="1"/>
      <c r="AD276" s="1"/>
      <c r="AE276" s="1"/>
      <c r="AF276" s="1"/>
    </row>
    <row r="277" spans="1:32" ht="15" customHeight="1" x14ac:dyDescent="0.2">
      <c r="A277" s="170" t="str">
        <f t="shared" si="15"/>
        <v>MRC01</v>
      </c>
      <c r="B277" s="160" t="str">
        <f>IF(TABLAINV[[#This Row],[Z]]="","",D277&amp;"."&amp;TEXT(E277,"000")&amp;"."&amp;TEXT(F277,"000")&amp;"."&amp;TEXT(G277,"000"))</f>
        <v>MR.C01.183.002</v>
      </c>
      <c r="C277" s="161"/>
      <c r="D277" s="162" t="s">
        <v>95</v>
      </c>
      <c r="E277" s="162" t="s">
        <v>96</v>
      </c>
      <c r="F277" s="162">
        <v>183</v>
      </c>
      <c r="G277" s="162">
        <v>2</v>
      </c>
      <c r="H277" s="162">
        <v>733536</v>
      </c>
      <c r="I277" s="162" t="s">
        <v>349</v>
      </c>
      <c r="J277" s="171">
        <v>1</v>
      </c>
      <c r="K277" s="162" t="s">
        <v>64</v>
      </c>
      <c r="L277" s="163" t="s">
        <v>115</v>
      </c>
      <c r="M277" s="162" t="s">
        <v>99</v>
      </c>
      <c r="N277" s="161" t="s">
        <v>91</v>
      </c>
      <c r="O277" s="161">
        <v>1</v>
      </c>
      <c r="P277" s="163">
        <v>1</v>
      </c>
      <c r="Q277" s="163"/>
      <c r="R277" s="162"/>
      <c r="S277" s="164">
        <f>TABLAINV[[#This Row],[Conteo Físico]]-TABLAINV[[#This Row],[Cant. UND]]</f>
        <v>0</v>
      </c>
      <c r="T27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7" s="165" t="str">
        <f>IFERROR(IF(MOD(TABLAINV[[#This Row],[C]],2)=0,"PAR","IMPAR"),"Zona")</f>
        <v>IMPAR</v>
      </c>
      <c r="W277" s="166"/>
      <c r="X277" s="167">
        <f>IFERROR(IF(TABLAINV[[#This Row],[Cant. UND]]=0,TABLAINV[[#This Row],[PMV]]*TABLAINV[[#This Row],[Conteo Físico]],TABLAINV[[#This Row],[PMV]]*TABLAINV[[#This Row],[Cant. UND]]),0)</f>
        <v>0</v>
      </c>
      <c r="Y277" s="167">
        <f>IFERROR(ABS(TABLAINV[[#This Row],[PMV]]*TABLAINV[[#This Row],[Diferencia]]),0)</f>
        <v>0</v>
      </c>
      <c r="Z277" s="168">
        <f>IFERROR(VLOOKUP(TABLAINV[[#This Row],[Codigo Estado]],unds!O:P,2,0),"PEND.")</f>
        <v>2001</v>
      </c>
      <c r="AA277" s="168" t="str">
        <f t="shared" si="16"/>
        <v>CD09</v>
      </c>
      <c r="AB277" s="169">
        <f t="shared" ca="1" si="17"/>
        <v>45827</v>
      </c>
      <c r="AC277" s="1"/>
      <c r="AD277" s="1"/>
      <c r="AE277" s="1"/>
      <c r="AF277" s="1"/>
    </row>
    <row r="278" spans="1:32" ht="15" customHeight="1" x14ac:dyDescent="0.2">
      <c r="A278" s="170" t="str">
        <f t="shared" si="15"/>
        <v>MRC01</v>
      </c>
      <c r="B278" s="160" t="str">
        <f>IF(TABLAINV[[#This Row],[Z]]="","",D278&amp;"."&amp;TEXT(E278,"000")&amp;"."&amp;TEXT(F278,"000")&amp;"."&amp;TEXT(G278,"000"))</f>
        <v>MR.C01.183.002</v>
      </c>
      <c r="C278" s="161"/>
      <c r="D278" s="162" t="s">
        <v>95</v>
      </c>
      <c r="E278" s="162" t="s">
        <v>96</v>
      </c>
      <c r="F278" s="162">
        <v>183</v>
      </c>
      <c r="G278" s="162">
        <v>2</v>
      </c>
      <c r="H278" s="162">
        <v>964925001</v>
      </c>
      <c r="I278" s="162" t="s">
        <v>350</v>
      </c>
      <c r="J278" s="171">
        <v>6</v>
      </c>
      <c r="K278" s="162" t="s">
        <v>64</v>
      </c>
      <c r="L278" s="163" t="s">
        <v>115</v>
      </c>
      <c r="M278" s="162" t="s">
        <v>99</v>
      </c>
      <c r="N278" s="161" t="s">
        <v>91</v>
      </c>
      <c r="O278" s="161">
        <v>6</v>
      </c>
      <c r="P278" s="163">
        <v>6</v>
      </c>
      <c r="Q278" s="163"/>
      <c r="R278" s="162"/>
      <c r="S278" s="164">
        <f>TABLAINV[[#This Row],[Conteo Físico]]-TABLAINV[[#This Row],[Cant. UND]]</f>
        <v>0</v>
      </c>
      <c r="T27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8" s="165" t="str">
        <f>IFERROR(IF(MOD(TABLAINV[[#This Row],[C]],2)=0,"PAR","IMPAR"),"Zona")</f>
        <v>IMPAR</v>
      </c>
      <c r="W278" s="166"/>
      <c r="X278" s="167">
        <f>IFERROR(IF(TABLAINV[[#This Row],[Cant. UND]]=0,TABLAINV[[#This Row],[PMV]]*TABLAINV[[#This Row],[Conteo Físico]],TABLAINV[[#This Row],[PMV]]*TABLAINV[[#This Row],[Cant. UND]]),0)</f>
        <v>0</v>
      </c>
      <c r="Y278" s="167">
        <f>IFERROR(ABS(TABLAINV[[#This Row],[PMV]]*TABLAINV[[#This Row],[Diferencia]]),0)</f>
        <v>0</v>
      </c>
      <c r="Z278" s="168">
        <f>IFERROR(VLOOKUP(TABLAINV[[#This Row],[Codigo Estado]],unds!O:P,2,0),"PEND.")</f>
        <v>2001</v>
      </c>
      <c r="AA278" s="168" t="str">
        <f t="shared" si="16"/>
        <v>CD09</v>
      </c>
      <c r="AB278" s="169">
        <f t="shared" ca="1" si="17"/>
        <v>45827</v>
      </c>
      <c r="AC278" s="1"/>
      <c r="AD278" s="1"/>
      <c r="AE278" s="1"/>
      <c r="AF278" s="1"/>
    </row>
    <row r="279" spans="1:32" ht="15" customHeight="1" x14ac:dyDescent="0.2">
      <c r="A279" s="170" t="str">
        <f t="shared" si="15"/>
        <v>MRC01</v>
      </c>
      <c r="B279" s="160" t="str">
        <f>IF(TABLAINV[[#This Row],[Z]]="","",D279&amp;"."&amp;TEXT(E279,"000")&amp;"."&amp;TEXT(F279,"000")&amp;"."&amp;TEXT(G279,"000"))</f>
        <v>MR.C01.185.001</v>
      </c>
      <c r="C279" s="161"/>
      <c r="D279" s="162" t="s">
        <v>95</v>
      </c>
      <c r="E279" s="162" t="s">
        <v>96</v>
      </c>
      <c r="F279" s="162">
        <v>185</v>
      </c>
      <c r="G279" s="162">
        <v>1</v>
      </c>
      <c r="H279" s="162">
        <v>1031097</v>
      </c>
      <c r="I279" s="162" t="s">
        <v>351</v>
      </c>
      <c r="J279" s="171">
        <v>10</v>
      </c>
      <c r="K279" s="162" t="s">
        <v>64</v>
      </c>
      <c r="L279" s="163" t="s">
        <v>115</v>
      </c>
      <c r="M279" s="162" t="s">
        <v>99</v>
      </c>
      <c r="N279" s="161" t="s">
        <v>91</v>
      </c>
      <c r="O279" s="161">
        <v>10</v>
      </c>
      <c r="P279" s="163">
        <v>10</v>
      </c>
      <c r="Q279" s="163"/>
      <c r="R279" s="162"/>
      <c r="S279" s="164">
        <f>TABLAINV[[#This Row],[Conteo Físico]]-TABLAINV[[#This Row],[Cant. UND]]</f>
        <v>0</v>
      </c>
      <c r="T27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7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79" s="165" t="str">
        <f>IFERROR(IF(MOD(TABLAINV[[#This Row],[C]],2)=0,"PAR","IMPAR"),"Zona")</f>
        <v>IMPAR</v>
      </c>
      <c r="W279" s="166"/>
      <c r="X279" s="167">
        <f>IFERROR(IF(TABLAINV[[#This Row],[Cant. UND]]=0,TABLAINV[[#This Row],[PMV]]*TABLAINV[[#This Row],[Conteo Físico]],TABLAINV[[#This Row],[PMV]]*TABLAINV[[#This Row],[Cant. UND]]),0)</f>
        <v>0</v>
      </c>
      <c r="Y279" s="167">
        <f>IFERROR(ABS(TABLAINV[[#This Row],[PMV]]*TABLAINV[[#This Row],[Diferencia]]),0)</f>
        <v>0</v>
      </c>
      <c r="Z279" s="168">
        <f>IFERROR(VLOOKUP(TABLAINV[[#This Row],[Codigo Estado]],unds!O:P,2,0),"PEND.")</f>
        <v>2001</v>
      </c>
      <c r="AA279" s="168" t="str">
        <f t="shared" si="16"/>
        <v>CD09</v>
      </c>
      <c r="AB279" s="169">
        <f t="shared" ca="1" si="17"/>
        <v>45827</v>
      </c>
      <c r="AC279" s="1"/>
      <c r="AD279" s="1"/>
      <c r="AE279" s="1"/>
      <c r="AF279" s="1"/>
    </row>
    <row r="280" spans="1:32" ht="15" customHeight="1" x14ac:dyDescent="0.2">
      <c r="A280" s="170" t="str">
        <f t="shared" si="15"/>
        <v>MRC01</v>
      </c>
      <c r="B280" s="160" t="str">
        <f>IF(TABLAINV[[#This Row],[Z]]="","",D280&amp;"."&amp;TEXT(E280,"000")&amp;"."&amp;TEXT(F280,"000")&amp;"."&amp;TEXT(G280,"000"))</f>
        <v>MR.C01.185.001</v>
      </c>
      <c r="C280" s="161"/>
      <c r="D280" s="162" t="s">
        <v>95</v>
      </c>
      <c r="E280" s="162" t="s">
        <v>96</v>
      </c>
      <c r="F280" s="162">
        <v>185</v>
      </c>
      <c r="G280" s="162">
        <v>1</v>
      </c>
      <c r="H280" s="162">
        <v>1032075</v>
      </c>
      <c r="I280" s="162" t="s">
        <v>352</v>
      </c>
      <c r="J280" s="171">
        <v>9</v>
      </c>
      <c r="K280" s="162" t="s">
        <v>64</v>
      </c>
      <c r="L280" s="163" t="s">
        <v>115</v>
      </c>
      <c r="M280" s="162" t="s">
        <v>99</v>
      </c>
      <c r="N280" s="161" t="s">
        <v>91</v>
      </c>
      <c r="O280" s="161">
        <v>9</v>
      </c>
      <c r="P280" s="163">
        <v>9</v>
      </c>
      <c r="Q280" s="163"/>
      <c r="R280" s="162"/>
      <c r="S280" s="164">
        <f>TABLAINV[[#This Row],[Conteo Físico]]-TABLAINV[[#This Row],[Cant. UND]]</f>
        <v>0</v>
      </c>
      <c r="T28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0" s="165" t="str">
        <f>IFERROR(IF(MOD(TABLAINV[[#This Row],[C]],2)=0,"PAR","IMPAR"),"Zona")</f>
        <v>IMPAR</v>
      </c>
      <c r="W280" s="166"/>
      <c r="X280" s="167">
        <f>IFERROR(IF(TABLAINV[[#This Row],[Cant. UND]]=0,TABLAINV[[#This Row],[PMV]]*TABLAINV[[#This Row],[Conteo Físico]],TABLAINV[[#This Row],[PMV]]*TABLAINV[[#This Row],[Cant. UND]]),0)</f>
        <v>0</v>
      </c>
      <c r="Y280" s="167">
        <f>IFERROR(ABS(TABLAINV[[#This Row],[PMV]]*TABLAINV[[#This Row],[Diferencia]]),0)</f>
        <v>0</v>
      </c>
      <c r="Z280" s="168">
        <f>IFERROR(VLOOKUP(TABLAINV[[#This Row],[Codigo Estado]],unds!O:P,2,0),"PEND.")</f>
        <v>2001</v>
      </c>
      <c r="AA280" s="168" t="str">
        <f t="shared" si="16"/>
        <v>CD09</v>
      </c>
      <c r="AB280" s="169">
        <f t="shared" ca="1" si="17"/>
        <v>45827</v>
      </c>
      <c r="AC280" s="1"/>
      <c r="AD280" s="1"/>
      <c r="AE280" s="1"/>
      <c r="AF280" s="1"/>
    </row>
    <row r="281" spans="1:32" ht="15" customHeight="1" x14ac:dyDescent="0.2">
      <c r="A281" s="170" t="str">
        <f t="shared" si="15"/>
        <v>MRC01</v>
      </c>
      <c r="B281" s="160" t="str">
        <f>IF(TABLAINV[[#This Row],[Z]]="","",D281&amp;"."&amp;TEXT(E281,"000")&amp;"."&amp;TEXT(F281,"000")&amp;"."&amp;TEXT(G281,"000"))</f>
        <v>MR.C01.185.001</v>
      </c>
      <c r="C281" s="161"/>
      <c r="D281" s="162" t="s">
        <v>95</v>
      </c>
      <c r="E281" s="162" t="s">
        <v>96</v>
      </c>
      <c r="F281" s="162">
        <v>185</v>
      </c>
      <c r="G281" s="162">
        <v>1</v>
      </c>
      <c r="H281" s="162">
        <v>3746</v>
      </c>
      <c r="I281" s="162" t="s">
        <v>353</v>
      </c>
      <c r="J281" s="171">
        <v>6</v>
      </c>
      <c r="K281" s="162" t="s">
        <v>64</v>
      </c>
      <c r="L281" s="163" t="s">
        <v>110</v>
      </c>
      <c r="M281" s="162" t="s">
        <v>135</v>
      </c>
      <c r="N281" s="161" t="s">
        <v>91</v>
      </c>
      <c r="O281" s="161">
        <v>6</v>
      </c>
      <c r="P281" s="163">
        <v>6</v>
      </c>
      <c r="Q281" s="163"/>
      <c r="R281" s="162"/>
      <c r="S281" s="164">
        <f>TABLAINV[[#This Row],[Conteo Físico]]-TABLAINV[[#This Row],[Cant. UND]]</f>
        <v>0</v>
      </c>
      <c r="T28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1" s="165" t="str">
        <f>IFERROR(IF(MOD(TABLAINV[[#This Row],[C]],2)=0,"PAR","IMPAR"),"Zona")</f>
        <v>IMPAR</v>
      </c>
      <c r="W281" s="166"/>
      <c r="X281" s="167">
        <f>IFERROR(IF(TABLAINV[[#This Row],[Cant. UND]]=0,TABLAINV[[#This Row],[PMV]]*TABLAINV[[#This Row],[Conteo Físico]],TABLAINV[[#This Row],[PMV]]*TABLAINV[[#This Row],[Cant. UND]]),0)</f>
        <v>0</v>
      </c>
      <c r="Y281" s="167">
        <f>IFERROR(ABS(TABLAINV[[#This Row],[PMV]]*TABLAINV[[#This Row],[Diferencia]]),0)</f>
        <v>0</v>
      </c>
      <c r="Z281" s="168">
        <f>IFERROR(VLOOKUP(TABLAINV[[#This Row],[Codigo Estado]],unds!O:P,2,0),"PEND.")</f>
        <v>2001</v>
      </c>
      <c r="AA281" s="168" t="str">
        <f t="shared" si="16"/>
        <v>CD09</v>
      </c>
      <c r="AB281" s="169">
        <f t="shared" ca="1" si="17"/>
        <v>45827</v>
      </c>
      <c r="AC281" s="1"/>
      <c r="AD281" s="1"/>
      <c r="AE281" s="1"/>
      <c r="AF281" s="1"/>
    </row>
    <row r="282" spans="1:32" ht="15" customHeight="1" x14ac:dyDescent="0.2">
      <c r="A282" s="170" t="str">
        <f t="shared" si="15"/>
        <v>MRC01</v>
      </c>
      <c r="B282" s="160" t="str">
        <f>IF(TABLAINV[[#This Row],[Z]]="","",D282&amp;"."&amp;TEXT(E282,"000")&amp;"."&amp;TEXT(F282,"000")&amp;"."&amp;TEXT(G282,"000"))</f>
        <v>MR.C01.185.001</v>
      </c>
      <c r="C282" s="161"/>
      <c r="D282" s="162" t="s">
        <v>95</v>
      </c>
      <c r="E282" s="162" t="s">
        <v>96</v>
      </c>
      <c r="F282" s="162">
        <v>185</v>
      </c>
      <c r="G282" s="162">
        <v>1</v>
      </c>
      <c r="H282" s="162">
        <v>563849003</v>
      </c>
      <c r="I282" s="162" t="s">
        <v>354</v>
      </c>
      <c r="J282" s="171">
        <v>3</v>
      </c>
      <c r="K282" s="162" t="s">
        <v>64</v>
      </c>
      <c r="L282" s="163" t="s">
        <v>110</v>
      </c>
      <c r="M282" s="162" t="s">
        <v>135</v>
      </c>
      <c r="N282" s="161" t="s">
        <v>91</v>
      </c>
      <c r="O282" s="161">
        <v>3</v>
      </c>
      <c r="P282" s="163">
        <v>3</v>
      </c>
      <c r="Q282" s="163"/>
      <c r="R282" s="162"/>
      <c r="S282" s="164">
        <f>TABLAINV[[#This Row],[Conteo Físico]]-TABLAINV[[#This Row],[Cant. UND]]</f>
        <v>0</v>
      </c>
      <c r="T28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2" s="165" t="str">
        <f>IFERROR(IF(MOD(TABLAINV[[#This Row],[C]],2)=0,"PAR","IMPAR"),"Zona")</f>
        <v>IMPAR</v>
      </c>
      <c r="W282" s="166"/>
      <c r="X282" s="167">
        <f>IFERROR(IF(TABLAINV[[#This Row],[Cant. UND]]=0,TABLAINV[[#This Row],[PMV]]*TABLAINV[[#This Row],[Conteo Físico]],TABLAINV[[#This Row],[PMV]]*TABLAINV[[#This Row],[Cant. UND]]),0)</f>
        <v>0</v>
      </c>
      <c r="Y282" s="167">
        <f>IFERROR(ABS(TABLAINV[[#This Row],[PMV]]*TABLAINV[[#This Row],[Diferencia]]),0)</f>
        <v>0</v>
      </c>
      <c r="Z282" s="168">
        <f>IFERROR(VLOOKUP(TABLAINV[[#This Row],[Codigo Estado]],unds!O:P,2,0),"PEND.")</f>
        <v>2001</v>
      </c>
      <c r="AA282" s="168" t="str">
        <f t="shared" si="16"/>
        <v>CD09</v>
      </c>
      <c r="AB282" s="169">
        <f t="shared" ca="1" si="17"/>
        <v>45827</v>
      </c>
      <c r="AC282" s="1"/>
      <c r="AD282" s="1"/>
      <c r="AE282" s="1"/>
      <c r="AF282" s="1"/>
    </row>
    <row r="283" spans="1:32" ht="15" customHeight="1" x14ac:dyDescent="0.2">
      <c r="A283" s="170" t="str">
        <f t="shared" si="15"/>
        <v>MRC01</v>
      </c>
      <c r="B283" s="160" t="str">
        <f>IF(TABLAINV[[#This Row],[Z]]="","",D283&amp;"."&amp;TEXT(E283,"000")&amp;"."&amp;TEXT(F283,"000")&amp;"."&amp;TEXT(G283,"000"))</f>
        <v>MR.C01.185.001</v>
      </c>
      <c r="C283" s="161"/>
      <c r="D283" s="162" t="s">
        <v>95</v>
      </c>
      <c r="E283" s="162" t="s">
        <v>96</v>
      </c>
      <c r="F283" s="162">
        <v>185</v>
      </c>
      <c r="G283" s="162">
        <v>1</v>
      </c>
      <c r="H283" s="162">
        <v>975710</v>
      </c>
      <c r="I283" s="162" t="s">
        <v>355</v>
      </c>
      <c r="J283" s="171">
        <v>1</v>
      </c>
      <c r="K283" s="162" t="s">
        <v>64</v>
      </c>
      <c r="L283" s="163" t="s">
        <v>117</v>
      </c>
      <c r="M283" s="162" t="s">
        <v>99</v>
      </c>
      <c r="N283" s="161" t="s">
        <v>91</v>
      </c>
      <c r="O283" s="161">
        <v>1</v>
      </c>
      <c r="P283" s="163">
        <v>1</v>
      </c>
      <c r="Q283" s="163"/>
      <c r="R283" s="162"/>
      <c r="S283" s="164">
        <f>TABLAINV[[#This Row],[Conteo Físico]]-TABLAINV[[#This Row],[Cant. UND]]</f>
        <v>0</v>
      </c>
      <c r="T28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3" s="165" t="str">
        <f>IFERROR(IF(MOD(TABLAINV[[#This Row],[C]],2)=0,"PAR","IMPAR"),"Zona")</f>
        <v>IMPAR</v>
      </c>
      <c r="W283" s="166"/>
      <c r="X283" s="167">
        <f>IFERROR(IF(TABLAINV[[#This Row],[Cant. UND]]=0,TABLAINV[[#This Row],[PMV]]*TABLAINV[[#This Row],[Conteo Físico]],TABLAINV[[#This Row],[PMV]]*TABLAINV[[#This Row],[Cant. UND]]),0)</f>
        <v>0</v>
      </c>
      <c r="Y283" s="167">
        <f>IFERROR(ABS(TABLAINV[[#This Row],[PMV]]*TABLAINV[[#This Row],[Diferencia]]),0)</f>
        <v>0</v>
      </c>
      <c r="Z283" s="168">
        <f>IFERROR(VLOOKUP(TABLAINV[[#This Row],[Codigo Estado]],unds!O:P,2,0),"PEND.")</f>
        <v>2001</v>
      </c>
      <c r="AA283" s="168" t="str">
        <f t="shared" si="16"/>
        <v>CD09</v>
      </c>
      <c r="AB283" s="169">
        <f t="shared" ca="1" si="17"/>
        <v>45827</v>
      </c>
      <c r="AC283" s="1"/>
      <c r="AD283" s="1"/>
      <c r="AE283" s="1"/>
      <c r="AF283" s="1"/>
    </row>
    <row r="284" spans="1:32" ht="15" customHeight="1" x14ac:dyDescent="0.2">
      <c r="A284" s="170" t="str">
        <f t="shared" si="15"/>
        <v>MRC01</v>
      </c>
      <c r="B284" s="160" t="str">
        <f>IF(TABLAINV[[#This Row],[Z]]="","",D284&amp;"."&amp;TEXT(E284,"000")&amp;"."&amp;TEXT(F284,"000")&amp;"."&amp;TEXT(G284,"000"))</f>
        <v>MR.C01.185.002</v>
      </c>
      <c r="C284" s="161"/>
      <c r="D284" s="162" t="s">
        <v>95</v>
      </c>
      <c r="E284" s="162" t="s">
        <v>96</v>
      </c>
      <c r="F284" s="162">
        <v>185</v>
      </c>
      <c r="G284" s="162">
        <v>2</v>
      </c>
      <c r="H284" s="162">
        <v>127638</v>
      </c>
      <c r="I284" s="162" t="s">
        <v>356</v>
      </c>
      <c r="J284" s="171">
        <v>8</v>
      </c>
      <c r="K284" s="162" t="s">
        <v>64</v>
      </c>
      <c r="L284" s="163" t="s">
        <v>115</v>
      </c>
      <c r="M284" s="162" t="s">
        <v>99</v>
      </c>
      <c r="N284" s="161" t="s">
        <v>91</v>
      </c>
      <c r="O284" s="161">
        <v>8</v>
      </c>
      <c r="P284" s="163">
        <v>8</v>
      </c>
      <c r="Q284" s="163"/>
      <c r="R284" s="162"/>
      <c r="S284" s="164">
        <f>TABLAINV[[#This Row],[Conteo Físico]]-TABLAINV[[#This Row],[Cant. UND]]</f>
        <v>0</v>
      </c>
      <c r="T28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4" s="165" t="str">
        <f>IFERROR(IF(MOD(TABLAINV[[#This Row],[C]],2)=0,"PAR","IMPAR"),"Zona")</f>
        <v>IMPAR</v>
      </c>
      <c r="W284" s="166"/>
      <c r="X284" s="167">
        <f>IFERROR(IF(TABLAINV[[#This Row],[Cant. UND]]=0,TABLAINV[[#This Row],[PMV]]*TABLAINV[[#This Row],[Conteo Físico]],TABLAINV[[#This Row],[PMV]]*TABLAINV[[#This Row],[Cant. UND]]),0)</f>
        <v>0</v>
      </c>
      <c r="Y284" s="167">
        <f>IFERROR(ABS(TABLAINV[[#This Row],[PMV]]*TABLAINV[[#This Row],[Diferencia]]),0)</f>
        <v>0</v>
      </c>
      <c r="Z284" s="168">
        <f>IFERROR(VLOOKUP(TABLAINV[[#This Row],[Codigo Estado]],unds!O:P,2,0),"PEND.")</f>
        <v>2001</v>
      </c>
      <c r="AA284" s="168" t="str">
        <f t="shared" si="16"/>
        <v>CD09</v>
      </c>
      <c r="AB284" s="169">
        <f t="shared" ca="1" si="17"/>
        <v>45827</v>
      </c>
      <c r="AC284" s="1"/>
      <c r="AD284" s="1"/>
      <c r="AE284" s="1"/>
      <c r="AF284" s="1"/>
    </row>
    <row r="285" spans="1:32" ht="15" customHeight="1" x14ac:dyDescent="0.2">
      <c r="A285" s="170" t="str">
        <f t="shared" si="15"/>
        <v>MRC01</v>
      </c>
      <c r="B285" s="160" t="str">
        <f>IF(TABLAINV[[#This Row],[Z]]="","",D285&amp;"."&amp;TEXT(E285,"000")&amp;"."&amp;TEXT(F285,"000")&amp;"."&amp;TEXT(G285,"000"))</f>
        <v>MR.C01.185.002</v>
      </c>
      <c r="C285" s="161"/>
      <c r="D285" s="162" t="s">
        <v>95</v>
      </c>
      <c r="E285" s="162" t="s">
        <v>96</v>
      </c>
      <c r="F285" s="162">
        <v>185</v>
      </c>
      <c r="G285" s="162">
        <v>2</v>
      </c>
      <c r="H285" s="162">
        <v>160564</v>
      </c>
      <c r="I285" s="162" t="s">
        <v>357</v>
      </c>
      <c r="J285" s="171">
        <v>2</v>
      </c>
      <c r="K285" s="162" t="s">
        <v>64</v>
      </c>
      <c r="L285" s="163" t="s">
        <v>134</v>
      </c>
      <c r="M285" s="162" t="s">
        <v>135</v>
      </c>
      <c r="N285" s="161" t="s">
        <v>91</v>
      </c>
      <c r="O285" s="161">
        <v>2</v>
      </c>
      <c r="P285" s="163">
        <v>2</v>
      </c>
      <c r="Q285" s="163"/>
      <c r="R285" s="162"/>
      <c r="S285" s="164">
        <f>TABLAINV[[#This Row],[Conteo Físico]]-TABLAINV[[#This Row],[Cant. UND]]</f>
        <v>0</v>
      </c>
      <c r="T28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5" s="165" t="str">
        <f>IFERROR(IF(MOD(TABLAINV[[#This Row],[C]],2)=0,"PAR","IMPAR"),"Zona")</f>
        <v>IMPAR</v>
      </c>
      <c r="W285" s="166"/>
      <c r="X285" s="167">
        <f>IFERROR(IF(TABLAINV[[#This Row],[Cant. UND]]=0,TABLAINV[[#This Row],[PMV]]*TABLAINV[[#This Row],[Conteo Físico]],TABLAINV[[#This Row],[PMV]]*TABLAINV[[#This Row],[Cant. UND]]),0)</f>
        <v>0</v>
      </c>
      <c r="Y285" s="167">
        <f>IFERROR(ABS(TABLAINV[[#This Row],[PMV]]*TABLAINV[[#This Row],[Diferencia]]),0)</f>
        <v>0</v>
      </c>
      <c r="Z285" s="168">
        <f>IFERROR(VLOOKUP(TABLAINV[[#This Row],[Codigo Estado]],unds!O:P,2,0),"PEND.")</f>
        <v>2001</v>
      </c>
      <c r="AA285" s="168" t="str">
        <f t="shared" si="16"/>
        <v>CD09</v>
      </c>
      <c r="AB285" s="169">
        <f t="shared" ca="1" si="17"/>
        <v>45827</v>
      </c>
      <c r="AC285" s="1"/>
      <c r="AD285" s="1"/>
      <c r="AE285" s="1"/>
      <c r="AF285" s="1"/>
    </row>
    <row r="286" spans="1:32" ht="15" customHeight="1" x14ac:dyDescent="0.2">
      <c r="A286" s="170" t="str">
        <f t="shared" si="15"/>
        <v>MRC01</v>
      </c>
      <c r="B286" s="160" t="str">
        <f>IF(TABLAINV[[#This Row],[Z]]="","",D286&amp;"."&amp;TEXT(E286,"000")&amp;"."&amp;TEXT(F286,"000")&amp;"."&amp;TEXT(G286,"000"))</f>
        <v>MR.C01.185.002</v>
      </c>
      <c r="C286" s="161"/>
      <c r="D286" s="162" t="s">
        <v>95</v>
      </c>
      <c r="E286" s="162" t="s">
        <v>96</v>
      </c>
      <c r="F286" s="162">
        <v>185</v>
      </c>
      <c r="G286" s="162">
        <v>2</v>
      </c>
      <c r="H286" s="162">
        <v>785237</v>
      </c>
      <c r="I286" s="162" t="s">
        <v>358</v>
      </c>
      <c r="J286" s="171">
        <v>4</v>
      </c>
      <c r="K286" s="162" t="s">
        <v>64</v>
      </c>
      <c r="L286" s="163" t="s">
        <v>117</v>
      </c>
      <c r="M286" s="162" t="s">
        <v>99</v>
      </c>
      <c r="N286" s="161" t="s">
        <v>91</v>
      </c>
      <c r="O286" s="161">
        <v>4</v>
      </c>
      <c r="P286" s="163">
        <v>4</v>
      </c>
      <c r="Q286" s="163"/>
      <c r="R286" s="162"/>
      <c r="S286" s="164">
        <f>TABLAINV[[#This Row],[Conteo Físico]]-TABLAINV[[#This Row],[Cant. UND]]</f>
        <v>0</v>
      </c>
      <c r="T28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6" s="165" t="str">
        <f>IFERROR(IF(MOD(TABLAINV[[#This Row],[C]],2)=0,"PAR","IMPAR"),"Zona")</f>
        <v>IMPAR</v>
      </c>
      <c r="W286" s="166"/>
      <c r="X286" s="167">
        <f>IFERROR(IF(TABLAINV[[#This Row],[Cant. UND]]=0,TABLAINV[[#This Row],[PMV]]*TABLAINV[[#This Row],[Conteo Físico]],TABLAINV[[#This Row],[PMV]]*TABLAINV[[#This Row],[Cant. UND]]),0)</f>
        <v>0</v>
      </c>
      <c r="Y286" s="167">
        <f>IFERROR(ABS(TABLAINV[[#This Row],[PMV]]*TABLAINV[[#This Row],[Diferencia]]),0)</f>
        <v>0</v>
      </c>
      <c r="Z286" s="168">
        <f>IFERROR(VLOOKUP(TABLAINV[[#This Row],[Codigo Estado]],unds!O:P,2,0),"PEND.")</f>
        <v>2001</v>
      </c>
      <c r="AA286" s="168" t="str">
        <f t="shared" si="16"/>
        <v>CD09</v>
      </c>
      <c r="AB286" s="169">
        <f t="shared" ca="1" si="17"/>
        <v>45827</v>
      </c>
      <c r="AC286" s="1"/>
      <c r="AD286" s="1"/>
      <c r="AE286" s="1"/>
      <c r="AF286" s="1"/>
    </row>
    <row r="287" spans="1:32" ht="15" customHeight="1" x14ac:dyDescent="0.2">
      <c r="A287" s="170" t="str">
        <f t="shared" si="15"/>
        <v>MRC01</v>
      </c>
      <c r="B287" s="160" t="str">
        <f>IF(TABLAINV[[#This Row],[Z]]="","",D287&amp;"."&amp;TEXT(E287,"000")&amp;"."&amp;TEXT(F287,"000")&amp;"."&amp;TEXT(G287,"000"))</f>
        <v>MR.C01.185.002</v>
      </c>
      <c r="C287" s="161"/>
      <c r="D287" s="162" t="s">
        <v>95</v>
      </c>
      <c r="E287" s="162" t="s">
        <v>96</v>
      </c>
      <c r="F287" s="162">
        <v>185</v>
      </c>
      <c r="G287" s="162">
        <v>2</v>
      </c>
      <c r="H287" s="162">
        <v>975714</v>
      </c>
      <c r="I287" s="162" t="s">
        <v>359</v>
      </c>
      <c r="J287" s="171">
        <v>4</v>
      </c>
      <c r="K287" s="162" t="s">
        <v>64</v>
      </c>
      <c r="L287" s="163" t="s">
        <v>117</v>
      </c>
      <c r="M287" s="162" t="s">
        <v>99</v>
      </c>
      <c r="N287" s="161" t="s">
        <v>91</v>
      </c>
      <c r="O287" s="161">
        <v>4</v>
      </c>
      <c r="P287" s="163">
        <v>4</v>
      </c>
      <c r="Q287" s="163"/>
      <c r="R287" s="162"/>
      <c r="S287" s="164">
        <f>TABLAINV[[#This Row],[Conteo Físico]]-TABLAINV[[#This Row],[Cant. UND]]</f>
        <v>0</v>
      </c>
      <c r="T28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7" s="165" t="str">
        <f>IFERROR(IF(MOD(TABLAINV[[#This Row],[C]],2)=0,"PAR","IMPAR"),"Zona")</f>
        <v>IMPAR</v>
      </c>
      <c r="W287" s="166"/>
      <c r="X287" s="167">
        <f>IFERROR(IF(TABLAINV[[#This Row],[Cant. UND]]=0,TABLAINV[[#This Row],[PMV]]*TABLAINV[[#This Row],[Conteo Físico]],TABLAINV[[#This Row],[PMV]]*TABLAINV[[#This Row],[Cant. UND]]),0)</f>
        <v>0</v>
      </c>
      <c r="Y287" s="167">
        <f>IFERROR(ABS(TABLAINV[[#This Row],[PMV]]*TABLAINV[[#This Row],[Diferencia]]),0)</f>
        <v>0</v>
      </c>
      <c r="Z287" s="168">
        <f>IFERROR(VLOOKUP(TABLAINV[[#This Row],[Codigo Estado]],unds!O:P,2,0),"PEND.")</f>
        <v>2001</v>
      </c>
      <c r="AA287" s="168" t="str">
        <f t="shared" si="16"/>
        <v>CD09</v>
      </c>
      <c r="AB287" s="169">
        <f t="shared" ca="1" si="17"/>
        <v>45827</v>
      </c>
      <c r="AC287" s="1"/>
      <c r="AD287" s="1"/>
      <c r="AE287" s="1"/>
      <c r="AF287" s="1"/>
    </row>
    <row r="288" spans="1:32" ht="15" customHeight="1" x14ac:dyDescent="0.2">
      <c r="A288" s="170" t="str">
        <f t="shared" si="15"/>
        <v>MRC01</v>
      </c>
      <c r="B288" s="160" t="str">
        <f>IF(TABLAINV[[#This Row],[Z]]="","",D288&amp;"."&amp;TEXT(E288,"000")&amp;"."&amp;TEXT(F288,"000")&amp;"."&amp;TEXT(G288,"000"))</f>
        <v>MR.C01.191.001</v>
      </c>
      <c r="C288" s="161"/>
      <c r="D288" s="162" t="s">
        <v>95</v>
      </c>
      <c r="E288" s="162" t="s">
        <v>96</v>
      </c>
      <c r="F288" s="162">
        <v>191</v>
      </c>
      <c r="G288" s="162">
        <v>1</v>
      </c>
      <c r="H288" s="162">
        <v>1032073</v>
      </c>
      <c r="I288" s="162" t="s">
        <v>360</v>
      </c>
      <c r="J288" s="171">
        <v>3</v>
      </c>
      <c r="K288" s="162" t="s">
        <v>64</v>
      </c>
      <c r="L288" s="163" t="s">
        <v>115</v>
      </c>
      <c r="M288" s="162" t="s">
        <v>99</v>
      </c>
      <c r="N288" s="161" t="s">
        <v>91</v>
      </c>
      <c r="O288" s="161">
        <v>3</v>
      </c>
      <c r="P288" s="163">
        <v>3</v>
      </c>
      <c r="Q288" s="163"/>
      <c r="R288" s="162"/>
      <c r="S288" s="164">
        <f>TABLAINV[[#This Row],[Conteo Físico]]-TABLAINV[[#This Row],[Cant. UND]]</f>
        <v>0</v>
      </c>
      <c r="T28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8" s="165" t="str">
        <f>IFERROR(IF(MOD(TABLAINV[[#This Row],[C]],2)=0,"PAR","IMPAR"),"Zona")</f>
        <v>IMPAR</v>
      </c>
      <c r="W288" s="166"/>
      <c r="X288" s="167">
        <f>IFERROR(IF(TABLAINV[[#This Row],[Cant. UND]]=0,TABLAINV[[#This Row],[PMV]]*TABLAINV[[#This Row],[Conteo Físico]],TABLAINV[[#This Row],[PMV]]*TABLAINV[[#This Row],[Cant. UND]]),0)</f>
        <v>0</v>
      </c>
      <c r="Y288" s="167">
        <f>IFERROR(ABS(TABLAINV[[#This Row],[PMV]]*TABLAINV[[#This Row],[Diferencia]]),0)</f>
        <v>0</v>
      </c>
      <c r="Z288" s="168">
        <f>IFERROR(VLOOKUP(TABLAINV[[#This Row],[Codigo Estado]],unds!O:P,2,0),"PEND.")</f>
        <v>2001</v>
      </c>
      <c r="AA288" s="168" t="str">
        <f t="shared" si="16"/>
        <v>CD09</v>
      </c>
      <c r="AB288" s="169">
        <f t="shared" ca="1" si="17"/>
        <v>45827</v>
      </c>
      <c r="AC288" s="1"/>
      <c r="AD288" s="1"/>
      <c r="AE288" s="1"/>
      <c r="AF288" s="1"/>
    </row>
    <row r="289" spans="1:32" ht="15" customHeight="1" x14ac:dyDescent="0.2">
      <c r="A289" s="170" t="str">
        <f t="shared" si="15"/>
        <v>MRC01</v>
      </c>
      <c r="B289" s="160" t="str">
        <f>IF(TABLAINV[[#This Row],[Z]]="","",D289&amp;"."&amp;TEXT(E289,"000")&amp;"."&amp;TEXT(F289,"000")&amp;"."&amp;TEXT(G289,"000"))</f>
        <v>MR.C01.191.001</v>
      </c>
      <c r="C289" s="161"/>
      <c r="D289" s="162" t="s">
        <v>95</v>
      </c>
      <c r="E289" s="162" t="s">
        <v>96</v>
      </c>
      <c r="F289" s="162">
        <v>191</v>
      </c>
      <c r="G289" s="162">
        <v>1</v>
      </c>
      <c r="H289" s="162">
        <v>118644001</v>
      </c>
      <c r="I289" s="162" t="s">
        <v>361</v>
      </c>
      <c r="J289" s="171">
        <v>2</v>
      </c>
      <c r="K289" s="162" t="s">
        <v>64</v>
      </c>
      <c r="L289" s="163" t="s">
        <v>134</v>
      </c>
      <c r="M289" s="162" t="s">
        <v>135</v>
      </c>
      <c r="N289" s="161" t="s">
        <v>91</v>
      </c>
      <c r="O289" s="161">
        <v>2</v>
      </c>
      <c r="P289" s="163">
        <v>2</v>
      </c>
      <c r="Q289" s="163"/>
      <c r="R289" s="162"/>
      <c r="S289" s="164">
        <f>TABLAINV[[#This Row],[Conteo Físico]]-TABLAINV[[#This Row],[Cant. UND]]</f>
        <v>0</v>
      </c>
      <c r="T28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8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89" s="165" t="str">
        <f>IFERROR(IF(MOD(TABLAINV[[#This Row],[C]],2)=0,"PAR","IMPAR"),"Zona")</f>
        <v>IMPAR</v>
      </c>
      <c r="W289" s="166"/>
      <c r="X289" s="167">
        <f>IFERROR(IF(TABLAINV[[#This Row],[Cant. UND]]=0,TABLAINV[[#This Row],[PMV]]*TABLAINV[[#This Row],[Conteo Físico]],TABLAINV[[#This Row],[PMV]]*TABLAINV[[#This Row],[Cant. UND]]),0)</f>
        <v>0</v>
      </c>
      <c r="Y289" s="167">
        <f>IFERROR(ABS(TABLAINV[[#This Row],[PMV]]*TABLAINV[[#This Row],[Diferencia]]),0)</f>
        <v>0</v>
      </c>
      <c r="Z289" s="168">
        <f>IFERROR(VLOOKUP(TABLAINV[[#This Row],[Codigo Estado]],unds!O:P,2,0),"PEND.")</f>
        <v>2001</v>
      </c>
      <c r="AA289" s="168" t="str">
        <f t="shared" si="16"/>
        <v>CD09</v>
      </c>
      <c r="AB289" s="169">
        <f t="shared" ca="1" si="17"/>
        <v>45827</v>
      </c>
      <c r="AC289" s="1"/>
      <c r="AD289" s="1"/>
      <c r="AE289" s="1"/>
      <c r="AF289" s="1"/>
    </row>
    <row r="290" spans="1:32" ht="15" customHeight="1" x14ac:dyDescent="0.2">
      <c r="A290" s="170" t="str">
        <f t="shared" si="15"/>
        <v>MRC01</v>
      </c>
      <c r="B290" s="160" t="str">
        <f>IF(TABLAINV[[#This Row],[Z]]="","",D290&amp;"."&amp;TEXT(E290,"000")&amp;"."&amp;TEXT(F290,"000")&amp;"."&amp;TEXT(G290,"000"))</f>
        <v>MR.C01.191.001</v>
      </c>
      <c r="C290" s="161"/>
      <c r="D290" s="162" t="s">
        <v>95</v>
      </c>
      <c r="E290" s="162" t="s">
        <v>96</v>
      </c>
      <c r="F290" s="162">
        <v>191</v>
      </c>
      <c r="G290" s="162">
        <v>1</v>
      </c>
      <c r="H290" s="162">
        <v>17495</v>
      </c>
      <c r="I290" s="162" t="s">
        <v>362</v>
      </c>
      <c r="J290" s="171">
        <v>10</v>
      </c>
      <c r="K290" s="162" t="s">
        <v>64</v>
      </c>
      <c r="L290" s="163" t="s">
        <v>110</v>
      </c>
      <c r="M290" s="162" t="s">
        <v>135</v>
      </c>
      <c r="N290" s="161" t="s">
        <v>91</v>
      </c>
      <c r="O290" s="161">
        <v>10</v>
      </c>
      <c r="P290" s="163">
        <v>10</v>
      </c>
      <c r="Q290" s="163"/>
      <c r="R290" s="162"/>
      <c r="S290" s="164">
        <f>TABLAINV[[#This Row],[Conteo Físico]]-TABLAINV[[#This Row],[Cant. UND]]</f>
        <v>0</v>
      </c>
      <c r="T29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0" s="165" t="str">
        <f>IFERROR(IF(MOD(TABLAINV[[#This Row],[C]],2)=0,"PAR","IMPAR"),"Zona")</f>
        <v>IMPAR</v>
      </c>
      <c r="W290" s="166"/>
      <c r="X290" s="167">
        <f>IFERROR(IF(TABLAINV[[#This Row],[Cant. UND]]=0,TABLAINV[[#This Row],[PMV]]*TABLAINV[[#This Row],[Conteo Físico]],TABLAINV[[#This Row],[PMV]]*TABLAINV[[#This Row],[Cant. UND]]),0)</f>
        <v>0</v>
      </c>
      <c r="Y290" s="167">
        <f>IFERROR(ABS(TABLAINV[[#This Row],[PMV]]*TABLAINV[[#This Row],[Diferencia]]),0)</f>
        <v>0</v>
      </c>
      <c r="Z290" s="168">
        <f>IFERROR(VLOOKUP(TABLAINV[[#This Row],[Codigo Estado]],unds!O:P,2,0),"PEND.")</f>
        <v>2001</v>
      </c>
      <c r="AA290" s="168" t="str">
        <f t="shared" si="16"/>
        <v>CD09</v>
      </c>
      <c r="AB290" s="169">
        <f t="shared" ca="1" si="17"/>
        <v>45827</v>
      </c>
      <c r="AC290" s="1"/>
      <c r="AD290" s="1"/>
      <c r="AE290" s="1"/>
      <c r="AF290" s="1"/>
    </row>
    <row r="291" spans="1:32" ht="15" customHeight="1" x14ac:dyDescent="0.2">
      <c r="A291" s="170" t="str">
        <f t="shared" si="15"/>
        <v>MRC01</v>
      </c>
      <c r="B291" s="160" t="str">
        <f>IF(TABLAINV[[#This Row],[Z]]="","",D291&amp;"."&amp;TEXT(E291,"000")&amp;"."&amp;TEXT(F291,"000")&amp;"."&amp;TEXT(G291,"000"))</f>
        <v>MR.C01.191.001</v>
      </c>
      <c r="C291" s="161"/>
      <c r="D291" s="162" t="s">
        <v>95</v>
      </c>
      <c r="E291" s="162" t="s">
        <v>96</v>
      </c>
      <c r="F291" s="162">
        <v>191</v>
      </c>
      <c r="G291" s="162">
        <v>1</v>
      </c>
      <c r="H291" s="162">
        <v>87336</v>
      </c>
      <c r="I291" s="162" t="s">
        <v>363</v>
      </c>
      <c r="J291" s="171">
        <v>9</v>
      </c>
      <c r="K291" s="162" t="s">
        <v>64</v>
      </c>
      <c r="L291" s="163" t="s">
        <v>110</v>
      </c>
      <c r="M291" s="162" t="s">
        <v>135</v>
      </c>
      <c r="N291" s="161" t="s">
        <v>91</v>
      </c>
      <c r="O291" s="161">
        <v>9</v>
      </c>
      <c r="P291" s="163">
        <v>9</v>
      </c>
      <c r="Q291" s="163"/>
      <c r="R291" s="162"/>
      <c r="S291" s="164">
        <f>TABLAINV[[#This Row],[Conteo Físico]]-TABLAINV[[#This Row],[Cant. UND]]</f>
        <v>0</v>
      </c>
      <c r="T29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1" s="165" t="str">
        <f>IFERROR(IF(MOD(TABLAINV[[#This Row],[C]],2)=0,"PAR","IMPAR"),"Zona")</f>
        <v>IMPAR</v>
      </c>
      <c r="W291" s="166"/>
      <c r="X291" s="167">
        <f>IFERROR(IF(TABLAINV[[#This Row],[Cant. UND]]=0,TABLAINV[[#This Row],[PMV]]*TABLAINV[[#This Row],[Conteo Físico]],TABLAINV[[#This Row],[PMV]]*TABLAINV[[#This Row],[Cant. UND]]),0)</f>
        <v>0</v>
      </c>
      <c r="Y291" s="167">
        <f>IFERROR(ABS(TABLAINV[[#This Row],[PMV]]*TABLAINV[[#This Row],[Diferencia]]),0)</f>
        <v>0</v>
      </c>
      <c r="Z291" s="168">
        <f>IFERROR(VLOOKUP(TABLAINV[[#This Row],[Codigo Estado]],unds!O:P,2,0),"PEND.")</f>
        <v>2001</v>
      </c>
      <c r="AA291" s="168" t="str">
        <f t="shared" si="16"/>
        <v>CD09</v>
      </c>
      <c r="AB291" s="169">
        <f t="shared" ca="1" si="17"/>
        <v>45827</v>
      </c>
      <c r="AC291" s="1"/>
      <c r="AD291" s="1"/>
      <c r="AE291" s="1"/>
      <c r="AF291" s="1"/>
    </row>
    <row r="292" spans="1:32" ht="15" customHeight="1" x14ac:dyDescent="0.2">
      <c r="A292" s="170" t="str">
        <f t="shared" si="15"/>
        <v>MRC01</v>
      </c>
      <c r="B292" s="160" t="str">
        <f>IF(TABLAINV[[#This Row],[Z]]="","",D292&amp;"."&amp;TEXT(E292,"000")&amp;"."&amp;TEXT(F292,"000")&amp;"."&amp;TEXT(G292,"000"))</f>
        <v>MR.C01.191.002</v>
      </c>
      <c r="C292" s="161"/>
      <c r="D292" s="162" t="s">
        <v>95</v>
      </c>
      <c r="E292" s="162" t="s">
        <v>96</v>
      </c>
      <c r="F292" s="162">
        <v>191</v>
      </c>
      <c r="G292" s="162">
        <v>2</v>
      </c>
      <c r="H292" s="162">
        <v>370846</v>
      </c>
      <c r="I292" s="162" t="s">
        <v>364</v>
      </c>
      <c r="J292" s="171">
        <v>3</v>
      </c>
      <c r="K292" s="162" t="s">
        <v>64</v>
      </c>
      <c r="L292" s="163" t="s">
        <v>117</v>
      </c>
      <c r="M292" s="162" t="s">
        <v>99</v>
      </c>
      <c r="N292" s="161" t="s">
        <v>91</v>
      </c>
      <c r="O292" s="161">
        <v>3</v>
      </c>
      <c r="P292" s="163">
        <v>3</v>
      </c>
      <c r="Q292" s="163"/>
      <c r="R292" s="162"/>
      <c r="S292" s="164">
        <f>TABLAINV[[#This Row],[Conteo Físico]]-TABLAINV[[#This Row],[Cant. UND]]</f>
        <v>0</v>
      </c>
      <c r="T29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2" s="165" t="str">
        <f>IFERROR(IF(MOD(TABLAINV[[#This Row],[C]],2)=0,"PAR","IMPAR"),"Zona")</f>
        <v>IMPAR</v>
      </c>
      <c r="W292" s="166"/>
      <c r="X292" s="167">
        <f>IFERROR(IF(TABLAINV[[#This Row],[Cant. UND]]=0,TABLAINV[[#This Row],[PMV]]*TABLAINV[[#This Row],[Conteo Físico]],TABLAINV[[#This Row],[PMV]]*TABLAINV[[#This Row],[Cant. UND]]),0)</f>
        <v>0</v>
      </c>
      <c r="Y292" s="167">
        <f>IFERROR(ABS(TABLAINV[[#This Row],[PMV]]*TABLAINV[[#This Row],[Diferencia]]),0)</f>
        <v>0</v>
      </c>
      <c r="Z292" s="168">
        <f>IFERROR(VLOOKUP(TABLAINV[[#This Row],[Codigo Estado]],unds!O:P,2,0),"PEND.")</f>
        <v>2001</v>
      </c>
      <c r="AA292" s="168" t="str">
        <f t="shared" si="16"/>
        <v>CD09</v>
      </c>
      <c r="AB292" s="169">
        <f t="shared" ca="1" si="17"/>
        <v>45827</v>
      </c>
      <c r="AC292" s="1"/>
      <c r="AD292" s="1"/>
      <c r="AE292" s="1"/>
      <c r="AF292" s="1"/>
    </row>
    <row r="293" spans="1:32" ht="15" customHeight="1" x14ac:dyDescent="0.2">
      <c r="A293" s="170" t="str">
        <f t="shared" si="15"/>
        <v>MRC01</v>
      </c>
      <c r="B293" s="160" t="str">
        <f>IF(TABLAINV[[#This Row],[Z]]="","",D293&amp;"."&amp;TEXT(E293,"000")&amp;"."&amp;TEXT(F293,"000")&amp;"."&amp;TEXT(G293,"000"))</f>
        <v>MR.C01.191.002</v>
      </c>
      <c r="C293" s="161"/>
      <c r="D293" s="162" t="s">
        <v>95</v>
      </c>
      <c r="E293" s="162" t="s">
        <v>96</v>
      </c>
      <c r="F293" s="162">
        <v>191</v>
      </c>
      <c r="G293" s="162">
        <v>2</v>
      </c>
      <c r="H293" s="162">
        <v>767775</v>
      </c>
      <c r="I293" s="162" t="s">
        <v>365</v>
      </c>
      <c r="J293" s="171">
        <v>5</v>
      </c>
      <c r="K293" s="162" t="s">
        <v>64</v>
      </c>
      <c r="L293" s="163" t="s">
        <v>117</v>
      </c>
      <c r="M293" s="162" t="s">
        <v>99</v>
      </c>
      <c r="N293" s="161" t="s">
        <v>91</v>
      </c>
      <c r="O293" s="161">
        <v>5</v>
      </c>
      <c r="P293" s="163">
        <v>5</v>
      </c>
      <c r="Q293" s="163"/>
      <c r="R293" s="162"/>
      <c r="S293" s="164">
        <f>TABLAINV[[#This Row],[Conteo Físico]]-TABLAINV[[#This Row],[Cant. UND]]</f>
        <v>0</v>
      </c>
      <c r="T29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3" s="165" t="str">
        <f>IFERROR(IF(MOD(TABLAINV[[#This Row],[C]],2)=0,"PAR","IMPAR"),"Zona")</f>
        <v>IMPAR</v>
      </c>
      <c r="W293" s="166"/>
      <c r="X293" s="167">
        <f>IFERROR(IF(TABLAINV[[#This Row],[Cant. UND]]=0,TABLAINV[[#This Row],[PMV]]*TABLAINV[[#This Row],[Conteo Físico]],TABLAINV[[#This Row],[PMV]]*TABLAINV[[#This Row],[Cant. UND]]),0)</f>
        <v>0</v>
      </c>
      <c r="Y293" s="167">
        <f>IFERROR(ABS(TABLAINV[[#This Row],[PMV]]*TABLAINV[[#This Row],[Diferencia]]),0)</f>
        <v>0</v>
      </c>
      <c r="Z293" s="168">
        <f>IFERROR(VLOOKUP(TABLAINV[[#This Row],[Codigo Estado]],unds!O:P,2,0),"PEND.")</f>
        <v>2001</v>
      </c>
      <c r="AA293" s="168" t="str">
        <f t="shared" si="16"/>
        <v>CD09</v>
      </c>
      <c r="AB293" s="169">
        <f t="shared" ca="1" si="17"/>
        <v>45827</v>
      </c>
      <c r="AC293" s="1"/>
      <c r="AD293" s="1"/>
      <c r="AE293" s="1"/>
      <c r="AF293" s="1"/>
    </row>
    <row r="294" spans="1:32" ht="15" customHeight="1" x14ac:dyDescent="0.2">
      <c r="A294" s="170" t="str">
        <f t="shared" si="15"/>
        <v>MRC01</v>
      </c>
      <c r="B294" s="160" t="str">
        <f>IF(TABLAINV[[#This Row],[Z]]="","",D294&amp;"."&amp;TEXT(E294,"000")&amp;"."&amp;TEXT(F294,"000")&amp;"."&amp;TEXT(G294,"000"))</f>
        <v>MR.C01.191.002</v>
      </c>
      <c r="C294" s="161"/>
      <c r="D294" s="162" t="s">
        <v>95</v>
      </c>
      <c r="E294" s="162" t="s">
        <v>96</v>
      </c>
      <c r="F294" s="162">
        <v>191</v>
      </c>
      <c r="G294" s="162">
        <v>2</v>
      </c>
      <c r="H294" s="162">
        <v>774005</v>
      </c>
      <c r="I294" s="162" t="s">
        <v>366</v>
      </c>
      <c r="J294" s="171">
        <v>5</v>
      </c>
      <c r="K294" s="162" t="s">
        <v>64</v>
      </c>
      <c r="L294" s="163" t="s">
        <v>117</v>
      </c>
      <c r="M294" s="162" t="s">
        <v>99</v>
      </c>
      <c r="N294" s="161" t="s">
        <v>91</v>
      </c>
      <c r="O294" s="161">
        <v>5</v>
      </c>
      <c r="P294" s="163">
        <v>5</v>
      </c>
      <c r="Q294" s="163"/>
      <c r="R294" s="162"/>
      <c r="S294" s="164">
        <f>TABLAINV[[#This Row],[Conteo Físico]]-TABLAINV[[#This Row],[Cant. UND]]</f>
        <v>0</v>
      </c>
      <c r="T29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4" s="165" t="str">
        <f>IFERROR(IF(MOD(TABLAINV[[#This Row],[C]],2)=0,"PAR","IMPAR"),"Zona")</f>
        <v>IMPAR</v>
      </c>
      <c r="W294" s="166"/>
      <c r="X294" s="167">
        <f>IFERROR(IF(TABLAINV[[#This Row],[Cant. UND]]=0,TABLAINV[[#This Row],[PMV]]*TABLAINV[[#This Row],[Conteo Físico]],TABLAINV[[#This Row],[PMV]]*TABLAINV[[#This Row],[Cant. UND]]),0)</f>
        <v>0</v>
      </c>
      <c r="Y294" s="167">
        <f>IFERROR(ABS(TABLAINV[[#This Row],[PMV]]*TABLAINV[[#This Row],[Diferencia]]),0)</f>
        <v>0</v>
      </c>
      <c r="Z294" s="168">
        <f>IFERROR(VLOOKUP(TABLAINV[[#This Row],[Codigo Estado]],unds!O:P,2,0),"PEND.")</f>
        <v>2001</v>
      </c>
      <c r="AA294" s="168" t="str">
        <f t="shared" si="16"/>
        <v>CD09</v>
      </c>
      <c r="AB294" s="169">
        <f t="shared" ca="1" si="17"/>
        <v>45827</v>
      </c>
      <c r="AC294" s="1"/>
      <c r="AD294" s="1"/>
      <c r="AE294" s="1"/>
      <c r="AF294" s="1"/>
    </row>
    <row r="295" spans="1:32" ht="15" customHeight="1" x14ac:dyDescent="0.2">
      <c r="A295" s="170" t="str">
        <f t="shared" si="15"/>
        <v>MRC01</v>
      </c>
      <c r="B295" s="160" t="str">
        <f>IF(TABLAINV[[#This Row],[Z]]="","",D295&amp;"."&amp;TEXT(E295,"000")&amp;"."&amp;TEXT(F295,"000")&amp;"."&amp;TEXT(G295,"000"))</f>
        <v>MR.C01.191.002</v>
      </c>
      <c r="C295" s="161"/>
      <c r="D295" s="162" t="s">
        <v>95</v>
      </c>
      <c r="E295" s="162" t="s">
        <v>96</v>
      </c>
      <c r="F295" s="162">
        <v>191</v>
      </c>
      <c r="G295" s="162">
        <v>2</v>
      </c>
      <c r="H295" s="162">
        <v>974365</v>
      </c>
      <c r="I295" s="162" t="s">
        <v>367</v>
      </c>
      <c r="J295" s="171">
        <v>5</v>
      </c>
      <c r="K295" s="162" t="s">
        <v>64</v>
      </c>
      <c r="L295" s="163" t="s">
        <v>117</v>
      </c>
      <c r="M295" s="162" t="s">
        <v>99</v>
      </c>
      <c r="N295" s="161" t="s">
        <v>91</v>
      </c>
      <c r="O295" s="161">
        <v>5</v>
      </c>
      <c r="P295" s="163">
        <v>5</v>
      </c>
      <c r="Q295" s="163"/>
      <c r="R295" s="162"/>
      <c r="S295" s="164">
        <f>TABLAINV[[#This Row],[Conteo Físico]]-TABLAINV[[#This Row],[Cant. UND]]</f>
        <v>0</v>
      </c>
      <c r="T29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5" s="165" t="str">
        <f>IFERROR(IF(MOD(TABLAINV[[#This Row],[C]],2)=0,"PAR","IMPAR"),"Zona")</f>
        <v>IMPAR</v>
      </c>
      <c r="W295" s="166"/>
      <c r="X295" s="167">
        <f>IFERROR(IF(TABLAINV[[#This Row],[Cant. UND]]=0,TABLAINV[[#This Row],[PMV]]*TABLAINV[[#This Row],[Conteo Físico]],TABLAINV[[#This Row],[PMV]]*TABLAINV[[#This Row],[Cant. UND]]),0)</f>
        <v>0</v>
      </c>
      <c r="Y295" s="167">
        <f>IFERROR(ABS(TABLAINV[[#This Row],[PMV]]*TABLAINV[[#This Row],[Diferencia]]),0)</f>
        <v>0</v>
      </c>
      <c r="Z295" s="168">
        <f>IFERROR(VLOOKUP(TABLAINV[[#This Row],[Codigo Estado]],unds!O:P,2,0),"PEND.")</f>
        <v>2001</v>
      </c>
      <c r="AA295" s="168" t="str">
        <f t="shared" si="16"/>
        <v>CD09</v>
      </c>
      <c r="AB295" s="169">
        <f t="shared" ca="1" si="17"/>
        <v>45827</v>
      </c>
      <c r="AC295" s="1"/>
      <c r="AD295" s="1"/>
      <c r="AE295" s="1"/>
      <c r="AF295" s="1"/>
    </row>
    <row r="296" spans="1:32" ht="15" customHeight="1" x14ac:dyDescent="0.2">
      <c r="A296" s="170" t="str">
        <f t="shared" si="15"/>
        <v>MRC01</v>
      </c>
      <c r="B296" s="160" t="str">
        <f>IF(TABLAINV[[#This Row],[Z]]="","",D296&amp;"."&amp;TEXT(E296,"000")&amp;"."&amp;TEXT(F296,"000")&amp;"."&amp;TEXT(G296,"000"))</f>
        <v>MR.C01.191.002</v>
      </c>
      <c r="C296" s="161"/>
      <c r="D296" s="162" t="s">
        <v>95</v>
      </c>
      <c r="E296" s="162" t="s">
        <v>96</v>
      </c>
      <c r="F296" s="162">
        <v>191</v>
      </c>
      <c r="G296" s="162">
        <v>2</v>
      </c>
      <c r="H296" s="162">
        <v>997982</v>
      </c>
      <c r="I296" s="162" t="s">
        <v>368</v>
      </c>
      <c r="J296" s="171">
        <v>2</v>
      </c>
      <c r="K296" s="162" t="s">
        <v>64</v>
      </c>
      <c r="L296" s="163" t="s">
        <v>115</v>
      </c>
      <c r="M296" s="162" t="s">
        <v>99</v>
      </c>
      <c r="N296" s="161" t="s">
        <v>91</v>
      </c>
      <c r="O296" s="161">
        <v>2</v>
      </c>
      <c r="P296" s="163">
        <v>2</v>
      </c>
      <c r="Q296" s="163"/>
      <c r="R296" s="162"/>
      <c r="S296" s="164">
        <f>TABLAINV[[#This Row],[Conteo Físico]]-TABLAINV[[#This Row],[Cant. UND]]</f>
        <v>0</v>
      </c>
      <c r="T29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6" s="165" t="str">
        <f>IFERROR(IF(MOD(TABLAINV[[#This Row],[C]],2)=0,"PAR","IMPAR"),"Zona")</f>
        <v>IMPAR</v>
      </c>
      <c r="W296" s="166"/>
      <c r="X296" s="167">
        <f>IFERROR(IF(TABLAINV[[#This Row],[Cant. UND]]=0,TABLAINV[[#This Row],[PMV]]*TABLAINV[[#This Row],[Conteo Físico]],TABLAINV[[#This Row],[PMV]]*TABLAINV[[#This Row],[Cant. UND]]),0)</f>
        <v>0</v>
      </c>
      <c r="Y296" s="167">
        <f>IFERROR(ABS(TABLAINV[[#This Row],[PMV]]*TABLAINV[[#This Row],[Diferencia]]),0)</f>
        <v>0</v>
      </c>
      <c r="Z296" s="168">
        <f>IFERROR(VLOOKUP(TABLAINV[[#This Row],[Codigo Estado]],unds!O:P,2,0),"PEND.")</f>
        <v>2001</v>
      </c>
      <c r="AA296" s="168" t="str">
        <f t="shared" si="16"/>
        <v>CD09</v>
      </c>
      <c r="AB296" s="169">
        <f t="shared" ca="1" si="17"/>
        <v>45827</v>
      </c>
      <c r="AC296" s="1"/>
      <c r="AD296" s="1"/>
      <c r="AE296" s="1"/>
      <c r="AF296" s="1"/>
    </row>
    <row r="297" spans="1:32" ht="15" customHeight="1" x14ac:dyDescent="0.2">
      <c r="A297" s="170" t="str">
        <f t="shared" si="15"/>
        <v>MRC01</v>
      </c>
      <c r="B297" s="160" t="str">
        <f>IF(TABLAINV[[#This Row],[Z]]="","",D297&amp;"."&amp;TEXT(E297,"000")&amp;"."&amp;TEXT(F297,"000")&amp;"."&amp;TEXT(G297,"000"))</f>
        <v>MR.C01.191.002</v>
      </c>
      <c r="C297" s="161"/>
      <c r="D297" s="162" t="s">
        <v>95</v>
      </c>
      <c r="E297" s="162" t="s">
        <v>96</v>
      </c>
      <c r="F297" s="162">
        <v>191</v>
      </c>
      <c r="G297" s="162">
        <v>2</v>
      </c>
      <c r="H297" s="162">
        <v>997982</v>
      </c>
      <c r="I297" s="162" t="s">
        <v>368</v>
      </c>
      <c r="J297" s="171">
        <v>2</v>
      </c>
      <c r="K297" s="162" t="s">
        <v>64</v>
      </c>
      <c r="L297" s="163" t="s">
        <v>115</v>
      </c>
      <c r="M297" s="162" t="s">
        <v>99</v>
      </c>
      <c r="N297" s="161" t="s">
        <v>91</v>
      </c>
      <c r="O297" s="161">
        <v>2</v>
      </c>
      <c r="P297" s="163">
        <v>2</v>
      </c>
      <c r="Q297" s="163"/>
      <c r="R297" s="162"/>
      <c r="S297" s="164">
        <f>TABLAINV[[#This Row],[Conteo Físico]]-TABLAINV[[#This Row],[Cant. UND]]</f>
        <v>0</v>
      </c>
      <c r="T29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7" s="165" t="str">
        <f>IFERROR(IF(MOD(TABLAINV[[#This Row],[C]],2)=0,"PAR","IMPAR"),"Zona")</f>
        <v>IMPAR</v>
      </c>
      <c r="W297" s="166"/>
      <c r="X297" s="167">
        <f>IFERROR(IF(TABLAINV[[#This Row],[Cant. UND]]=0,TABLAINV[[#This Row],[PMV]]*TABLAINV[[#This Row],[Conteo Físico]],TABLAINV[[#This Row],[PMV]]*TABLAINV[[#This Row],[Cant. UND]]),0)</f>
        <v>0</v>
      </c>
      <c r="Y297" s="167">
        <f>IFERROR(ABS(TABLAINV[[#This Row],[PMV]]*TABLAINV[[#This Row],[Diferencia]]),0)</f>
        <v>0</v>
      </c>
      <c r="Z297" s="168">
        <f>IFERROR(VLOOKUP(TABLAINV[[#This Row],[Codigo Estado]],unds!O:P,2,0),"PEND.")</f>
        <v>2001</v>
      </c>
      <c r="AA297" s="168" t="str">
        <f t="shared" si="16"/>
        <v>CD09</v>
      </c>
      <c r="AB297" s="169">
        <f t="shared" ca="1" si="17"/>
        <v>45827</v>
      </c>
      <c r="AC297" s="1"/>
      <c r="AD297" s="1"/>
      <c r="AE297" s="1"/>
      <c r="AF297" s="1"/>
    </row>
    <row r="298" spans="1:32" ht="15" customHeight="1" x14ac:dyDescent="0.2">
      <c r="A298" s="170" t="str">
        <f t="shared" si="15"/>
        <v>MRC01</v>
      </c>
      <c r="B298" s="160" t="str">
        <f>IF(TABLAINV[[#This Row],[Z]]="","",D298&amp;"."&amp;TEXT(E298,"000")&amp;"."&amp;TEXT(F298,"000")&amp;"."&amp;TEXT(G298,"000"))</f>
        <v>MR.C01.193.001</v>
      </c>
      <c r="C298" s="161"/>
      <c r="D298" s="162" t="s">
        <v>95</v>
      </c>
      <c r="E298" s="162" t="s">
        <v>96</v>
      </c>
      <c r="F298" s="162">
        <v>193</v>
      </c>
      <c r="G298" s="162">
        <v>1</v>
      </c>
      <c r="H298" s="162">
        <v>1023464</v>
      </c>
      <c r="I298" s="162" t="s">
        <v>369</v>
      </c>
      <c r="J298" s="171">
        <v>9</v>
      </c>
      <c r="K298" s="162" t="s">
        <v>64</v>
      </c>
      <c r="L298" s="163" t="s">
        <v>115</v>
      </c>
      <c r="M298" s="162" t="s">
        <v>99</v>
      </c>
      <c r="N298" s="161" t="s">
        <v>91</v>
      </c>
      <c r="O298" s="161">
        <v>9</v>
      </c>
      <c r="P298" s="163">
        <v>9</v>
      </c>
      <c r="Q298" s="163"/>
      <c r="R298" s="162"/>
      <c r="S298" s="164">
        <f>TABLAINV[[#This Row],[Conteo Físico]]-TABLAINV[[#This Row],[Cant. UND]]</f>
        <v>0</v>
      </c>
      <c r="T29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8" s="165" t="str">
        <f>IFERROR(IF(MOD(TABLAINV[[#This Row],[C]],2)=0,"PAR","IMPAR"),"Zona")</f>
        <v>IMPAR</v>
      </c>
      <c r="W298" s="166"/>
      <c r="X298" s="167">
        <f>IFERROR(IF(TABLAINV[[#This Row],[Cant. UND]]=0,TABLAINV[[#This Row],[PMV]]*TABLAINV[[#This Row],[Conteo Físico]],TABLAINV[[#This Row],[PMV]]*TABLAINV[[#This Row],[Cant. UND]]),0)</f>
        <v>0</v>
      </c>
      <c r="Y298" s="167">
        <f>IFERROR(ABS(TABLAINV[[#This Row],[PMV]]*TABLAINV[[#This Row],[Diferencia]]),0)</f>
        <v>0</v>
      </c>
      <c r="Z298" s="168">
        <f>IFERROR(VLOOKUP(TABLAINV[[#This Row],[Codigo Estado]],unds!O:P,2,0),"PEND.")</f>
        <v>2001</v>
      </c>
      <c r="AA298" s="168" t="str">
        <f t="shared" si="16"/>
        <v>CD09</v>
      </c>
      <c r="AB298" s="169">
        <f t="shared" ca="1" si="17"/>
        <v>45827</v>
      </c>
      <c r="AC298" s="1"/>
      <c r="AD298" s="1"/>
      <c r="AE298" s="1"/>
      <c r="AF298" s="1"/>
    </row>
    <row r="299" spans="1:32" ht="15" customHeight="1" x14ac:dyDescent="0.2">
      <c r="A299" s="170" t="str">
        <f t="shared" si="15"/>
        <v>MRC01</v>
      </c>
      <c r="B299" s="160" t="str">
        <f>IF(TABLAINV[[#This Row],[Z]]="","",D299&amp;"."&amp;TEXT(E299,"000")&amp;"."&amp;TEXT(F299,"000")&amp;"."&amp;TEXT(G299,"000"))</f>
        <v>MR.C01.193.001</v>
      </c>
      <c r="C299" s="161"/>
      <c r="D299" s="162" t="s">
        <v>95</v>
      </c>
      <c r="E299" s="162" t="s">
        <v>96</v>
      </c>
      <c r="F299" s="162">
        <v>193</v>
      </c>
      <c r="G299" s="162">
        <v>1</v>
      </c>
      <c r="H299" s="162">
        <v>201724</v>
      </c>
      <c r="I299" s="162" t="s">
        <v>370</v>
      </c>
      <c r="J299" s="171">
        <v>4</v>
      </c>
      <c r="K299" s="162" t="s">
        <v>64</v>
      </c>
      <c r="L299" s="163" t="s">
        <v>110</v>
      </c>
      <c r="M299" s="162" t="s">
        <v>135</v>
      </c>
      <c r="N299" s="161" t="s">
        <v>91</v>
      </c>
      <c r="O299" s="161">
        <v>4</v>
      </c>
      <c r="P299" s="163">
        <v>4</v>
      </c>
      <c r="Q299" s="163"/>
      <c r="R299" s="162"/>
      <c r="S299" s="164">
        <f>TABLAINV[[#This Row],[Conteo Físico]]-TABLAINV[[#This Row],[Cant. UND]]</f>
        <v>0</v>
      </c>
      <c r="T29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29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299" s="165" t="str">
        <f>IFERROR(IF(MOD(TABLAINV[[#This Row],[C]],2)=0,"PAR","IMPAR"),"Zona")</f>
        <v>IMPAR</v>
      </c>
      <c r="W299" s="166"/>
      <c r="X299" s="167">
        <f>IFERROR(IF(TABLAINV[[#This Row],[Cant. UND]]=0,TABLAINV[[#This Row],[PMV]]*TABLAINV[[#This Row],[Conteo Físico]],TABLAINV[[#This Row],[PMV]]*TABLAINV[[#This Row],[Cant. UND]]),0)</f>
        <v>0</v>
      </c>
      <c r="Y299" s="167">
        <f>IFERROR(ABS(TABLAINV[[#This Row],[PMV]]*TABLAINV[[#This Row],[Diferencia]]),0)</f>
        <v>0</v>
      </c>
      <c r="Z299" s="168">
        <f>IFERROR(VLOOKUP(TABLAINV[[#This Row],[Codigo Estado]],unds!O:P,2,0),"PEND.")</f>
        <v>2001</v>
      </c>
      <c r="AA299" s="168" t="str">
        <f t="shared" si="16"/>
        <v>CD09</v>
      </c>
      <c r="AB299" s="169">
        <f t="shared" ca="1" si="17"/>
        <v>45827</v>
      </c>
      <c r="AC299" s="1"/>
      <c r="AD299" s="1"/>
      <c r="AE299" s="1"/>
      <c r="AF299" s="1"/>
    </row>
    <row r="300" spans="1:32" ht="15" customHeight="1" x14ac:dyDescent="0.2">
      <c r="A300" s="170" t="str">
        <f t="shared" si="15"/>
        <v>MRC01</v>
      </c>
      <c r="B300" s="160" t="str">
        <f>IF(TABLAINV[[#This Row],[Z]]="","",D300&amp;"."&amp;TEXT(E300,"000")&amp;"."&amp;TEXT(F300,"000")&amp;"."&amp;TEXT(G300,"000"))</f>
        <v>MR.C01.193.001</v>
      </c>
      <c r="C300" s="161"/>
      <c r="D300" s="162" t="s">
        <v>95</v>
      </c>
      <c r="E300" s="162" t="s">
        <v>96</v>
      </c>
      <c r="F300" s="162">
        <v>193</v>
      </c>
      <c r="G300" s="162">
        <v>1</v>
      </c>
      <c r="H300" s="162">
        <v>768743002</v>
      </c>
      <c r="I300" s="162" t="s">
        <v>371</v>
      </c>
      <c r="J300" s="171">
        <v>1</v>
      </c>
      <c r="K300" s="162" t="s">
        <v>64</v>
      </c>
      <c r="L300" s="163" t="s">
        <v>115</v>
      </c>
      <c r="M300" s="162" t="s">
        <v>99</v>
      </c>
      <c r="N300" s="161" t="s">
        <v>91</v>
      </c>
      <c r="O300" s="161">
        <v>1</v>
      </c>
      <c r="P300" s="163">
        <v>1</v>
      </c>
      <c r="Q300" s="163"/>
      <c r="R300" s="162"/>
      <c r="S300" s="164">
        <f>TABLAINV[[#This Row],[Conteo Físico]]-TABLAINV[[#This Row],[Cant. UND]]</f>
        <v>0</v>
      </c>
      <c r="T30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0" s="165" t="str">
        <f>IFERROR(IF(MOD(TABLAINV[[#This Row],[C]],2)=0,"PAR","IMPAR"),"Zona")</f>
        <v>IMPAR</v>
      </c>
      <c r="W300" s="166"/>
      <c r="X300" s="167">
        <f>IFERROR(IF(TABLAINV[[#This Row],[Cant. UND]]=0,TABLAINV[[#This Row],[PMV]]*TABLAINV[[#This Row],[Conteo Físico]],TABLAINV[[#This Row],[PMV]]*TABLAINV[[#This Row],[Cant. UND]]),0)</f>
        <v>0</v>
      </c>
      <c r="Y300" s="167">
        <f>IFERROR(ABS(TABLAINV[[#This Row],[PMV]]*TABLAINV[[#This Row],[Diferencia]]),0)</f>
        <v>0</v>
      </c>
      <c r="Z300" s="168">
        <f>IFERROR(VLOOKUP(TABLAINV[[#This Row],[Codigo Estado]],unds!O:P,2,0),"PEND.")</f>
        <v>2001</v>
      </c>
      <c r="AA300" s="168" t="str">
        <f t="shared" si="16"/>
        <v>CD09</v>
      </c>
      <c r="AB300" s="169">
        <f t="shared" ca="1" si="17"/>
        <v>45827</v>
      </c>
      <c r="AC300" s="1"/>
      <c r="AD300" s="1"/>
      <c r="AE300" s="1"/>
      <c r="AF300" s="1"/>
    </row>
    <row r="301" spans="1:32" ht="15" customHeight="1" x14ac:dyDescent="0.2">
      <c r="A301" s="170" t="str">
        <f t="shared" si="15"/>
        <v>MRC01</v>
      </c>
      <c r="B301" s="160" t="str">
        <f>IF(TABLAINV[[#This Row],[Z]]="","",D301&amp;"."&amp;TEXT(E301,"000")&amp;"."&amp;TEXT(F301,"000")&amp;"."&amp;TEXT(G301,"000"))</f>
        <v>MR.C01.193.001</v>
      </c>
      <c r="C301" s="161"/>
      <c r="D301" s="162" t="s">
        <v>95</v>
      </c>
      <c r="E301" s="162" t="s">
        <v>96</v>
      </c>
      <c r="F301" s="162">
        <v>193</v>
      </c>
      <c r="G301" s="162">
        <v>1</v>
      </c>
      <c r="H301" s="162">
        <v>952079003</v>
      </c>
      <c r="I301" s="162" t="s">
        <v>372</v>
      </c>
      <c r="J301" s="171">
        <v>2</v>
      </c>
      <c r="K301" s="162" t="s">
        <v>64</v>
      </c>
      <c r="L301" s="163" t="s">
        <v>115</v>
      </c>
      <c r="M301" s="162" t="s">
        <v>99</v>
      </c>
      <c r="N301" s="161" t="s">
        <v>91</v>
      </c>
      <c r="O301" s="161">
        <v>2</v>
      </c>
      <c r="P301" s="163">
        <v>2</v>
      </c>
      <c r="Q301" s="163"/>
      <c r="R301" s="162"/>
      <c r="S301" s="164">
        <f>TABLAINV[[#This Row],[Conteo Físico]]-TABLAINV[[#This Row],[Cant. UND]]</f>
        <v>0</v>
      </c>
      <c r="T30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1" s="165" t="str">
        <f>IFERROR(IF(MOD(TABLAINV[[#This Row],[C]],2)=0,"PAR","IMPAR"),"Zona")</f>
        <v>IMPAR</v>
      </c>
      <c r="W301" s="166"/>
      <c r="X301" s="167">
        <f>IFERROR(IF(TABLAINV[[#This Row],[Cant. UND]]=0,TABLAINV[[#This Row],[PMV]]*TABLAINV[[#This Row],[Conteo Físico]],TABLAINV[[#This Row],[PMV]]*TABLAINV[[#This Row],[Cant. UND]]),0)</f>
        <v>0</v>
      </c>
      <c r="Y301" s="167">
        <f>IFERROR(ABS(TABLAINV[[#This Row],[PMV]]*TABLAINV[[#This Row],[Diferencia]]),0)</f>
        <v>0</v>
      </c>
      <c r="Z301" s="168">
        <f>IFERROR(VLOOKUP(TABLAINV[[#This Row],[Codigo Estado]],unds!O:P,2,0),"PEND.")</f>
        <v>2001</v>
      </c>
      <c r="AA301" s="168" t="str">
        <f t="shared" si="16"/>
        <v>CD09</v>
      </c>
      <c r="AB301" s="169">
        <f t="shared" ca="1" si="17"/>
        <v>45827</v>
      </c>
      <c r="AC301" s="1"/>
      <c r="AD301" s="1"/>
      <c r="AE301" s="1"/>
      <c r="AF301" s="1"/>
    </row>
    <row r="302" spans="1:32" ht="15" customHeight="1" x14ac:dyDescent="0.2">
      <c r="A302" s="170" t="str">
        <f t="shared" si="15"/>
        <v>MRC01</v>
      </c>
      <c r="B302" s="160" t="str">
        <f>IF(TABLAINV[[#This Row],[Z]]="","",D302&amp;"."&amp;TEXT(E302,"000")&amp;"."&amp;TEXT(F302,"000")&amp;"."&amp;TEXT(G302,"000"))</f>
        <v>MR.C01.193.002</v>
      </c>
      <c r="C302" s="161"/>
      <c r="D302" s="162" t="s">
        <v>95</v>
      </c>
      <c r="E302" s="162" t="s">
        <v>96</v>
      </c>
      <c r="F302" s="162">
        <v>193</v>
      </c>
      <c r="G302" s="162">
        <v>2</v>
      </c>
      <c r="H302" s="162">
        <v>252912</v>
      </c>
      <c r="I302" s="162" t="s">
        <v>373</v>
      </c>
      <c r="J302" s="171">
        <v>9</v>
      </c>
      <c r="K302" s="162" t="s">
        <v>64</v>
      </c>
      <c r="L302" s="163" t="s">
        <v>110</v>
      </c>
      <c r="M302" s="162" t="s">
        <v>135</v>
      </c>
      <c r="N302" s="161" t="s">
        <v>91</v>
      </c>
      <c r="O302" s="161">
        <v>9</v>
      </c>
      <c r="P302" s="163">
        <v>9</v>
      </c>
      <c r="Q302" s="163"/>
      <c r="R302" s="162"/>
      <c r="S302" s="164">
        <f>TABLAINV[[#This Row],[Conteo Físico]]-TABLAINV[[#This Row],[Cant. UND]]</f>
        <v>0</v>
      </c>
      <c r="T30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2" s="165" t="str">
        <f>IFERROR(IF(MOD(TABLAINV[[#This Row],[C]],2)=0,"PAR","IMPAR"),"Zona")</f>
        <v>IMPAR</v>
      </c>
      <c r="W302" s="166"/>
      <c r="X302" s="167">
        <f>IFERROR(IF(TABLAINV[[#This Row],[Cant. UND]]=0,TABLAINV[[#This Row],[PMV]]*TABLAINV[[#This Row],[Conteo Físico]],TABLAINV[[#This Row],[PMV]]*TABLAINV[[#This Row],[Cant. UND]]),0)</f>
        <v>0</v>
      </c>
      <c r="Y302" s="167">
        <f>IFERROR(ABS(TABLAINV[[#This Row],[PMV]]*TABLAINV[[#This Row],[Diferencia]]),0)</f>
        <v>0</v>
      </c>
      <c r="Z302" s="168">
        <f>IFERROR(VLOOKUP(TABLAINV[[#This Row],[Codigo Estado]],unds!O:P,2,0),"PEND.")</f>
        <v>2001</v>
      </c>
      <c r="AA302" s="168" t="str">
        <f t="shared" si="16"/>
        <v>CD09</v>
      </c>
      <c r="AB302" s="169">
        <f t="shared" ca="1" si="17"/>
        <v>45827</v>
      </c>
      <c r="AC302" s="1"/>
      <c r="AD302" s="1"/>
      <c r="AE302" s="1"/>
      <c r="AF302" s="1"/>
    </row>
    <row r="303" spans="1:32" ht="15" customHeight="1" x14ac:dyDescent="0.2">
      <c r="A303" s="170" t="str">
        <f t="shared" si="15"/>
        <v>MRC01</v>
      </c>
      <c r="B303" s="160" t="str">
        <f>IF(TABLAINV[[#This Row],[Z]]="","",D303&amp;"."&amp;TEXT(E303,"000")&amp;"."&amp;TEXT(F303,"000")&amp;"."&amp;TEXT(G303,"000"))</f>
        <v>MR.C01.193.002</v>
      </c>
      <c r="C303" s="161"/>
      <c r="D303" s="162" t="s">
        <v>95</v>
      </c>
      <c r="E303" s="162" t="s">
        <v>96</v>
      </c>
      <c r="F303" s="162">
        <v>193</v>
      </c>
      <c r="G303" s="162">
        <v>2</v>
      </c>
      <c r="H303" s="162">
        <v>407900</v>
      </c>
      <c r="I303" s="162" t="s">
        <v>374</v>
      </c>
      <c r="J303" s="171">
        <v>2</v>
      </c>
      <c r="K303" s="162" t="s">
        <v>64</v>
      </c>
      <c r="L303" s="163" t="s">
        <v>115</v>
      </c>
      <c r="M303" s="162" t="s">
        <v>99</v>
      </c>
      <c r="N303" s="161" t="s">
        <v>91</v>
      </c>
      <c r="O303" s="161">
        <v>2</v>
      </c>
      <c r="P303" s="163">
        <v>2</v>
      </c>
      <c r="Q303" s="163"/>
      <c r="R303" s="162"/>
      <c r="S303" s="164">
        <f>TABLAINV[[#This Row],[Conteo Físico]]-TABLAINV[[#This Row],[Cant. UND]]</f>
        <v>0</v>
      </c>
      <c r="T30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3" s="165" t="str">
        <f>IFERROR(IF(MOD(TABLAINV[[#This Row],[C]],2)=0,"PAR","IMPAR"),"Zona")</f>
        <v>IMPAR</v>
      </c>
      <c r="W303" s="166"/>
      <c r="X303" s="167">
        <f>IFERROR(IF(TABLAINV[[#This Row],[Cant. UND]]=0,TABLAINV[[#This Row],[PMV]]*TABLAINV[[#This Row],[Conteo Físico]],TABLAINV[[#This Row],[PMV]]*TABLAINV[[#This Row],[Cant. UND]]),0)</f>
        <v>0</v>
      </c>
      <c r="Y303" s="167">
        <f>IFERROR(ABS(TABLAINV[[#This Row],[PMV]]*TABLAINV[[#This Row],[Diferencia]]),0)</f>
        <v>0</v>
      </c>
      <c r="Z303" s="168">
        <f>IFERROR(VLOOKUP(TABLAINV[[#This Row],[Codigo Estado]],unds!O:P,2,0),"PEND.")</f>
        <v>2001</v>
      </c>
      <c r="AA303" s="168" t="str">
        <f t="shared" si="16"/>
        <v>CD09</v>
      </c>
      <c r="AB303" s="169">
        <f t="shared" ca="1" si="17"/>
        <v>45827</v>
      </c>
      <c r="AC303" s="1"/>
      <c r="AD303" s="1"/>
      <c r="AE303" s="1"/>
      <c r="AF303" s="1"/>
    </row>
    <row r="304" spans="1:32" ht="15" customHeight="1" x14ac:dyDescent="0.2">
      <c r="A304" s="170" t="str">
        <f t="shared" si="15"/>
        <v>MRC01</v>
      </c>
      <c r="B304" s="160" t="str">
        <f>IF(TABLAINV[[#This Row],[Z]]="","",D304&amp;"."&amp;TEXT(E304,"000")&amp;"."&amp;TEXT(F304,"000")&amp;"."&amp;TEXT(G304,"000"))</f>
        <v>MR.C01.193.002</v>
      </c>
      <c r="C304" s="161"/>
      <c r="D304" s="162" t="s">
        <v>95</v>
      </c>
      <c r="E304" s="162" t="s">
        <v>96</v>
      </c>
      <c r="F304" s="162">
        <v>193</v>
      </c>
      <c r="G304" s="162">
        <v>2</v>
      </c>
      <c r="H304" s="162">
        <v>531493</v>
      </c>
      <c r="I304" s="162" t="s">
        <v>375</v>
      </c>
      <c r="J304" s="171">
        <v>1</v>
      </c>
      <c r="K304" s="162" t="s">
        <v>64</v>
      </c>
      <c r="L304" s="163" t="s">
        <v>117</v>
      </c>
      <c r="M304" s="162" t="s">
        <v>99</v>
      </c>
      <c r="N304" s="161" t="s">
        <v>91</v>
      </c>
      <c r="O304" s="161">
        <v>1</v>
      </c>
      <c r="P304" s="163">
        <v>1</v>
      </c>
      <c r="Q304" s="163"/>
      <c r="R304" s="162"/>
      <c r="S304" s="164">
        <f>TABLAINV[[#This Row],[Conteo Físico]]-TABLAINV[[#This Row],[Cant. UND]]</f>
        <v>0</v>
      </c>
      <c r="T30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4" s="165" t="str">
        <f>IFERROR(IF(MOD(TABLAINV[[#This Row],[C]],2)=0,"PAR","IMPAR"),"Zona")</f>
        <v>IMPAR</v>
      </c>
      <c r="W304" s="166"/>
      <c r="X304" s="167">
        <f>IFERROR(IF(TABLAINV[[#This Row],[Cant. UND]]=0,TABLAINV[[#This Row],[PMV]]*TABLAINV[[#This Row],[Conteo Físico]],TABLAINV[[#This Row],[PMV]]*TABLAINV[[#This Row],[Cant. UND]]),0)</f>
        <v>0</v>
      </c>
      <c r="Y304" s="167">
        <f>IFERROR(ABS(TABLAINV[[#This Row],[PMV]]*TABLAINV[[#This Row],[Diferencia]]),0)</f>
        <v>0</v>
      </c>
      <c r="Z304" s="168">
        <f>IFERROR(VLOOKUP(TABLAINV[[#This Row],[Codigo Estado]],unds!O:P,2,0),"PEND.")</f>
        <v>2001</v>
      </c>
      <c r="AA304" s="168" t="str">
        <f t="shared" si="16"/>
        <v>CD09</v>
      </c>
      <c r="AB304" s="169">
        <f t="shared" ca="1" si="17"/>
        <v>45827</v>
      </c>
      <c r="AC304" s="1"/>
      <c r="AD304" s="1"/>
      <c r="AE304" s="1"/>
      <c r="AF304" s="1"/>
    </row>
    <row r="305" spans="1:32" ht="15" customHeight="1" x14ac:dyDescent="0.2">
      <c r="A305" s="170" t="str">
        <f t="shared" si="15"/>
        <v>MRC01</v>
      </c>
      <c r="B305" s="160" t="str">
        <f>IF(TABLAINV[[#This Row],[Z]]="","",D305&amp;"."&amp;TEXT(E305,"000")&amp;"."&amp;TEXT(F305,"000")&amp;"."&amp;TEXT(G305,"000"))</f>
        <v>MR.C01.193.002</v>
      </c>
      <c r="C305" s="161"/>
      <c r="D305" s="162" t="s">
        <v>95</v>
      </c>
      <c r="E305" s="162" t="s">
        <v>96</v>
      </c>
      <c r="F305" s="162">
        <v>193</v>
      </c>
      <c r="G305" s="162">
        <v>2</v>
      </c>
      <c r="H305" s="162">
        <v>916693</v>
      </c>
      <c r="I305" s="162" t="s">
        <v>376</v>
      </c>
      <c r="J305" s="171">
        <v>3</v>
      </c>
      <c r="K305" s="162" t="s">
        <v>64</v>
      </c>
      <c r="L305" s="163" t="s">
        <v>115</v>
      </c>
      <c r="M305" s="162" t="s">
        <v>99</v>
      </c>
      <c r="N305" s="161" t="s">
        <v>91</v>
      </c>
      <c r="O305" s="161">
        <v>3</v>
      </c>
      <c r="P305" s="163">
        <v>3</v>
      </c>
      <c r="Q305" s="163"/>
      <c r="R305" s="162"/>
      <c r="S305" s="164">
        <f>TABLAINV[[#This Row],[Conteo Físico]]-TABLAINV[[#This Row],[Cant. UND]]</f>
        <v>0</v>
      </c>
      <c r="T30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5" s="165" t="str">
        <f>IFERROR(IF(MOD(TABLAINV[[#This Row],[C]],2)=0,"PAR","IMPAR"),"Zona")</f>
        <v>IMPAR</v>
      </c>
      <c r="W305" s="166"/>
      <c r="X305" s="167">
        <f>IFERROR(IF(TABLAINV[[#This Row],[Cant. UND]]=0,TABLAINV[[#This Row],[PMV]]*TABLAINV[[#This Row],[Conteo Físico]],TABLAINV[[#This Row],[PMV]]*TABLAINV[[#This Row],[Cant. UND]]),0)</f>
        <v>0</v>
      </c>
      <c r="Y305" s="167">
        <f>IFERROR(ABS(TABLAINV[[#This Row],[PMV]]*TABLAINV[[#This Row],[Diferencia]]),0)</f>
        <v>0</v>
      </c>
      <c r="Z305" s="168">
        <f>IFERROR(VLOOKUP(TABLAINV[[#This Row],[Codigo Estado]],unds!O:P,2,0),"PEND.")</f>
        <v>2001</v>
      </c>
      <c r="AA305" s="168" t="str">
        <f t="shared" si="16"/>
        <v>CD09</v>
      </c>
      <c r="AB305" s="169">
        <f t="shared" ca="1" si="17"/>
        <v>45827</v>
      </c>
      <c r="AC305" s="1"/>
      <c r="AD305" s="1"/>
      <c r="AE305" s="1"/>
      <c r="AF305" s="1"/>
    </row>
    <row r="306" spans="1:32" ht="15" customHeight="1" x14ac:dyDescent="0.2">
      <c r="A306" s="170" t="str">
        <f t="shared" si="15"/>
        <v>MRC01</v>
      </c>
      <c r="B306" s="160" t="str">
        <f>IF(TABLAINV[[#This Row],[Z]]="","",D306&amp;"."&amp;TEXT(E306,"000")&amp;"."&amp;TEXT(F306,"000")&amp;"."&amp;TEXT(G306,"000"))</f>
        <v>MR.C01.199.001</v>
      </c>
      <c r="C306" s="161"/>
      <c r="D306" s="162" t="s">
        <v>95</v>
      </c>
      <c r="E306" s="162" t="s">
        <v>96</v>
      </c>
      <c r="F306" s="162">
        <v>199</v>
      </c>
      <c r="G306" s="162">
        <v>1</v>
      </c>
      <c r="H306" s="162">
        <v>733537002</v>
      </c>
      <c r="I306" s="162" t="s">
        <v>377</v>
      </c>
      <c r="J306" s="171">
        <v>1</v>
      </c>
      <c r="K306" s="162" t="s">
        <v>64</v>
      </c>
      <c r="L306" s="163" t="s">
        <v>115</v>
      </c>
      <c r="M306" s="162" t="s">
        <v>99</v>
      </c>
      <c r="N306" s="161" t="s">
        <v>91</v>
      </c>
      <c r="O306" s="161">
        <v>1</v>
      </c>
      <c r="P306" s="163">
        <v>1</v>
      </c>
      <c r="Q306" s="163"/>
      <c r="R306" s="162"/>
      <c r="S306" s="164">
        <f>TABLAINV[[#This Row],[Conteo Físico]]-TABLAINV[[#This Row],[Cant. UND]]</f>
        <v>0</v>
      </c>
      <c r="T30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6" s="165" t="str">
        <f>IFERROR(IF(MOD(TABLAINV[[#This Row],[C]],2)=0,"PAR","IMPAR"),"Zona")</f>
        <v>IMPAR</v>
      </c>
      <c r="W306" s="166"/>
      <c r="X306" s="167">
        <f>IFERROR(IF(TABLAINV[[#This Row],[Cant. UND]]=0,TABLAINV[[#This Row],[PMV]]*TABLAINV[[#This Row],[Conteo Físico]],TABLAINV[[#This Row],[PMV]]*TABLAINV[[#This Row],[Cant. UND]]),0)</f>
        <v>0</v>
      </c>
      <c r="Y306" s="167">
        <f>IFERROR(ABS(TABLAINV[[#This Row],[PMV]]*TABLAINV[[#This Row],[Diferencia]]),0)</f>
        <v>0</v>
      </c>
      <c r="Z306" s="168">
        <f>IFERROR(VLOOKUP(TABLAINV[[#This Row],[Codigo Estado]],unds!O:P,2,0),"PEND.")</f>
        <v>2001</v>
      </c>
      <c r="AA306" s="168" t="str">
        <f t="shared" si="16"/>
        <v>CD09</v>
      </c>
      <c r="AB306" s="169">
        <f t="shared" ca="1" si="17"/>
        <v>45827</v>
      </c>
      <c r="AC306" s="1"/>
      <c r="AD306" s="1"/>
      <c r="AE306" s="1"/>
      <c r="AF306" s="1"/>
    </row>
    <row r="307" spans="1:32" ht="15" customHeight="1" x14ac:dyDescent="0.2">
      <c r="A307" s="170" t="str">
        <f t="shared" si="15"/>
        <v>MRC01</v>
      </c>
      <c r="B307" s="160" t="str">
        <f>IF(TABLAINV[[#This Row],[Z]]="","",D307&amp;"."&amp;TEXT(E307,"000")&amp;"."&amp;TEXT(F307,"000")&amp;"."&amp;TEXT(G307,"000"))</f>
        <v>MR.C01.199.001</v>
      </c>
      <c r="C307" s="161"/>
      <c r="D307" s="162" t="s">
        <v>95</v>
      </c>
      <c r="E307" s="162" t="s">
        <v>96</v>
      </c>
      <c r="F307" s="162">
        <v>199</v>
      </c>
      <c r="G307" s="162">
        <v>1</v>
      </c>
      <c r="H307" s="162">
        <v>768744001</v>
      </c>
      <c r="I307" s="162" t="s">
        <v>378</v>
      </c>
      <c r="J307" s="171">
        <v>4</v>
      </c>
      <c r="K307" s="162" t="s">
        <v>64</v>
      </c>
      <c r="L307" s="163" t="s">
        <v>115</v>
      </c>
      <c r="M307" s="162" t="s">
        <v>99</v>
      </c>
      <c r="N307" s="161" t="s">
        <v>91</v>
      </c>
      <c r="O307" s="161">
        <v>4</v>
      </c>
      <c r="P307" s="163">
        <v>4</v>
      </c>
      <c r="Q307" s="163"/>
      <c r="R307" s="162"/>
      <c r="S307" s="164">
        <f>TABLAINV[[#This Row],[Conteo Físico]]-TABLAINV[[#This Row],[Cant. UND]]</f>
        <v>0</v>
      </c>
      <c r="T30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7" s="165" t="str">
        <f>IFERROR(IF(MOD(TABLAINV[[#This Row],[C]],2)=0,"PAR","IMPAR"),"Zona")</f>
        <v>IMPAR</v>
      </c>
      <c r="W307" s="166"/>
      <c r="X307" s="167">
        <f>IFERROR(IF(TABLAINV[[#This Row],[Cant. UND]]=0,TABLAINV[[#This Row],[PMV]]*TABLAINV[[#This Row],[Conteo Físico]],TABLAINV[[#This Row],[PMV]]*TABLAINV[[#This Row],[Cant. UND]]),0)</f>
        <v>0</v>
      </c>
      <c r="Y307" s="167">
        <f>IFERROR(ABS(TABLAINV[[#This Row],[PMV]]*TABLAINV[[#This Row],[Diferencia]]),0)</f>
        <v>0</v>
      </c>
      <c r="Z307" s="168">
        <f>IFERROR(VLOOKUP(TABLAINV[[#This Row],[Codigo Estado]],unds!O:P,2,0),"PEND.")</f>
        <v>2001</v>
      </c>
      <c r="AA307" s="168" t="str">
        <f t="shared" si="16"/>
        <v>CD09</v>
      </c>
      <c r="AB307" s="169">
        <f t="shared" ca="1" si="17"/>
        <v>45827</v>
      </c>
      <c r="AC307" s="1"/>
      <c r="AD307" s="1"/>
      <c r="AE307" s="1"/>
      <c r="AF307" s="1"/>
    </row>
    <row r="308" spans="1:32" ht="15" customHeight="1" x14ac:dyDescent="0.2">
      <c r="A308" s="170" t="str">
        <f t="shared" si="15"/>
        <v>MRC01</v>
      </c>
      <c r="B308" s="160" t="str">
        <f>IF(TABLAINV[[#This Row],[Z]]="","",D308&amp;"."&amp;TEXT(E308,"000")&amp;"."&amp;TEXT(F308,"000")&amp;"."&amp;TEXT(G308,"000"))</f>
        <v>MR.C01.199.002</v>
      </c>
      <c r="C308" s="161"/>
      <c r="D308" s="162" t="s">
        <v>95</v>
      </c>
      <c r="E308" s="162" t="s">
        <v>96</v>
      </c>
      <c r="F308" s="162">
        <v>199</v>
      </c>
      <c r="G308" s="162">
        <v>2</v>
      </c>
      <c r="H308" s="162">
        <v>532156</v>
      </c>
      <c r="I308" s="162" t="s">
        <v>379</v>
      </c>
      <c r="J308" s="171">
        <v>4</v>
      </c>
      <c r="K308" s="162" t="s">
        <v>64</v>
      </c>
      <c r="L308" s="163" t="s">
        <v>117</v>
      </c>
      <c r="M308" s="162" t="s">
        <v>99</v>
      </c>
      <c r="N308" s="161" t="s">
        <v>91</v>
      </c>
      <c r="O308" s="161">
        <v>4</v>
      </c>
      <c r="P308" s="163">
        <v>4</v>
      </c>
      <c r="Q308" s="163"/>
      <c r="R308" s="162"/>
      <c r="S308" s="164">
        <f>TABLAINV[[#This Row],[Conteo Físico]]-TABLAINV[[#This Row],[Cant. UND]]</f>
        <v>0</v>
      </c>
      <c r="T30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8" s="165" t="str">
        <f>IFERROR(IF(MOD(TABLAINV[[#This Row],[C]],2)=0,"PAR","IMPAR"),"Zona")</f>
        <v>IMPAR</v>
      </c>
      <c r="W308" s="166"/>
      <c r="X308" s="167">
        <f>IFERROR(IF(TABLAINV[[#This Row],[Cant. UND]]=0,TABLAINV[[#This Row],[PMV]]*TABLAINV[[#This Row],[Conteo Físico]],TABLAINV[[#This Row],[PMV]]*TABLAINV[[#This Row],[Cant. UND]]),0)</f>
        <v>0</v>
      </c>
      <c r="Y308" s="167">
        <f>IFERROR(ABS(TABLAINV[[#This Row],[PMV]]*TABLAINV[[#This Row],[Diferencia]]),0)</f>
        <v>0</v>
      </c>
      <c r="Z308" s="168">
        <f>IFERROR(VLOOKUP(TABLAINV[[#This Row],[Codigo Estado]],unds!O:P,2,0),"PEND.")</f>
        <v>2001</v>
      </c>
      <c r="AA308" s="168" t="str">
        <f t="shared" si="16"/>
        <v>CD09</v>
      </c>
      <c r="AB308" s="169">
        <f t="shared" ca="1" si="17"/>
        <v>45827</v>
      </c>
      <c r="AC308" s="1"/>
      <c r="AD308" s="1"/>
      <c r="AE308" s="1"/>
      <c r="AF308" s="1"/>
    </row>
    <row r="309" spans="1:32" ht="15" customHeight="1" x14ac:dyDescent="0.2">
      <c r="A309" s="170" t="str">
        <f t="shared" si="15"/>
        <v>MRC01</v>
      </c>
      <c r="B309" s="160" t="str">
        <f>IF(TABLAINV[[#This Row],[Z]]="","",D309&amp;"."&amp;TEXT(E309,"000")&amp;"."&amp;TEXT(F309,"000")&amp;"."&amp;TEXT(G309,"000"))</f>
        <v>MR.C01.199.002</v>
      </c>
      <c r="C309" s="161"/>
      <c r="D309" s="162" t="s">
        <v>95</v>
      </c>
      <c r="E309" s="162" t="s">
        <v>96</v>
      </c>
      <c r="F309" s="162">
        <v>199</v>
      </c>
      <c r="G309" s="162">
        <v>2</v>
      </c>
      <c r="H309" s="162">
        <v>76762</v>
      </c>
      <c r="I309" s="162" t="s">
        <v>380</v>
      </c>
      <c r="J309" s="171">
        <v>8</v>
      </c>
      <c r="K309" s="162" t="s">
        <v>64</v>
      </c>
      <c r="L309" s="163" t="s">
        <v>110</v>
      </c>
      <c r="M309" s="162" t="s">
        <v>135</v>
      </c>
      <c r="N309" s="161" t="s">
        <v>91</v>
      </c>
      <c r="O309" s="161">
        <v>8</v>
      </c>
      <c r="P309" s="163">
        <v>8</v>
      </c>
      <c r="Q309" s="163"/>
      <c r="R309" s="162"/>
      <c r="S309" s="164">
        <f>TABLAINV[[#This Row],[Conteo Físico]]-TABLAINV[[#This Row],[Cant. UND]]</f>
        <v>0</v>
      </c>
      <c r="T30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0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09" s="165" t="str">
        <f>IFERROR(IF(MOD(TABLAINV[[#This Row],[C]],2)=0,"PAR","IMPAR"),"Zona")</f>
        <v>IMPAR</v>
      </c>
      <c r="W309" s="166"/>
      <c r="X309" s="167">
        <f>IFERROR(IF(TABLAINV[[#This Row],[Cant. UND]]=0,TABLAINV[[#This Row],[PMV]]*TABLAINV[[#This Row],[Conteo Físico]],TABLAINV[[#This Row],[PMV]]*TABLAINV[[#This Row],[Cant. UND]]),0)</f>
        <v>0</v>
      </c>
      <c r="Y309" s="167">
        <f>IFERROR(ABS(TABLAINV[[#This Row],[PMV]]*TABLAINV[[#This Row],[Diferencia]]),0)</f>
        <v>0</v>
      </c>
      <c r="Z309" s="168">
        <f>IFERROR(VLOOKUP(TABLAINV[[#This Row],[Codigo Estado]],unds!O:P,2,0),"PEND.")</f>
        <v>2001</v>
      </c>
      <c r="AA309" s="168" t="str">
        <f t="shared" si="16"/>
        <v>CD09</v>
      </c>
      <c r="AB309" s="169">
        <f t="shared" ca="1" si="17"/>
        <v>45827</v>
      </c>
      <c r="AC309" s="1"/>
      <c r="AD309" s="1"/>
      <c r="AE309" s="1"/>
      <c r="AF309" s="1"/>
    </row>
    <row r="310" spans="1:32" ht="15" customHeight="1" x14ac:dyDescent="0.2">
      <c r="A310" s="170" t="str">
        <f t="shared" si="15"/>
        <v>MRC01</v>
      </c>
      <c r="B310" s="160" t="str">
        <f>IF(TABLAINV[[#This Row],[Z]]="","",D310&amp;"."&amp;TEXT(E310,"000")&amp;"."&amp;TEXT(F310,"000")&amp;"."&amp;TEXT(G310,"000"))</f>
        <v>MR.C01.199.002</v>
      </c>
      <c r="C310" s="161"/>
      <c r="D310" s="162" t="s">
        <v>95</v>
      </c>
      <c r="E310" s="162" t="s">
        <v>96</v>
      </c>
      <c r="F310" s="162">
        <v>199</v>
      </c>
      <c r="G310" s="162">
        <v>2</v>
      </c>
      <c r="H310" s="162">
        <v>768651</v>
      </c>
      <c r="I310" s="162" t="s">
        <v>381</v>
      </c>
      <c r="J310" s="171">
        <v>3</v>
      </c>
      <c r="K310" s="162" t="s">
        <v>64</v>
      </c>
      <c r="L310" s="163" t="s">
        <v>117</v>
      </c>
      <c r="M310" s="162" t="s">
        <v>99</v>
      </c>
      <c r="N310" s="161" t="s">
        <v>91</v>
      </c>
      <c r="O310" s="161">
        <v>3</v>
      </c>
      <c r="P310" s="163">
        <v>3</v>
      </c>
      <c r="Q310" s="163"/>
      <c r="R310" s="162"/>
      <c r="S310" s="164">
        <f>TABLAINV[[#This Row],[Conteo Físico]]-TABLAINV[[#This Row],[Cant. UND]]</f>
        <v>0</v>
      </c>
      <c r="T31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0" s="165" t="str">
        <f>IFERROR(IF(MOD(TABLAINV[[#This Row],[C]],2)=0,"PAR","IMPAR"),"Zona")</f>
        <v>IMPAR</v>
      </c>
      <c r="W310" s="166"/>
      <c r="X310" s="167">
        <f>IFERROR(IF(TABLAINV[[#This Row],[Cant. UND]]=0,TABLAINV[[#This Row],[PMV]]*TABLAINV[[#This Row],[Conteo Físico]],TABLAINV[[#This Row],[PMV]]*TABLAINV[[#This Row],[Cant. UND]]),0)</f>
        <v>0</v>
      </c>
      <c r="Y310" s="167">
        <f>IFERROR(ABS(TABLAINV[[#This Row],[PMV]]*TABLAINV[[#This Row],[Diferencia]]),0)</f>
        <v>0</v>
      </c>
      <c r="Z310" s="168">
        <f>IFERROR(VLOOKUP(TABLAINV[[#This Row],[Codigo Estado]],unds!O:P,2,0),"PEND.")</f>
        <v>2001</v>
      </c>
      <c r="AA310" s="168" t="str">
        <f t="shared" si="16"/>
        <v>CD09</v>
      </c>
      <c r="AB310" s="169">
        <f t="shared" ca="1" si="17"/>
        <v>45827</v>
      </c>
      <c r="AC310" s="1"/>
      <c r="AD310" s="1"/>
      <c r="AE310" s="1"/>
      <c r="AF310" s="1"/>
    </row>
    <row r="311" spans="1:32" ht="15" customHeight="1" x14ac:dyDescent="0.2">
      <c r="A311" s="170" t="str">
        <f t="shared" si="15"/>
        <v>MRC01</v>
      </c>
      <c r="B311" s="160" t="str">
        <f>IF(TABLAINV[[#This Row],[Z]]="","",D311&amp;"."&amp;TEXT(E311,"000")&amp;"."&amp;TEXT(F311,"000")&amp;"."&amp;TEXT(G311,"000"))</f>
        <v>MR.C01.201.001</v>
      </c>
      <c r="C311" s="161"/>
      <c r="D311" s="162" t="s">
        <v>95</v>
      </c>
      <c r="E311" s="162" t="s">
        <v>96</v>
      </c>
      <c r="F311" s="162">
        <v>201</v>
      </c>
      <c r="G311" s="162">
        <v>1</v>
      </c>
      <c r="H311" s="162">
        <v>19621</v>
      </c>
      <c r="I311" s="162" t="s">
        <v>382</v>
      </c>
      <c r="J311" s="171">
        <v>3</v>
      </c>
      <c r="K311" s="162" t="s">
        <v>64</v>
      </c>
      <c r="L311" s="163" t="s">
        <v>110</v>
      </c>
      <c r="M311" s="162" t="s">
        <v>135</v>
      </c>
      <c r="N311" s="161" t="s">
        <v>91</v>
      </c>
      <c r="O311" s="161">
        <v>3</v>
      </c>
      <c r="P311" s="163">
        <v>3</v>
      </c>
      <c r="Q311" s="163"/>
      <c r="R311" s="162"/>
      <c r="S311" s="164">
        <f>TABLAINV[[#This Row],[Conteo Físico]]-TABLAINV[[#This Row],[Cant. UND]]</f>
        <v>0</v>
      </c>
      <c r="T31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1" s="165" t="str">
        <f>IFERROR(IF(MOD(TABLAINV[[#This Row],[C]],2)=0,"PAR","IMPAR"),"Zona")</f>
        <v>IMPAR</v>
      </c>
      <c r="W311" s="166"/>
      <c r="X311" s="167">
        <f>IFERROR(IF(TABLAINV[[#This Row],[Cant. UND]]=0,TABLAINV[[#This Row],[PMV]]*TABLAINV[[#This Row],[Conteo Físico]],TABLAINV[[#This Row],[PMV]]*TABLAINV[[#This Row],[Cant. UND]]),0)</f>
        <v>0</v>
      </c>
      <c r="Y311" s="167">
        <f>IFERROR(ABS(TABLAINV[[#This Row],[PMV]]*TABLAINV[[#This Row],[Diferencia]]),0)</f>
        <v>0</v>
      </c>
      <c r="Z311" s="168">
        <f>IFERROR(VLOOKUP(TABLAINV[[#This Row],[Codigo Estado]],unds!O:P,2,0),"PEND.")</f>
        <v>2001</v>
      </c>
      <c r="AA311" s="168" t="str">
        <f t="shared" si="16"/>
        <v>CD09</v>
      </c>
      <c r="AB311" s="169">
        <f t="shared" ca="1" si="17"/>
        <v>45827</v>
      </c>
      <c r="AC311" s="1"/>
      <c r="AD311" s="1"/>
      <c r="AE311" s="1"/>
      <c r="AF311" s="1"/>
    </row>
    <row r="312" spans="1:32" ht="15" customHeight="1" x14ac:dyDescent="0.2">
      <c r="A312" s="170" t="str">
        <f t="shared" si="15"/>
        <v>MRC01</v>
      </c>
      <c r="B312" s="160" t="str">
        <f>IF(TABLAINV[[#This Row],[Z]]="","",D312&amp;"."&amp;TEXT(E312,"000")&amp;"."&amp;TEXT(F312,"000")&amp;"."&amp;TEXT(G312,"000"))</f>
        <v>MR.C01.201.001</v>
      </c>
      <c r="C312" s="161"/>
      <c r="D312" s="162" t="s">
        <v>95</v>
      </c>
      <c r="E312" s="162" t="s">
        <v>96</v>
      </c>
      <c r="F312" s="162">
        <v>201</v>
      </c>
      <c r="G312" s="162">
        <v>1</v>
      </c>
      <c r="H312" s="162">
        <v>929130003</v>
      </c>
      <c r="I312" s="162" t="s">
        <v>383</v>
      </c>
      <c r="J312" s="171">
        <v>5</v>
      </c>
      <c r="K312" s="162" t="s">
        <v>64</v>
      </c>
      <c r="L312" s="163" t="s">
        <v>117</v>
      </c>
      <c r="M312" s="162" t="s">
        <v>99</v>
      </c>
      <c r="N312" s="161" t="s">
        <v>91</v>
      </c>
      <c r="O312" s="161">
        <v>5</v>
      </c>
      <c r="P312" s="163">
        <v>5</v>
      </c>
      <c r="Q312" s="163"/>
      <c r="R312" s="162"/>
      <c r="S312" s="164">
        <f>TABLAINV[[#This Row],[Conteo Físico]]-TABLAINV[[#This Row],[Cant. UND]]</f>
        <v>0</v>
      </c>
      <c r="T31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2" s="165" t="str">
        <f>IFERROR(IF(MOD(TABLAINV[[#This Row],[C]],2)=0,"PAR","IMPAR"),"Zona")</f>
        <v>IMPAR</v>
      </c>
      <c r="W312" s="166"/>
      <c r="X312" s="167">
        <f>IFERROR(IF(TABLAINV[[#This Row],[Cant. UND]]=0,TABLAINV[[#This Row],[PMV]]*TABLAINV[[#This Row],[Conteo Físico]],TABLAINV[[#This Row],[PMV]]*TABLAINV[[#This Row],[Cant. UND]]),0)</f>
        <v>0</v>
      </c>
      <c r="Y312" s="167">
        <f>IFERROR(ABS(TABLAINV[[#This Row],[PMV]]*TABLAINV[[#This Row],[Diferencia]]),0)</f>
        <v>0</v>
      </c>
      <c r="Z312" s="168">
        <f>IFERROR(VLOOKUP(TABLAINV[[#This Row],[Codigo Estado]],unds!O:P,2,0),"PEND.")</f>
        <v>2001</v>
      </c>
      <c r="AA312" s="168" t="str">
        <f t="shared" si="16"/>
        <v>CD09</v>
      </c>
      <c r="AB312" s="169">
        <f t="shared" ca="1" si="17"/>
        <v>45827</v>
      </c>
      <c r="AC312" s="1"/>
      <c r="AD312" s="1"/>
      <c r="AE312" s="1"/>
      <c r="AF312" s="1"/>
    </row>
    <row r="313" spans="1:32" ht="15" customHeight="1" x14ac:dyDescent="0.2">
      <c r="A313" s="170" t="str">
        <f t="shared" si="15"/>
        <v>MRC01</v>
      </c>
      <c r="B313" s="160" t="str">
        <f>IF(TABLAINV[[#This Row],[Z]]="","",D313&amp;"."&amp;TEXT(E313,"000")&amp;"."&amp;TEXT(F313,"000")&amp;"."&amp;TEXT(G313,"000"))</f>
        <v>MR.C01.201.002</v>
      </c>
      <c r="C313" s="161"/>
      <c r="D313" s="162" t="s">
        <v>95</v>
      </c>
      <c r="E313" s="162" t="s">
        <v>96</v>
      </c>
      <c r="F313" s="162">
        <v>201</v>
      </c>
      <c r="G313" s="162">
        <v>2</v>
      </c>
      <c r="H313" s="162">
        <v>3746</v>
      </c>
      <c r="I313" s="162" t="s">
        <v>353</v>
      </c>
      <c r="J313" s="171">
        <v>3</v>
      </c>
      <c r="K313" s="162" t="s">
        <v>64</v>
      </c>
      <c r="L313" s="163" t="s">
        <v>110</v>
      </c>
      <c r="M313" s="162" t="s">
        <v>135</v>
      </c>
      <c r="N313" s="161" t="s">
        <v>91</v>
      </c>
      <c r="O313" s="161">
        <v>3</v>
      </c>
      <c r="P313" s="163">
        <v>3</v>
      </c>
      <c r="Q313" s="163"/>
      <c r="R313" s="162"/>
      <c r="S313" s="164">
        <f>TABLAINV[[#This Row],[Conteo Físico]]-TABLAINV[[#This Row],[Cant. UND]]</f>
        <v>0</v>
      </c>
      <c r="T31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3" s="165" t="str">
        <f>IFERROR(IF(MOD(TABLAINV[[#This Row],[C]],2)=0,"PAR","IMPAR"),"Zona")</f>
        <v>IMPAR</v>
      </c>
      <c r="W313" s="166"/>
      <c r="X313" s="167">
        <f>IFERROR(IF(TABLAINV[[#This Row],[Cant. UND]]=0,TABLAINV[[#This Row],[PMV]]*TABLAINV[[#This Row],[Conteo Físico]],TABLAINV[[#This Row],[PMV]]*TABLAINV[[#This Row],[Cant. UND]]),0)</f>
        <v>0</v>
      </c>
      <c r="Y313" s="167">
        <f>IFERROR(ABS(TABLAINV[[#This Row],[PMV]]*TABLAINV[[#This Row],[Diferencia]]),0)</f>
        <v>0</v>
      </c>
      <c r="Z313" s="168">
        <f>IFERROR(VLOOKUP(TABLAINV[[#This Row],[Codigo Estado]],unds!O:P,2,0),"PEND.")</f>
        <v>2001</v>
      </c>
      <c r="AA313" s="168" t="str">
        <f t="shared" si="16"/>
        <v>CD09</v>
      </c>
      <c r="AB313" s="169">
        <f t="shared" ca="1" si="17"/>
        <v>45827</v>
      </c>
      <c r="AC313" s="1"/>
      <c r="AD313" s="1"/>
      <c r="AE313" s="1"/>
      <c r="AF313" s="1"/>
    </row>
    <row r="314" spans="1:32" ht="15" customHeight="1" x14ac:dyDescent="0.2">
      <c r="A314" s="170" t="str">
        <f t="shared" si="15"/>
        <v>MRC01</v>
      </c>
      <c r="B314" s="160" t="str">
        <f>IF(TABLAINV[[#This Row],[Z]]="","",D314&amp;"."&amp;TEXT(E314,"000")&amp;"."&amp;TEXT(F314,"000")&amp;"."&amp;TEXT(G314,"000"))</f>
        <v>MR.C01.201.002</v>
      </c>
      <c r="C314" s="161"/>
      <c r="D314" s="162" t="s">
        <v>95</v>
      </c>
      <c r="E314" s="162" t="s">
        <v>96</v>
      </c>
      <c r="F314" s="162">
        <v>201</v>
      </c>
      <c r="G314" s="162">
        <v>2</v>
      </c>
      <c r="H314" s="162">
        <v>549446</v>
      </c>
      <c r="I314" s="162" t="s">
        <v>384</v>
      </c>
      <c r="J314" s="171">
        <v>2</v>
      </c>
      <c r="K314" s="162" t="s">
        <v>64</v>
      </c>
      <c r="L314" s="163" t="s">
        <v>117</v>
      </c>
      <c r="M314" s="162" t="s">
        <v>99</v>
      </c>
      <c r="N314" s="161" t="s">
        <v>91</v>
      </c>
      <c r="O314" s="161">
        <v>2</v>
      </c>
      <c r="P314" s="163">
        <v>2</v>
      </c>
      <c r="Q314" s="163"/>
      <c r="R314" s="162"/>
      <c r="S314" s="164">
        <f>TABLAINV[[#This Row],[Conteo Físico]]-TABLAINV[[#This Row],[Cant. UND]]</f>
        <v>0</v>
      </c>
      <c r="T31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4" s="165" t="str">
        <f>IFERROR(IF(MOD(TABLAINV[[#This Row],[C]],2)=0,"PAR","IMPAR"),"Zona")</f>
        <v>IMPAR</v>
      </c>
      <c r="W314" s="166"/>
      <c r="X314" s="167">
        <f>IFERROR(IF(TABLAINV[[#This Row],[Cant. UND]]=0,TABLAINV[[#This Row],[PMV]]*TABLAINV[[#This Row],[Conteo Físico]],TABLAINV[[#This Row],[PMV]]*TABLAINV[[#This Row],[Cant. UND]]),0)</f>
        <v>0</v>
      </c>
      <c r="Y314" s="167">
        <f>IFERROR(ABS(TABLAINV[[#This Row],[PMV]]*TABLAINV[[#This Row],[Diferencia]]),0)</f>
        <v>0</v>
      </c>
      <c r="Z314" s="168">
        <f>IFERROR(VLOOKUP(TABLAINV[[#This Row],[Codigo Estado]],unds!O:P,2,0),"PEND.")</f>
        <v>2001</v>
      </c>
      <c r="AA314" s="168" t="str">
        <f t="shared" si="16"/>
        <v>CD09</v>
      </c>
      <c r="AB314" s="169">
        <f t="shared" ca="1" si="17"/>
        <v>45827</v>
      </c>
      <c r="AC314" s="1"/>
      <c r="AD314" s="1"/>
      <c r="AE314" s="1"/>
      <c r="AF314" s="1"/>
    </row>
    <row r="315" spans="1:32" ht="15" customHeight="1" x14ac:dyDescent="0.2">
      <c r="A315" s="170" t="str">
        <f t="shared" si="15"/>
        <v>MRC01</v>
      </c>
      <c r="B315" s="160" t="str">
        <f>IF(TABLAINV[[#This Row],[Z]]="","",D315&amp;"."&amp;TEXT(E315,"000")&amp;"."&amp;TEXT(F315,"000")&amp;"."&amp;TEXT(G315,"000"))</f>
        <v>MR.C01.201.003</v>
      </c>
      <c r="C315" s="161"/>
      <c r="D315" s="162" t="s">
        <v>95</v>
      </c>
      <c r="E315" s="162" t="s">
        <v>96</v>
      </c>
      <c r="F315" s="162">
        <v>201</v>
      </c>
      <c r="G315" s="162">
        <v>3</v>
      </c>
      <c r="H315" s="162">
        <v>1022887</v>
      </c>
      <c r="I315" s="162" t="s">
        <v>385</v>
      </c>
      <c r="J315" s="171">
        <v>11</v>
      </c>
      <c r="K315" s="162" t="s">
        <v>64</v>
      </c>
      <c r="L315" s="163" t="s">
        <v>115</v>
      </c>
      <c r="M315" s="162" t="s">
        <v>99</v>
      </c>
      <c r="N315" s="161" t="s">
        <v>91</v>
      </c>
      <c r="O315" s="161">
        <v>11</v>
      </c>
      <c r="P315" s="163">
        <v>11</v>
      </c>
      <c r="Q315" s="163"/>
      <c r="R315" s="162"/>
      <c r="S315" s="164">
        <f>TABLAINV[[#This Row],[Conteo Físico]]-TABLAINV[[#This Row],[Cant. UND]]</f>
        <v>0</v>
      </c>
      <c r="T31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5" s="165" t="str">
        <f>IFERROR(IF(MOD(TABLAINV[[#This Row],[C]],2)=0,"PAR","IMPAR"),"Zona")</f>
        <v>IMPAR</v>
      </c>
      <c r="W315" s="166"/>
      <c r="X315" s="167">
        <f>IFERROR(IF(TABLAINV[[#This Row],[Cant. UND]]=0,TABLAINV[[#This Row],[PMV]]*TABLAINV[[#This Row],[Conteo Físico]],TABLAINV[[#This Row],[PMV]]*TABLAINV[[#This Row],[Cant. UND]]),0)</f>
        <v>0</v>
      </c>
      <c r="Y315" s="167">
        <f>IFERROR(ABS(TABLAINV[[#This Row],[PMV]]*TABLAINV[[#This Row],[Diferencia]]),0)</f>
        <v>0</v>
      </c>
      <c r="Z315" s="168">
        <f>IFERROR(VLOOKUP(TABLAINV[[#This Row],[Codigo Estado]],unds!O:P,2,0),"PEND.")</f>
        <v>2001</v>
      </c>
      <c r="AA315" s="168" t="str">
        <f t="shared" si="16"/>
        <v>CD09</v>
      </c>
      <c r="AB315" s="169">
        <f t="shared" ca="1" si="17"/>
        <v>45827</v>
      </c>
      <c r="AC315" s="1"/>
      <c r="AD315" s="1"/>
      <c r="AE315" s="1"/>
      <c r="AF315" s="1"/>
    </row>
    <row r="316" spans="1:32" ht="15" customHeight="1" x14ac:dyDescent="0.2">
      <c r="A316" s="170" t="str">
        <f t="shared" si="15"/>
        <v>MRC01</v>
      </c>
      <c r="B316" s="160" t="str">
        <f>IF(TABLAINV[[#This Row],[Z]]="","",D316&amp;"."&amp;TEXT(E316,"000")&amp;"."&amp;TEXT(F316,"000")&amp;"."&amp;TEXT(G316,"000"))</f>
        <v>MR.C01.201.003</v>
      </c>
      <c r="C316" s="161"/>
      <c r="D316" s="162" t="s">
        <v>95</v>
      </c>
      <c r="E316" s="162" t="s">
        <v>96</v>
      </c>
      <c r="F316" s="162">
        <v>201</v>
      </c>
      <c r="G316" s="162">
        <v>3</v>
      </c>
      <c r="H316" s="162">
        <v>960980</v>
      </c>
      <c r="I316" s="162" t="s">
        <v>386</v>
      </c>
      <c r="J316" s="171">
        <v>2</v>
      </c>
      <c r="K316" s="162" t="s">
        <v>64</v>
      </c>
      <c r="L316" s="163" t="s">
        <v>244</v>
      </c>
      <c r="M316" s="162" t="s">
        <v>99</v>
      </c>
      <c r="N316" s="161" t="s">
        <v>91</v>
      </c>
      <c r="O316" s="161">
        <v>2</v>
      </c>
      <c r="P316" s="163">
        <v>2</v>
      </c>
      <c r="Q316" s="163"/>
      <c r="R316" s="162"/>
      <c r="S316" s="164">
        <f>TABLAINV[[#This Row],[Conteo Físico]]-TABLAINV[[#This Row],[Cant. UND]]</f>
        <v>0</v>
      </c>
      <c r="T31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6" s="165" t="str">
        <f>IFERROR(IF(MOD(TABLAINV[[#This Row],[C]],2)=0,"PAR","IMPAR"),"Zona")</f>
        <v>IMPAR</v>
      </c>
      <c r="W316" s="166"/>
      <c r="X316" s="167">
        <f>IFERROR(IF(TABLAINV[[#This Row],[Cant. UND]]=0,TABLAINV[[#This Row],[PMV]]*TABLAINV[[#This Row],[Conteo Físico]],TABLAINV[[#This Row],[PMV]]*TABLAINV[[#This Row],[Cant. UND]]),0)</f>
        <v>0</v>
      </c>
      <c r="Y316" s="167">
        <f>IFERROR(ABS(TABLAINV[[#This Row],[PMV]]*TABLAINV[[#This Row],[Diferencia]]),0)</f>
        <v>0</v>
      </c>
      <c r="Z316" s="168">
        <f>IFERROR(VLOOKUP(TABLAINV[[#This Row],[Codigo Estado]],unds!O:P,2,0),"PEND.")</f>
        <v>2001</v>
      </c>
      <c r="AA316" s="168" t="str">
        <f t="shared" si="16"/>
        <v>CD09</v>
      </c>
      <c r="AB316" s="169">
        <f t="shared" ca="1" si="17"/>
        <v>45827</v>
      </c>
      <c r="AC316" s="1"/>
      <c r="AD316" s="1"/>
      <c r="AE316" s="1"/>
      <c r="AF316" s="1"/>
    </row>
    <row r="317" spans="1:32" ht="15" customHeight="1" x14ac:dyDescent="0.2">
      <c r="A317" s="170" t="str">
        <f t="shared" si="15"/>
        <v>MRC01</v>
      </c>
      <c r="B317" s="160" t="str">
        <f>IF(TABLAINV[[#This Row],[Z]]="","",D317&amp;"."&amp;TEXT(E317,"000")&amp;"."&amp;TEXT(F317,"000")&amp;"."&amp;TEXT(G317,"000"))</f>
        <v>MR.C01.207.001</v>
      </c>
      <c r="C317" s="161"/>
      <c r="D317" s="162" t="s">
        <v>95</v>
      </c>
      <c r="E317" s="162" t="s">
        <v>96</v>
      </c>
      <c r="F317" s="162">
        <v>207</v>
      </c>
      <c r="G317" s="162">
        <v>1</v>
      </c>
      <c r="H317" s="162">
        <v>17534</v>
      </c>
      <c r="I317" s="162" t="s">
        <v>336</v>
      </c>
      <c r="J317" s="171">
        <v>4</v>
      </c>
      <c r="K317" s="162" t="s">
        <v>64</v>
      </c>
      <c r="L317" s="163" t="s">
        <v>110</v>
      </c>
      <c r="M317" s="162" t="s">
        <v>135</v>
      </c>
      <c r="N317" s="161" t="s">
        <v>91</v>
      </c>
      <c r="O317" s="161">
        <v>4</v>
      </c>
      <c r="P317" s="163">
        <v>4</v>
      </c>
      <c r="Q317" s="163"/>
      <c r="R317" s="162"/>
      <c r="S317" s="164">
        <f>TABLAINV[[#This Row],[Conteo Físico]]-TABLAINV[[#This Row],[Cant. UND]]</f>
        <v>0</v>
      </c>
      <c r="T31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7" s="165" t="str">
        <f>IFERROR(IF(MOD(TABLAINV[[#This Row],[C]],2)=0,"PAR","IMPAR"),"Zona")</f>
        <v>IMPAR</v>
      </c>
      <c r="W317" s="166"/>
      <c r="X317" s="167">
        <f>IFERROR(IF(TABLAINV[[#This Row],[Cant. UND]]=0,TABLAINV[[#This Row],[PMV]]*TABLAINV[[#This Row],[Conteo Físico]],TABLAINV[[#This Row],[PMV]]*TABLAINV[[#This Row],[Cant. UND]]),0)</f>
        <v>0</v>
      </c>
      <c r="Y317" s="167">
        <f>IFERROR(ABS(TABLAINV[[#This Row],[PMV]]*TABLAINV[[#This Row],[Diferencia]]),0)</f>
        <v>0</v>
      </c>
      <c r="Z317" s="168">
        <f>IFERROR(VLOOKUP(TABLAINV[[#This Row],[Codigo Estado]],unds!O:P,2,0),"PEND.")</f>
        <v>2001</v>
      </c>
      <c r="AA317" s="168" t="str">
        <f t="shared" si="16"/>
        <v>CD09</v>
      </c>
      <c r="AB317" s="169">
        <f t="shared" ca="1" si="17"/>
        <v>45827</v>
      </c>
      <c r="AC317" s="1"/>
      <c r="AD317" s="1"/>
      <c r="AE317" s="1"/>
      <c r="AF317" s="1"/>
    </row>
    <row r="318" spans="1:32" ht="15" customHeight="1" x14ac:dyDescent="0.2">
      <c r="A318" s="170" t="str">
        <f t="shared" si="15"/>
        <v>MRC01</v>
      </c>
      <c r="B318" s="160" t="str">
        <f>IF(TABLAINV[[#This Row],[Z]]="","",D318&amp;"."&amp;TEXT(E318,"000")&amp;"."&amp;TEXT(F318,"000")&amp;"."&amp;TEXT(G318,"000"))</f>
        <v>MR.C01.207.002</v>
      </c>
      <c r="C318" s="161"/>
      <c r="D318" s="162" t="s">
        <v>95</v>
      </c>
      <c r="E318" s="162" t="s">
        <v>96</v>
      </c>
      <c r="F318" s="162">
        <v>207</v>
      </c>
      <c r="G318" s="162">
        <v>2</v>
      </c>
      <c r="H318" s="162">
        <v>1011365</v>
      </c>
      <c r="I318" s="162" t="s">
        <v>387</v>
      </c>
      <c r="J318" s="171">
        <v>7</v>
      </c>
      <c r="K318" s="162" t="s">
        <v>64</v>
      </c>
      <c r="L318" s="163" t="s">
        <v>115</v>
      </c>
      <c r="M318" s="162" t="s">
        <v>99</v>
      </c>
      <c r="N318" s="161" t="s">
        <v>91</v>
      </c>
      <c r="O318" s="161">
        <v>7</v>
      </c>
      <c r="P318" s="163">
        <v>7</v>
      </c>
      <c r="Q318" s="163"/>
      <c r="R318" s="162"/>
      <c r="S318" s="164">
        <f>TABLAINV[[#This Row],[Conteo Físico]]-TABLAINV[[#This Row],[Cant. UND]]</f>
        <v>0</v>
      </c>
      <c r="T31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8" s="165" t="str">
        <f>IFERROR(IF(MOD(TABLAINV[[#This Row],[C]],2)=0,"PAR","IMPAR"),"Zona")</f>
        <v>IMPAR</v>
      </c>
      <c r="W318" s="166"/>
      <c r="X318" s="167">
        <f>IFERROR(IF(TABLAINV[[#This Row],[Cant. UND]]=0,TABLAINV[[#This Row],[PMV]]*TABLAINV[[#This Row],[Conteo Físico]],TABLAINV[[#This Row],[PMV]]*TABLAINV[[#This Row],[Cant. UND]]),0)</f>
        <v>0</v>
      </c>
      <c r="Y318" s="167">
        <f>IFERROR(ABS(TABLAINV[[#This Row],[PMV]]*TABLAINV[[#This Row],[Diferencia]]),0)</f>
        <v>0</v>
      </c>
      <c r="Z318" s="168">
        <f>IFERROR(VLOOKUP(TABLAINV[[#This Row],[Codigo Estado]],unds!O:P,2,0),"PEND.")</f>
        <v>2001</v>
      </c>
      <c r="AA318" s="168" t="str">
        <f t="shared" si="16"/>
        <v>CD09</v>
      </c>
      <c r="AB318" s="169">
        <f t="shared" ca="1" si="17"/>
        <v>45827</v>
      </c>
      <c r="AC318" s="1"/>
      <c r="AD318" s="1"/>
      <c r="AE318" s="1"/>
      <c r="AF318" s="1"/>
    </row>
    <row r="319" spans="1:32" ht="15" customHeight="1" x14ac:dyDescent="0.2">
      <c r="A319" s="170" t="str">
        <f t="shared" si="15"/>
        <v>MRC01</v>
      </c>
      <c r="B319" s="160" t="str">
        <f>IF(TABLAINV[[#This Row],[Z]]="","",D319&amp;"."&amp;TEXT(E319,"000")&amp;"."&amp;TEXT(F319,"000")&amp;"."&amp;TEXT(G319,"000"))</f>
        <v>MR.C01.207.002</v>
      </c>
      <c r="C319" s="161"/>
      <c r="D319" s="162" t="s">
        <v>95</v>
      </c>
      <c r="E319" s="162" t="s">
        <v>96</v>
      </c>
      <c r="F319" s="162">
        <v>207</v>
      </c>
      <c r="G319" s="162">
        <v>2</v>
      </c>
      <c r="H319" s="162">
        <v>252913</v>
      </c>
      <c r="I319" s="162" t="s">
        <v>388</v>
      </c>
      <c r="J319" s="171">
        <v>1</v>
      </c>
      <c r="K319" s="162" t="s">
        <v>64</v>
      </c>
      <c r="L319" s="163" t="s">
        <v>110</v>
      </c>
      <c r="M319" s="162" t="s">
        <v>135</v>
      </c>
      <c r="N319" s="161" t="s">
        <v>91</v>
      </c>
      <c r="O319" s="161">
        <v>1</v>
      </c>
      <c r="P319" s="163">
        <v>1</v>
      </c>
      <c r="Q319" s="163"/>
      <c r="R319" s="162"/>
      <c r="S319" s="164">
        <f>TABLAINV[[#This Row],[Conteo Físico]]-TABLAINV[[#This Row],[Cant. UND]]</f>
        <v>0</v>
      </c>
      <c r="T31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1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19" s="165" t="str">
        <f>IFERROR(IF(MOD(TABLAINV[[#This Row],[C]],2)=0,"PAR","IMPAR"),"Zona")</f>
        <v>IMPAR</v>
      </c>
      <c r="W319" s="166"/>
      <c r="X319" s="167">
        <f>IFERROR(IF(TABLAINV[[#This Row],[Cant. UND]]=0,TABLAINV[[#This Row],[PMV]]*TABLAINV[[#This Row],[Conteo Físico]],TABLAINV[[#This Row],[PMV]]*TABLAINV[[#This Row],[Cant. UND]]),0)</f>
        <v>0</v>
      </c>
      <c r="Y319" s="167">
        <f>IFERROR(ABS(TABLAINV[[#This Row],[PMV]]*TABLAINV[[#This Row],[Diferencia]]),0)</f>
        <v>0</v>
      </c>
      <c r="Z319" s="168">
        <f>IFERROR(VLOOKUP(TABLAINV[[#This Row],[Codigo Estado]],unds!O:P,2,0),"PEND.")</f>
        <v>2001</v>
      </c>
      <c r="AA319" s="168" t="str">
        <f t="shared" si="16"/>
        <v>CD09</v>
      </c>
      <c r="AB319" s="169">
        <f t="shared" ca="1" si="17"/>
        <v>45827</v>
      </c>
      <c r="AC319" s="1"/>
      <c r="AD319" s="1"/>
      <c r="AE319" s="1"/>
      <c r="AF319" s="1"/>
    </row>
    <row r="320" spans="1:32" ht="15" customHeight="1" x14ac:dyDescent="0.2">
      <c r="A320" s="170" t="str">
        <f t="shared" si="15"/>
        <v>MRC01</v>
      </c>
      <c r="B320" s="160" t="str">
        <f>IF(TABLAINV[[#This Row],[Z]]="","",D320&amp;"."&amp;TEXT(E320,"000")&amp;"."&amp;TEXT(F320,"000")&amp;"."&amp;TEXT(G320,"000"))</f>
        <v>MR.C01.207.002</v>
      </c>
      <c r="C320" s="161"/>
      <c r="D320" s="162" t="s">
        <v>95</v>
      </c>
      <c r="E320" s="162" t="s">
        <v>96</v>
      </c>
      <c r="F320" s="162">
        <v>207</v>
      </c>
      <c r="G320" s="162">
        <v>2</v>
      </c>
      <c r="H320" s="162">
        <v>952982</v>
      </c>
      <c r="I320" s="162" t="s">
        <v>389</v>
      </c>
      <c r="J320" s="171">
        <v>5</v>
      </c>
      <c r="K320" s="162" t="s">
        <v>64</v>
      </c>
      <c r="L320" s="163" t="s">
        <v>115</v>
      </c>
      <c r="M320" s="162" t="s">
        <v>99</v>
      </c>
      <c r="N320" s="161" t="s">
        <v>91</v>
      </c>
      <c r="O320" s="161">
        <v>5</v>
      </c>
      <c r="P320" s="163">
        <v>5</v>
      </c>
      <c r="Q320" s="163"/>
      <c r="R320" s="162"/>
      <c r="S320" s="164">
        <f>TABLAINV[[#This Row],[Conteo Físico]]-TABLAINV[[#This Row],[Cant. UND]]</f>
        <v>0</v>
      </c>
      <c r="T32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0" s="165" t="str">
        <f>IFERROR(IF(MOD(TABLAINV[[#This Row],[C]],2)=0,"PAR","IMPAR"),"Zona")</f>
        <v>IMPAR</v>
      </c>
      <c r="W320" s="166"/>
      <c r="X320" s="167">
        <f>IFERROR(IF(TABLAINV[[#This Row],[Cant. UND]]=0,TABLAINV[[#This Row],[PMV]]*TABLAINV[[#This Row],[Conteo Físico]],TABLAINV[[#This Row],[PMV]]*TABLAINV[[#This Row],[Cant. UND]]),0)</f>
        <v>0</v>
      </c>
      <c r="Y320" s="167">
        <f>IFERROR(ABS(TABLAINV[[#This Row],[PMV]]*TABLAINV[[#This Row],[Diferencia]]),0)</f>
        <v>0</v>
      </c>
      <c r="Z320" s="168">
        <f>IFERROR(VLOOKUP(TABLAINV[[#This Row],[Codigo Estado]],unds!O:P,2,0),"PEND.")</f>
        <v>2001</v>
      </c>
      <c r="AA320" s="168" t="str">
        <f t="shared" si="16"/>
        <v>CD09</v>
      </c>
      <c r="AB320" s="169">
        <f t="shared" ca="1" si="17"/>
        <v>45827</v>
      </c>
      <c r="AC320" s="1"/>
      <c r="AD320" s="1"/>
      <c r="AE320" s="1"/>
      <c r="AF320" s="1"/>
    </row>
    <row r="321" spans="1:32" ht="15" customHeight="1" x14ac:dyDescent="0.2">
      <c r="A321" s="170" t="str">
        <f t="shared" si="15"/>
        <v>MRC01</v>
      </c>
      <c r="B321" s="160" t="str">
        <f>IF(TABLAINV[[#This Row],[Z]]="","",D321&amp;"."&amp;TEXT(E321,"000")&amp;"."&amp;TEXT(F321,"000")&amp;"."&amp;TEXT(G321,"000"))</f>
        <v>MR.C01.207.002</v>
      </c>
      <c r="C321" s="161"/>
      <c r="D321" s="162" t="s">
        <v>95</v>
      </c>
      <c r="E321" s="162" t="s">
        <v>96</v>
      </c>
      <c r="F321" s="162">
        <v>207</v>
      </c>
      <c r="G321" s="162">
        <v>2</v>
      </c>
      <c r="H321" s="162">
        <v>965501</v>
      </c>
      <c r="I321" s="162" t="s">
        <v>390</v>
      </c>
      <c r="J321" s="171">
        <v>8</v>
      </c>
      <c r="K321" s="162" t="s">
        <v>64</v>
      </c>
      <c r="L321" s="163" t="s">
        <v>115</v>
      </c>
      <c r="M321" s="162" t="s">
        <v>99</v>
      </c>
      <c r="N321" s="161" t="s">
        <v>91</v>
      </c>
      <c r="O321" s="161">
        <v>8</v>
      </c>
      <c r="P321" s="163">
        <v>8</v>
      </c>
      <c r="Q321" s="163"/>
      <c r="R321" s="162"/>
      <c r="S321" s="164">
        <f>TABLAINV[[#This Row],[Conteo Físico]]-TABLAINV[[#This Row],[Cant. UND]]</f>
        <v>0</v>
      </c>
      <c r="T32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1" s="165" t="str">
        <f>IFERROR(IF(MOD(TABLAINV[[#This Row],[C]],2)=0,"PAR","IMPAR"),"Zona")</f>
        <v>IMPAR</v>
      </c>
      <c r="W321" s="166"/>
      <c r="X321" s="167">
        <f>IFERROR(IF(TABLAINV[[#This Row],[Cant. UND]]=0,TABLAINV[[#This Row],[PMV]]*TABLAINV[[#This Row],[Conteo Físico]],TABLAINV[[#This Row],[PMV]]*TABLAINV[[#This Row],[Cant. UND]]),0)</f>
        <v>0</v>
      </c>
      <c r="Y321" s="167">
        <f>IFERROR(ABS(TABLAINV[[#This Row],[PMV]]*TABLAINV[[#This Row],[Diferencia]]),0)</f>
        <v>0</v>
      </c>
      <c r="Z321" s="168">
        <f>IFERROR(VLOOKUP(TABLAINV[[#This Row],[Codigo Estado]],unds!O:P,2,0),"PEND.")</f>
        <v>2001</v>
      </c>
      <c r="AA321" s="168" t="str">
        <f t="shared" si="16"/>
        <v>CD09</v>
      </c>
      <c r="AB321" s="169">
        <f t="shared" ca="1" si="17"/>
        <v>45827</v>
      </c>
      <c r="AC321" s="1"/>
      <c r="AD321" s="1"/>
      <c r="AE321" s="1"/>
      <c r="AF321" s="1"/>
    </row>
    <row r="322" spans="1:32" ht="15" customHeight="1" x14ac:dyDescent="0.2">
      <c r="A322" s="170" t="str">
        <f t="shared" si="15"/>
        <v>MRC01</v>
      </c>
      <c r="B322" s="160" t="str">
        <f>IF(TABLAINV[[#This Row],[Z]]="","",D322&amp;"."&amp;TEXT(E322,"000")&amp;"."&amp;TEXT(F322,"000")&amp;"."&amp;TEXT(G322,"000"))</f>
        <v>MR.C01.207.003</v>
      </c>
      <c r="C322" s="161"/>
      <c r="D322" s="162" t="s">
        <v>95</v>
      </c>
      <c r="E322" s="162" t="s">
        <v>96</v>
      </c>
      <c r="F322" s="162">
        <v>207</v>
      </c>
      <c r="G322" s="162">
        <v>3</v>
      </c>
      <c r="H322" s="162">
        <v>956390003</v>
      </c>
      <c r="I322" s="162" t="s">
        <v>391</v>
      </c>
      <c r="J322" s="171">
        <v>2</v>
      </c>
      <c r="K322" s="162" t="s">
        <v>64</v>
      </c>
      <c r="L322" s="163" t="s">
        <v>117</v>
      </c>
      <c r="M322" s="162" t="s">
        <v>99</v>
      </c>
      <c r="N322" s="161" t="s">
        <v>91</v>
      </c>
      <c r="O322" s="161">
        <v>2</v>
      </c>
      <c r="P322" s="163">
        <v>2</v>
      </c>
      <c r="Q322" s="163"/>
      <c r="R322" s="162"/>
      <c r="S322" s="164">
        <f>TABLAINV[[#This Row],[Conteo Físico]]-TABLAINV[[#This Row],[Cant. UND]]</f>
        <v>0</v>
      </c>
      <c r="T32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2" s="165" t="str">
        <f>IFERROR(IF(MOD(TABLAINV[[#This Row],[C]],2)=0,"PAR","IMPAR"),"Zona")</f>
        <v>IMPAR</v>
      </c>
      <c r="W322" s="166"/>
      <c r="X322" s="167">
        <f>IFERROR(IF(TABLAINV[[#This Row],[Cant. UND]]=0,TABLAINV[[#This Row],[PMV]]*TABLAINV[[#This Row],[Conteo Físico]],TABLAINV[[#This Row],[PMV]]*TABLAINV[[#This Row],[Cant. UND]]),0)</f>
        <v>0</v>
      </c>
      <c r="Y322" s="167">
        <f>IFERROR(ABS(TABLAINV[[#This Row],[PMV]]*TABLAINV[[#This Row],[Diferencia]]),0)</f>
        <v>0</v>
      </c>
      <c r="Z322" s="168">
        <f>IFERROR(VLOOKUP(TABLAINV[[#This Row],[Codigo Estado]],unds!O:P,2,0),"PEND.")</f>
        <v>2001</v>
      </c>
      <c r="AA322" s="168" t="str">
        <f t="shared" si="16"/>
        <v>CD09</v>
      </c>
      <c r="AB322" s="169">
        <f t="shared" ca="1" si="17"/>
        <v>45827</v>
      </c>
      <c r="AC322" s="1"/>
      <c r="AD322" s="1"/>
      <c r="AE322" s="1"/>
      <c r="AF322" s="1"/>
    </row>
    <row r="323" spans="1:32" ht="15" customHeight="1" x14ac:dyDescent="0.2">
      <c r="A323" s="170" t="str">
        <f t="shared" si="15"/>
        <v>MRC01</v>
      </c>
      <c r="B323" s="160" t="str">
        <f>IF(TABLAINV[[#This Row],[Z]]="","",D323&amp;"."&amp;TEXT(E323,"000")&amp;"."&amp;TEXT(F323,"000")&amp;"."&amp;TEXT(G323,"000"))</f>
        <v>MR.C01.209.001</v>
      </c>
      <c r="C323" s="161"/>
      <c r="D323" s="162" t="s">
        <v>95</v>
      </c>
      <c r="E323" s="162" t="s">
        <v>96</v>
      </c>
      <c r="F323" s="162">
        <v>209</v>
      </c>
      <c r="G323" s="162">
        <v>1</v>
      </c>
      <c r="H323" s="162">
        <v>76803</v>
      </c>
      <c r="I323" s="162" t="s">
        <v>392</v>
      </c>
      <c r="J323" s="171">
        <v>8</v>
      </c>
      <c r="K323" s="162" t="s">
        <v>64</v>
      </c>
      <c r="L323" s="163" t="s">
        <v>110</v>
      </c>
      <c r="M323" s="162" t="s">
        <v>135</v>
      </c>
      <c r="N323" s="161" t="s">
        <v>91</v>
      </c>
      <c r="O323" s="161">
        <v>8</v>
      </c>
      <c r="P323" s="163">
        <v>8</v>
      </c>
      <c r="Q323" s="163"/>
      <c r="R323" s="162"/>
      <c r="S323" s="164">
        <f>TABLAINV[[#This Row],[Conteo Físico]]-TABLAINV[[#This Row],[Cant. UND]]</f>
        <v>0</v>
      </c>
      <c r="T32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3" s="165" t="str">
        <f>IFERROR(IF(MOD(TABLAINV[[#This Row],[C]],2)=0,"PAR","IMPAR"),"Zona")</f>
        <v>IMPAR</v>
      </c>
      <c r="W323" s="166"/>
      <c r="X323" s="167">
        <f>IFERROR(IF(TABLAINV[[#This Row],[Cant. UND]]=0,TABLAINV[[#This Row],[PMV]]*TABLAINV[[#This Row],[Conteo Físico]],TABLAINV[[#This Row],[PMV]]*TABLAINV[[#This Row],[Cant. UND]]),0)</f>
        <v>0</v>
      </c>
      <c r="Y323" s="167">
        <f>IFERROR(ABS(TABLAINV[[#This Row],[PMV]]*TABLAINV[[#This Row],[Diferencia]]),0)</f>
        <v>0</v>
      </c>
      <c r="Z323" s="168">
        <f>IFERROR(VLOOKUP(TABLAINV[[#This Row],[Codigo Estado]],unds!O:P,2,0),"PEND.")</f>
        <v>2001</v>
      </c>
      <c r="AA323" s="168" t="str">
        <f t="shared" si="16"/>
        <v>CD09</v>
      </c>
      <c r="AB323" s="169">
        <f t="shared" ca="1" si="17"/>
        <v>45827</v>
      </c>
      <c r="AC323" s="1"/>
      <c r="AD323" s="1"/>
      <c r="AE323" s="1"/>
      <c r="AF323" s="1"/>
    </row>
    <row r="324" spans="1:32" ht="15" customHeight="1" x14ac:dyDescent="0.2">
      <c r="A324" s="170" t="str">
        <f t="shared" si="15"/>
        <v>MRC01</v>
      </c>
      <c r="B324" s="160" t="str">
        <f>IF(TABLAINV[[#This Row],[Z]]="","",D324&amp;"."&amp;TEXT(E324,"000")&amp;"."&amp;TEXT(F324,"000")&amp;"."&amp;TEXT(G324,"000"))</f>
        <v>MR.C01.209.001</v>
      </c>
      <c r="C324" s="161"/>
      <c r="D324" s="162" t="s">
        <v>95</v>
      </c>
      <c r="E324" s="162" t="s">
        <v>96</v>
      </c>
      <c r="F324" s="162">
        <v>209</v>
      </c>
      <c r="G324" s="162">
        <v>1</v>
      </c>
      <c r="H324" s="162">
        <v>768390002</v>
      </c>
      <c r="I324" s="162" t="s">
        <v>393</v>
      </c>
      <c r="J324" s="171">
        <v>6</v>
      </c>
      <c r="K324" s="162" t="s">
        <v>64</v>
      </c>
      <c r="L324" s="163" t="s">
        <v>115</v>
      </c>
      <c r="M324" s="162" t="s">
        <v>99</v>
      </c>
      <c r="N324" s="161" t="s">
        <v>91</v>
      </c>
      <c r="O324" s="161">
        <v>6</v>
      </c>
      <c r="P324" s="163">
        <v>6</v>
      </c>
      <c r="Q324" s="163"/>
      <c r="R324" s="162"/>
      <c r="S324" s="164">
        <f>TABLAINV[[#This Row],[Conteo Físico]]-TABLAINV[[#This Row],[Cant. UND]]</f>
        <v>0</v>
      </c>
      <c r="T32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4" s="165" t="str">
        <f>IFERROR(IF(MOD(TABLAINV[[#This Row],[C]],2)=0,"PAR","IMPAR"),"Zona")</f>
        <v>IMPAR</v>
      </c>
      <c r="W324" s="166"/>
      <c r="X324" s="167">
        <f>IFERROR(IF(TABLAINV[[#This Row],[Cant. UND]]=0,TABLAINV[[#This Row],[PMV]]*TABLAINV[[#This Row],[Conteo Físico]],TABLAINV[[#This Row],[PMV]]*TABLAINV[[#This Row],[Cant. UND]]),0)</f>
        <v>0</v>
      </c>
      <c r="Y324" s="167">
        <f>IFERROR(ABS(TABLAINV[[#This Row],[PMV]]*TABLAINV[[#This Row],[Diferencia]]),0)</f>
        <v>0</v>
      </c>
      <c r="Z324" s="168">
        <f>IFERROR(VLOOKUP(TABLAINV[[#This Row],[Codigo Estado]],unds!O:P,2,0),"PEND.")</f>
        <v>2001</v>
      </c>
      <c r="AA324" s="168" t="str">
        <f t="shared" si="16"/>
        <v>CD09</v>
      </c>
      <c r="AB324" s="169">
        <f t="shared" ca="1" si="17"/>
        <v>45827</v>
      </c>
      <c r="AC324" s="1"/>
      <c r="AD324" s="1"/>
      <c r="AE324" s="1"/>
      <c r="AF324" s="1"/>
    </row>
    <row r="325" spans="1:32" ht="15" customHeight="1" x14ac:dyDescent="0.2">
      <c r="A325" s="170" t="str">
        <f t="shared" si="15"/>
        <v>MRC01</v>
      </c>
      <c r="B325" s="160" t="str">
        <f>IF(TABLAINV[[#This Row],[Z]]="","",D325&amp;"."&amp;TEXT(E325,"000")&amp;"."&amp;TEXT(F325,"000")&amp;"."&amp;TEXT(G325,"000"))</f>
        <v>MR.C01.209.002</v>
      </c>
      <c r="C325" s="161"/>
      <c r="D325" s="162" t="s">
        <v>95</v>
      </c>
      <c r="E325" s="162" t="s">
        <v>96</v>
      </c>
      <c r="F325" s="162">
        <v>209</v>
      </c>
      <c r="G325" s="162">
        <v>2</v>
      </c>
      <c r="H325" s="162">
        <v>3386</v>
      </c>
      <c r="I325" s="162" t="s">
        <v>394</v>
      </c>
      <c r="J325" s="171">
        <v>12</v>
      </c>
      <c r="K325" s="162" t="s">
        <v>64</v>
      </c>
      <c r="L325" s="163" t="s">
        <v>395</v>
      </c>
      <c r="M325" s="162" t="s">
        <v>178</v>
      </c>
      <c r="N325" s="161" t="s">
        <v>91</v>
      </c>
      <c r="O325" s="161">
        <v>12</v>
      </c>
      <c r="P325" s="163">
        <v>12</v>
      </c>
      <c r="Q325" s="163"/>
      <c r="R325" s="162"/>
      <c r="S325" s="164">
        <f>TABLAINV[[#This Row],[Conteo Físico]]-TABLAINV[[#This Row],[Cant. UND]]</f>
        <v>0</v>
      </c>
      <c r="T32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5" s="165" t="str">
        <f>IFERROR(IF(MOD(TABLAINV[[#This Row],[C]],2)=0,"PAR","IMPAR"),"Zona")</f>
        <v>IMPAR</v>
      </c>
      <c r="W325" s="166"/>
      <c r="X325" s="167">
        <f>IFERROR(IF(TABLAINV[[#This Row],[Cant. UND]]=0,TABLAINV[[#This Row],[PMV]]*TABLAINV[[#This Row],[Conteo Físico]],TABLAINV[[#This Row],[PMV]]*TABLAINV[[#This Row],[Cant. UND]]),0)</f>
        <v>0</v>
      </c>
      <c r="Y325" s="167">
        <f>IFERROR(ABS(TABLAINV[[#This Row],[PMV]]*TABLAINV[[#This Row],[Diferencia]]),0)</f>
        <v>0</v>
      </c>
      <c r="Z325" s="168">
        <f>IFERROR(VLOOKUP(TABLAINV[[#This Row],[Codigo Estado]],unds!O:P,2,0),"PEND.")</f>
        <v>2001</v>
      </c>
      <c r="AA325" s="168" t="str">
        <f t="shared" si="16"/>
        <v>CD09</v>
      </c>
      <c r="AB325" s="169">
        <f t="shared" ca="1" si="17"/>
        <v>45827</v>
      </c>
      <c r="AC325" s="1"/>
      <c r="AD325" s="1"/>
      <c r="AE325" s="1"/>
      <c r="AF325" s="1"/>
    </row>
    <row r="326" spans="1:32" ht="15" customHeight="1" x14ac:dyDescent="0.2">
      <c r="A326" s="170" t="str">
        <f t="shared" si="15"/>
        <v>MRC01</v>
      </c>
      <c r="B326" s="160" t="str">
        <f>IF(TABLAINV[[#This Row],[Z]]="","",D326&amp;"."&amp;TEXT(E326,"000")&amp;"."&amp;TEXT(F326,"000")&amp;"."&amp;TEXT(G326,"000"))</f>
        <v>MR.C01.209.002</v>
      </c>
      <c r="C326" s="161"/>
      <c r="D326" s="162" t="s">
        <v>95</v>
      </c>
      <c r="E326" s="162" t="s">
        <v>96</v>
      </c>
      <c r="F326" s="162">
        <v>209</v>
      </c>
      <c r="G326" s="162">
        <v>2</v>
      </c>
      <c r="H326" s="162">
        <v>973317</v>
      </c>
      <c r="I326" s="162" t="s">
        <v>396</v>
      </c>
      <c r="J326" s="171">
        <v>5</v>
      </c>
      <c r="K326" s="162" t="s">
        <v>64</v>
      </c>
      <c r="L326" s="163" t="s">
        <v>117</v>
      </c>
      <c r="M326" s="162" t="s">
        <v>99</v>
      </c>
      <c r="N326" s="161" t="s">
        <v>91</v>
      </c>
      <c r="O326" s="161">
        <v>5</v>
      </c>
      <c r="P326" s="163">
        <v>5</v>
      </c>
      <c r="Q326" s="163"/>
      <c r="R326" s="162"/>
      <c r="S326" s="164">
        <f>TABLAINV[[#This Row],[Conteo Físico]]-TABLAINV[[#This Row],[Cant. UND]]</f>
        <v>0</v>
      </c>
      <c r="T32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6" s="165" t="str">
        <f>IFERROR(IF(MOD(TABLAINV[[#This Row],[C]],2)=0,"PAR","IMPAR"),"Zona")</f>
        <v>IMPAR</v>
      </c>
      <c r="W326" s="166"/>
      <c r="X326" s="167">
        <f>IFERROR(IF(TABLAINV[[#This Row],[Cant. UND]]=0,TABLAINV[[#This Row],[PMV]]*TABLAINV[[#This Row],[Conteo Físico]],TABLAINV[[#This Row],[PMV]]*TABLAINV[[#This Row],[Cant. UND]]),0)</f>
        <v>0</v>
      </c>
      <c r="Y326" s="167">
        <f>IFERROR(ABS(TABLAINV[[#This Row],[PMV]]*TABLAINV[[#This Row],[Diferencia]]),0)</f>
        <v>0</v>
      </c>
      <c r="Z326" s="168">
        <f>IFERROR(VLOOKUP(TABLAINV[[#This Row],[Codigo Estado]],unds!O:P,2,0),"PEND.")</f>
        <v>2001</v>
      </c>
      <c r="AA326" s="168" t="str">
        <f t="shared" si="16"/>
        <v>CD09</v>
      </c>
      <c r="AB326" s="169">
        <f t="shared" ca="1" si="17"/>
        <v>45827</v>
      </c>
      <c r="AC326" s="1"/>
      <c r="AD326" s="1"/>
      <c r="AE326" s="1"/>
      <c r="AF326" s="1"/>
    </row>
    <row r="327" spans="1:32" ht="15" customHeight="1" x14ac:dyDescent="0.2">
      <c r="A327" s="170" t="str">
        <f t="shared" si="15"/>
        <v>MRC01</v>
      </c>
      <c r="B327" s="160" t="str">
        <f>IF(TABLAINV[[#This Row],[Z]]="","",D327&amp;"."&amp;TEXT(E327,"000")&amp;"."&amp;TEXT(F327,"000")&amp;"."&amp;TEXT(G327,"000"))</f>
        <v>MR.C01.215.001</v>
      </c>
      <c r="C327" s="161"/>
      <c r="D327" s="162" t="s">
        <v>95</v>
      </c>
      <c r="E327" s="162" t="s">
        <v>96</v>
      </c>
      <c r="F327" s="162">
        <v>215</v>
      </c>
      <c r="G327" s="162">
        <v>1</v>
      </c>
      <c r="H327" s="162">
        <v>733535002</v>
      </c>
      <c r="I327" s="162" t="s">
        <v>397</v>
      </c>
      <c r="J327" s="171">
        <v>3</v>
      </c>
      <c r="K327" s="162" t="s">
        <v>64</v>
      </c>
      <c r="L327" s="163" t="s">
        <v>115</v>
      </c>
      <c r="M327" s="162" t="s">
        <v>99</v>
      </c>
      <c r="N327" s="161" t="s">
        <v>91</v>
      </c>
      <c r="O327" s="161">
        <v>3</v>
      </c>
      <c r="P327" s="163">
        <v>3</v>
      </c>
      <c r="Q327" s="163"/>
      <c r="R327" s="162"/>
      <c r="S327" s="164">
        <f>TABLAINV[[#This Row],[Conteo Físico]]-TABLAINV[[#This Row],[Cant. UND]]</f>
        <v>0</v>
      </c>
      <c r="T32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7" s="165" t="str">
        <f>IFERROR(IF(MOD(TABLAINV[[#This Row],[C]],2)=0,"PAR","IMPAR"),"Zona")</f>
        <v>IMPAR</v>
      </c>
      <c r="W327" s="166"/>
      <c r="X327" s="167">
        <f>IFERROR(IF(TABLAINV[[#This Row],[Cant. UND]]=0,TABLAINV[[#This Row],[PMV]]*TABLAINV[[#This Row],[Conteo Físico]],TABLAINV[[#This Row],[PMV]]*TABLAINV[[#This Row],[Cant. UND]]),0)</f>
        <v>0</v>
      </c>
      <c r="Y327" s="167">
        <f>IFERROR(ABS(TABLAINV[[#This Row],[PMV]]*TABLAINV[[#This Row],[Diferencia]]),0)</f>
        <v>0</v>
      </c>
      <c r="Z327" s="168">
        <f>IFERROR(VLOOKUP(TABLAINV[[#This Row],[Codigo Estado]],unds!O:P,2,0),"PEND.")</f>
        <v>2001</v>
      </c>
      <c r="AA327" s="168" t="str">
        <f t="shared" si="16"/>
        <v>CD09</v>
      </c>
      <c r="AB327" s="169">
        <f t="shared" ca="1" si="17"/>
        <v>45827</v>
      </c>
      <c r="AC327" s="1"/>
      <c r="AD327" s="1"/>
      <c r="AE327" s="1"/>
      <c r="AF327" s="1"/>
    </row>
    <row r="328" spans="1:32" ht="15" customHeight="1" x14ac:dyDescent="0.2">
      <c r="A328" s="170" t="str">
        <f t="shared" si="15"/>
        <v>MRC01</v>
      </c>
      <c r="B328" s="160" t="str">
        <f>IF(TABLAINV[[#This Row],[Z]]="","",D328&amp;"."&amp;TEXT(E328,"000")&amp;"."&amp;TEXT(F328,"000")&amp;"."&amp;TEXT(G328,"000"))</f>
        <v>MR.C01.215.002</v>
      </c>
      <c r="C328" s="161"/>
      <c r="D328" s="162" t="s">
        <v>95</v>
      </c>
      <c r="E328" s="162" t="s">
        <v>96</v>
      </c>
      <c r="F328" s="162">
        <v>215</v>
      </c>
      <c r="G328" s="162">
        <v>2</v>
      </c>
      <c r="H328" s="162">
        <v>457963</v>
      </c>
      <c r="I328" s="162" t="s">
        <v>398</v>
      </c>
      <c r="J328" s="171">
        <v>1</v>
      </c>
      <c r="K328" s="162" t="s">
        <v>64</v>
      </c>
      <c r="L328" s="163" t="s">
        <v>117</v>
      </c>
      <c r="M328" s="162" t="s">
        <v>99</v>
      </c>
      <c r="N328" s="161" t="s">
        <v>91</v>
      </c>
      <c r="O328" s="161">
        <v>1</v>
      </c>
      <c r="P328" s="163">
        <v>1</v>
      </c>
      <c r="Q328" s="163"/>
      <c r="R328" s="162"/>
      <c r="S328" s="164">
        <f>TABLAINV[[#This Row],[Conteo Físico]]-TABLAINV[[#This Row],[Cant. UND]]</f>
        <v>0</v>
      </c>
      <c r="T32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8" s="165" t="str">
        <f>IFERROR(IF(MOD(TABLAINV[[#This Row],[C]],2)=0,"PAR","IMPAR"),"Zona")</f>
        <v>IMPAR</v>
      </c>
      <c r="W328" s="166"/>
      <c r="X328" s="167">
        <f>IFERROR(IF(TABLAINV[[#This Row],[Cant. UND]]=0,TABLAINV[[#This Row],[PMV]]*TABLAINV[[#This Row],[Conteo Físico]],TABLAINV[[#This Row],[PMV]]*TABLAINV[[#This Row],[Cant. UND]]),0)</f>
        <v>0</v>
      </c>
      <c r="Y328" s="167">
        <f>IFERROR(ABS(TABLAINV[[#This Row],[PMV]]*TABLAINV[[#This Row],[Diferencia]]),0)</f>
        <v>0</v>
      </c>
      <c r="Z328" s="168">
        <f>IFERROR(VLOOKUP(TABLAINV[[#This Row],[Codigo Estado]],unds!O:P,2,0),"PEND.")</f>
        <v>2001</v>
      </c>
      <c r="AA328" s="168" t="str">
        <f t="shared" si="16"/>
        <v>CD09</v>
      </c>
      <c r="AB328" s="169">
        <f t="shared" ca="1" si="17"/>
        <v>45827</v>
      </c>
      <c r="AC328" s="1"/>
      <c r="AD328" s="1"/>
      <c r="AE328" s="1"/>
      <c r="AF328" s="1"/>
    </row>
    <row r="329" spans="1:32" ht="15" customHeight="1" x14ac:dyDescent="0.2">
      <c r="A329" s="170" t="str">
        <f t="shared" si="15"/>
        <v>MRC01</v>
      </c>
      <c r="B329" s="160" t="str">
        <f>IF(TABLAINV[[#This Row],[Z]]="","",D329&amp;"."&amp;TEXT(E329,"000")&amp;"."&amp;TEXT(F329,"000")&amp;"."&amp;TEXT(G329,"000"))</f>
        <v>MR.C01.215.002</v>
      </c>
      <c r="C329" s="161"/>
      <c r="D329" s="162" t="s">
        <v>95</v>
      </c>
      <c r="E329" s="162" t="s">
        <v>96</v>
      </c>
      <c r="F329" s="162">
        <v>215</v>
      </c>
      <c r="G329" s="162">
        <v>2</v>
      </c>
      <c r="H329" s="162">
        <v>973323</v>
      </c>
      <c r="I329" s="162" t="s">
        <v>399</v>
      </c>
      <c r="J329" s="171">
        <v>4</v>
      </c>
      <c r="K329" s="162" t="s">
        <v>64</v>
      </c>
      <c r="L329" s="163" t="s">
        <v>117</v>
      </c>
      <c r="M329" s="162" t="s">
        <v>99</v>
      </c>
      <c r="N329" s="161" t="s">
        <v>91</v>
      </c>
      <c r="O329" s="161">
        <v>4</v>
      </c>
      <c r="P329" s="163">
        <v>4</v>
      </c>
      <c r="Q329" s="163"/>
      <c r="R329" s="162"/>
      <c r="S329" s="164">
        <f>TABLAINV[[#This Row],[Conteo Físico]]-TABLAINV[[#This Row],[Cant. UND]]</f>
        <v>0</v>
      </c>
      <c r="T32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2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29" s="165" t="str">
        <f>IFERROR(IF(MOD(TABLAINV[[#This Row],[C]],2)=0,"PAR","IMPAR"),"Zona")</f>
        <v>IMPAR</v>
      </c>
      <c r="W329" s="166"/>
      <c r="X329" s="167">
        <f>IFERROR(IF(TABLAINV[[#This Row],[Cant. UND]]=0,TABLAINV[[#This Row],[PMV]]*TABLAINV[[#This Row],[Conteo Físico]],TABLAINV[[#This Row],[PMV]]*TABLAINV[[#This Row],[Cant. UND]]),0)</f>
        <v>0</v>
      </c>
      <c r="Y329" s="167">
        <f>IFERROR(ABS(TABLAINV[[#This Row],[PMV]]*TABLAINV[[#This Row],[Diferencia]]),0)</f>
        <v>0</v>
      </c>
      <c r="Z329" s="168">
        <f>IFERROR(VLOOKUP(TABLAINV[[#This Row],[Codigo Estado]],unds!O:P,2,0),"PEND.")</f>
        <v>2001</v>
      </c>
      <c r="AA329" s="168" t="str">
        <f t="shared" si="16"/>
        <v>CD09</v>
      </c>
      <c r="AB329" s="169">
        <f t="shared" ca="1" si="17"/>
        <v>45827</v>
      </c>
      <c r="AC329" s="1"/>
      <c r="AD329" s="1"/>
      <c r="AE329" s="1"/>
      <c r="AF329" s="1"/>
    </row>
    <row r="330" spans="1:32" ht="15" customHeight="1" x14ac:dyDescent="0.2">
      <c r="A330" s="170" t="str">
        <f t="shared" ref="A330:A393" si="18">D330&amp;E330</f>
        <v>MRC01</v>
      </c>
      <c r="B330" s="160" t="str">
        <f>IF(TABLAINV[[#This Row],[Z]]="","",D330&amp;"."&amp;TEXT(E330,"000")&amp;"."&amp;TEXT(F330,"000")&amp;"."&amp;TEXT(G330,"000"))</f>
        <v>MR.C01.215.003</v>
      </c>
      <c r="C330" s="161"/>
      <c r="D330" s="162" t="s">
        <v>95</v>
      </c>
      <c r="E330" s="162" t="s">
        <v>96</v>
      </c>
      <c r="F330" s="162">
        <v>215</v>
      </c>
      <c r="G330" s="162">
        <v>3</v>
      </c>
      <c r="H330" s="162">
        <v>209785</v>
      </c>
      <c r="I330" s="162" t="s">
        <v>400</v>
      </c>
      <c r="J330" s="171">
        <v>3</v>
      </c>
      <c r="K330" s="162" t="s">
        <v>64</v>
      </c>
      <c r="L330" s="163" t="s">
        <v>115</v>
      </c>
      <c r="M330" s="162" t="s">
        <v>99</v>
      </c>
      <c r="N330" s="161" t="s">
        <v>91</v>
      </c>
      <c r="O330" s="161">
        <v>3</v>
      </c>
      <c r="P330" s="163">
        <v>3</v>
      </c>
      <c r="Q330" s="163"/>
      <c r="R330" s="162"/>
      <c r="S330" s="164">
        <f>TABLAINV[[#This Row],[Conteo Físico]]-TABLAINV[[#This Row],[Cant. UND]]</f>
        <v>0</v>
      </c>
      <c r="T33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0" s="165" t="str">
        <f>IFERROR(IF(MOD(TABLAINV[[#This Row],[C]],2)=0,"PAR","IMPAR"),"Zona")</f>
        <v>IMPAR</v>
      </c>
      <c r="W330" s="166"/>
      <c r="X330" s="167">
        <f>IFERROR(IF(TABLAINV[[#This Row],[Cant. UND]]=0,TABLAINV[[#This Row],[PMV]]*TABLAINV[[#This Row],[Conteo Físico]],TABLAINV[[#This Row],[PMV]]*TABLAINV[[#This Row],[Cant. UND]]),0)</f>
        <v>0</v>
      </c>
      <c r="Y330" s="167">
        <f>IFERROR(ABS(TABLAINV[[#This Row],[PMV]]*TABLAINV[[#This Row],[Diferencia]]),0)</f>
        <v>0</v>
      </c>
      <c r="Z330" s="168">
        <f>IFERROR(VLOOKUP(TABLAINV[[#This Row],[Codigo Estado]],unds!O:P,2,0),"PEND.")</f>
        <v>2001</v>
      </c>
      <c r="AA330" s="168" t="str">
        <f t="shared" ref="AA330:AA393" si="19">$AA$1</f>
        <v>CD09</v>
      </c>
      <c r="AB330" s="169">
        <f t="shared" ref="AB330:AB393" ca="1" si="20">TODAY()</f>
        <v>45827</v>
      </c>
      <c r="AC330" s="1"/>
      <c r="AD330" s="1"/>
      <c r="AE330" s="1"/>
      <c r="AF330" s="1"/>
    </row>
    <row r="331" spans="1:32" ht="15" customHeight="1" x14ac:dyDescent="0.2">
      <c r="A331" s="170" t="str">
        <f t="shared" si="18"/>
        <v>MRC01</v>
      </c>
      <c r="B331" s="160" t="str">
        <f>IF(TABLAINV[[#This Row],[Z]]="","",D331&amp;"."&amp;TEXT(E331,"000")&amp;"."&amp;TEXT(F331,"000")&amp;"."&amp;TEXT(G331,"000"))</f>
        <v>MR.C01.217.002</v>
      </c>
      <c r="C331" s="161"/>
      <c r="D331" s="162" t="s">
        <v>95</v>
      </c>
      <c r="E331" s="162" t="s">
        <v>96</v>
      </c>
      <c r="F331" s="162">
        <v>217</v>
      </c>
      <c r="G331" s="162">
        <v>2</v>
      </c>
      <c r="H331" s="162">
        <v>916698</v>
      </c>
      <c r="I331" s="162" t="s">
        <v>401</v>
      </c>
      <c r="J331" s="171">
        <v>1</v>
      </c>
      <c r="K331" s="162" t="s">
        <v>64</v>
      </c>
      <c r="L331" s="163" t="s">
        <v>117</v>
      </c>
      <c r="M331" s="162" t="s">
        <v>99</v>
      </c>
      <c r="N331" s="161" t="s">
        <v>91</v>
      </c>
      <c r="O331" s="161">
        <v>1</v>
      </c>
      <c r="P331" s="163">
        <v>1</v>
      </c>
      <c r="Q331" s="163"/>
      <c r="R331" s="162"/>
      <c r="S331" s="164">
        <f>TABLAINV[[#This Row],[Conteo Físico]]-TABLAINV[[#This Row],[Cant. UND]]</f>
        <v>0</v>
      </c>
      <c r="T33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1" s="165" t="str">
        <f>IFERROR(IF(MOD(TABLAINV[[#This Row],[C]],2)=0,"PAR","IMPAR"),"Zona")</f>
        <v>IMPAR</v>
      </c>
      <c r="W331" s="166"/>
      <c r="X331" s="167">
        <f>IFERROR(IF(TABLAINV[[#This Row],[Cant. UND]]=0,TABLAINV[[#This Row],[PMV]]*TABLAINV[[#This Row],[Conteo Físico]],TABLAINV[[#This Row],[PMV]]*TABLAINV[[#This Row],[Cant. UND]]),0)</f>
        <v>0</v>
      </c>
      <c r="Y331" s="167">
        <f>IFERROR(ABS(TABLAINV[[#This Row],[PMV]]*TABLAINV[[#This Row],[Diferencia]]),0)</f>
        <v>0</v>
      </c>
      <c r="Z331" s="168">
        <f>IFERROR(VLOOKUP(TABLAINV[[#This Row],[Codigo Estado]],unds!O:P,2,0),"PEND.")</f>
        <v>2001</v>
      </c>
      <c r="AA331" s="168" t="str">
        <f t="shared" si="19"/>
        <v>CD09</v>
      </c>
      <c r="AB331" s="169">
        <f t="shared" ca="1" si="20"/>
        <v>45827</v>
      </c>
      <c r="AC331" s="1"/>
      <c r="AD331" s="1"/>
      <c r="AE331" s="1"/>
      <c r="AF331" s="1"/>
    </row>
    <row r="332" spans="1:32" ht="15" customHeight="1" x14ac:dyDescent="0.2">
      <c r="A332" s="170" t="str">
        <f t="shared" si="18"/>
        <v>MRC01</v>
      </c>
      <c r="B332" s="160" t="str">
        <f>IF(TABLAINV[[#This Row],[Z]]="","",D332&amp;"."&amp;TEXT(E332,"000")&amp;"."&amp;TEXT(F332,"000")&amp;"."&amp;TEXT(G332,"000"))</f>
        <v>MR.C01.223.002</v>
      </c>
      <c r="C332" s="161"/>
      <c r="D332" s="162" t="s">
        <v>95</v>
      </c>
      <c r="E332" s="162" t="s">
        <v>96</v>
      </c>
      <c r="F332" s="162">
        <v>223</v>
      </c>
      <c r="G332" s="162">
        <v>2</v>
      </c>
      <c r="H332" s="162">
        <v>1027530</v>
      </c>
      <c r="I332" s="162" t="s">
        <v>402</v>
      </c>
      <c r="J332" s="171">
        <v>4</v>
      </c>
      <c r="K332" s="162" t="s">
        <v>64</v>
      </c>
      <c r="L332" s="163" t="s">
        <v>117</v>
      </c>
      <c r="M332" s="162" t="s">
        <v>99</v>
      </c>
      <c r="N332" s="161" t="s">
        <v>91</v>
      </c>
      <c r="O332" s="161">
        <v>4</v>
      </c>
      <c r="P332" s="163">
        <v>4</v>
      </c>
      <c r="Q332" s="163"/>
      <c r="R332" s="162"/>
      <c r="S332" s="164">
        <f>TABLAINV[[#This Row],[Conteo Físico]]-TABLAINV[[#This Row],[Cant. UND]]</f>
        <v>0</v>
      </c>
      <c r="T33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2" s="165" t="str">
        <f>IFERROR(IF(MOD(TABLAINV[[#This Row],[C]],2)=0,"PAR","IMPAR"),"Zona")</f>
        <v>IMPAR</v>
      </c>
      <c r="W332" s="166"/>
      <c r="X332" s="167">
        <f>IFERROR(IF(TABLAINV[[#This Row],[Cant. UND]]=0,TABLAINV[[#This Row],[PMV]]*TABLAINV[[#This Row],[Conteo Físico]],TABLAINV[[#This Row],[PMV]]*TABLAINV[[#This Row],[Cant. UND]]),0)</f>
        <v>0</v>
      </c>
      <c r="Y332" s="167">
        <f>IFERROR(ABS(TABLAINV[[#This Row],[PMV]]*TABLAINV[[#This Row],[Diferencia]]),0)</f>
        <v>0</v>
      </c>
      <c r="Z332" s="168">
        <f>IFERROR(VLOOKUP(TABLAINV[[#This Row],[Codigo Estado]],unds!O:P,2,0),"PEND.")</f>
        <v>2001</v>
      </c>
      <c r="AA332" s="168" t="str">
        <f t="shared" si="19"/>
        <v>CD09</v>
      </c>
      <c r="AB332" s="169">
        <f t="shared" ca="1" si="20"/>
        <v>45827</v>
      </c>
      <c r="AC332" s="1"/>
      <c r="AD332" s="1"/>
      <c r="AE332" s="1"/>
      <c r="AF332" s="1"/>
    </row>
    <row r="333" spans="1:32" ht="15" customHeight="1" x14ac:dyDescent="0.2">
      <c r="A333" s="170" t="str">
        <f t="shared" si="18"/>
        <v>MRC01</v>
      </c>
      <c r="B333" s="160" t="str">
        <f>IF(TABLAINV[[#This Row],[Z]]="","",D333&amp;"."&amp;TEXT(E333,"000")&amp;"."&amp;TEXT(F333,"000")&amp;"."&amp;TEXT(G333,"000"))</f>
        <v>MR.C01.223.002</v>
      </c>
      <c r="C333" s="161"/>
      <c r="D333" s="162" t="s">
        <v>95</v>
      </c>
      <c r="E333" s="162" t="s">
        <v>96</v>
      </c>
      <c r="F333" s="162">
        <v>223</v>
      </c>
      <c r="G333" s="162">
        <v>2</v>
      </c>
      <c r="H333" s="162">
        <v>457137</v>
      </c>
      <c r="I333" s="162" t="s">
        <v>403</v>
      </c>
      <c r="J333" s="171">
        <v>4</v>
      </c>
      <c r="K333" s="162" t="s">
        <v>64</v>
      </c>
      <c r="L333" s="163" t="s">
        <v>117</v>
      </c>
      <c r="M333" s="162" t="s">
        <v>99</v>
      </c>
      <c r="N333" s="161" t="s">
        <v>91</v>
      </c>
      <c r="O333" s="161">
        <v>4</v>
      </c>
      <c r="P333" s="163">
        <v>4</v>
      </c>
      <c r="Q333" s="163"/>
      <c r="R333" s="162"/>
      <c r="S333" s="164">
        <f>TABLAINV[[#This Row],[Conteo Físico]]-TABLAINV[[#This Row],[Cant. UND]]</f>
        <v>0</v>
      </c>
      <c r="T33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3" s="165" t="str">
        <f>IFERROR(IF(MOD(TABLAINV[[#This Row],[C]],2)=0,"PAR","IMPAR"),"Zona")</f>
        <v>IMPAR</v>
      </c>
      <c r="W333" s="166"/>
      <c r="X333" s="167">
        <f>IFERROR(IF(TABLAINV[[#This Row],[Cant. UND]]=0,TABLAINV[[#This Row],[PMV]]*TABLAINV[[#This Row],[Conteo Físico]],TABLAINV[[#This Row],[PMV]]*TABLAINV[[#This Row],[Cant. UND]]),0)</f>
        <v>0</v>
      </c>
      <c r="Y333" s="167">
        <f>IFERROR(ABS(TABLAINV[[#This Row],[PMV]]*TABLAINV[[#This Row],[Diferencia]]),0)</f>
        <v>0</v>
      </c>
      <c r="Z333" s="168">
        <f>IFERROR(VLOOKUP(TABLAINV[[#This Row],[Codigo Estado]],unds!O:P,2,0),"PEND.")</f>
        <v>2001</v>
      </c>
      <c r="AA333" s="168" t="str">
        <f t="shared" si="19"/>
        <v>CD09</v>
      </c>
      <c r="AB333" s="169">
        <f t="shared" ca="1" si="20"/>
        <v>45827</v>
      </c>
      <c r="AC333" s="1"/>
      <c r="AD333" s="1"/>
      <c r="AE333" s="1"/>
      <c r="AF333" s="1"/>
    </row>
    <row r="334" spans="1:32" ht="15" customHeight="1" x14ac:dyDescent="0.2">
      <c r="A334" s="170" t="str">
        <f t="shared" si="18"/>
        <v>MRC01</v>
      </c>
      <c r="B334" s="160" t="str">
        <f>IF(TABLAINV[[#This Row],[Z]]="","",D334&amp;"."&amp;TEXT(E334,"000")&amp;"."&amp;TEXT(F334,"000")&amp;"."&amp;TEXT(G334,"000"))</f>
        <v>MR.C01.231.001</v>
      </c>
      <c r="C334" s="161"/>
      <c r="D334" s="162" t="s">
        <v>95</v>
      </c>
      <c r="E334" s="162" t="s">
        <v>96</v>
      </c>
      <c r="F334" s="162">
        <v>231</v>
      </c>
      <c r="G334" s="162">
        <v>1</v>
      </c>
      <c r="H334" s="162">
        <v>1032135</v>
      </c>
      <c r="I334" s="162" t="s">
        <v>404</v>
      </c>
      <c r="J334" s="171">
        <v>24</v>
      </c>
      <c r="K334" s="162" t="s">
        <v>71</v>
      </c>
      <c r="L334" s="163" t="s">
        <v>115</v>
      </c>
      <c r="M334" s="162" t="s">
        <v>99</v>
      </c>
      <c r="N334" s="161" t="s">
        <v>91</v>
      </c>
      <c r="O334" s="161">
        <v>24</v>
      </c>
      <c r="P334" s="163">
        <v>24</v>
      </c>
      <c r="Q334" s="163"/>
      <c r="R334" s="162"/>
      <c r="S334" s="164">
        <f>TABLAINV[[#This Row],[Conteo Físico]]-TABLAINV[[#This Row],[Cant. UND]]</f>
        <v>0</v>
      </c>
      <c r="T33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4" s="165" t="str">
        <f>IFERROR(IF(MOD(TABLAINV[[#This Row],[C]],2)=0,"PAR","IMPAR"),"Zona")</f>
        <v>IMPAR</v>
      </c>
      <c r="W334" s="166"/>
      <c r="X334" s="167">
        <f>IFERROR(IF(TABLAINV[[#This Row],[Cant. UND]]=0,TABLAINV[[#This Row],[PMV]]*TABLAINV[[#This Row],[Conteo Físico]],TABLAINV[[#This Row],[PMV]]*TABLAINV[[#This Row],[Cant. UND]]),0)</f>
        <v>0</v>
      </c>
      <c r="Y334" s="167">
        <f>IFERROR(ABS(TABLAINV[[#This Row],[PMV]]*TABLAINV[[#This Row],[Diferencia]]),0)</f>
        <v>0</v>
      </c>
      <c r="Z334" s="168">
        <f>IFERROR(VLOOKUP(TABLAINV[[#This Row],[Codigo Estado]],unds!O:P,2,0),"PEND.")</f>
        <v>2002</v>
      </c>
      <c r="AA334" s="168" t="str">
        <f t="shared" si="19"/>
        <v>CD09</v>
      </c>
      <c r="AB334" s="169">
        <f t="shared" ca="1" si="20"/>
        <v>45827</v>
      </c>
      <c r="AC334" s="1"/>
      <c r="AD334" s="1"/>
      <c r="AE334" s="1"/>
      <c r="AF334" s="1"/>
    </row>
    <row r="335" spans="1:32" ht="15" customHeight="1" x14ac:dyDescent="0.2">
      <c r="A335" s="170" t="str">
        <f t="shared" si="18"/>
        <v>MRC01</v>
      </c>
      <c r="B335" s="160" t="str">
        <f>IF(TABLAINV[[#This Row],[Z]]="","",D335&amp;"."&amp;TEXT(E335,"000")&amp;"."&amp;TEXT(F335,"000")&amp;"."&amp;TEXT(G335,"000"))</f>
        <v>MR.C01.231.001</v>
      </c>
      <c r="C335" s="161"/>
      <c r="D335" s="162" t="s">
        <v>95</v>
      </c>
      <c r="E335" s="162" t="s">
        <v>96</v>
      </c>
      <c r="F335" s="162">
        <v>231</v>
      </c>
      <c r="G335" s="162">
        <v>1</v>
      </c>
      <c r="H335" s="162">
        <v>10649</v>
      </c>
      <c r="I335" s="162" t="s">
        <v>405</v>
      </c>
      <c r="J335" s="171">
        <v>1</v>
      </c>
      <c r="K335" s="162" t="s">
        <v>71</v>
      </c>
      <c r="L335" s="163" t="s">
        <v>110</v>
      </c>
      <c r="M335" s="162" t="s">
        <v>135</v>
      </c>
      <c r="N335" s="161" t="s">
        <v>91</v>
      </c>
      <c r="O335" s="161">
        <v>1</v>
      </c>
      <c r="P335" s="163">
        <v>1</v>
      </c>
      <c r="Q335" s="163"/>
      <c r="R335" s="162"/>
      <c r="S335" s="164">
        <f>TABLAINV[[#This Row],[Conteo Físico]]-TABLAINV[[#This Row],[Cant. UND]]</f>
        <v>0</v>
      </c>
      <c r="T33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5" s="165" t="str">
        <f>IFERROR(IF(MOD(TABLAINV[[#This Row],[C]],2)=0,"PAR","IMPAR"),"Zona")</f>
        <v>IMPAR</v>
      </c>
      <c r="W335" s="166"/>
      <c r="X335" s="167">
        <f>IFERROR(IF(TABLAINV[[#This Row],[Cant. UND]]=0,TABLAINV[[#This Row],[PMV]]*TABLAINV[[#This Row],[Conteo Físico]],TABLAINV[[#This Row],[PMV]]*TABLAINV[[#This Row],[Cant. UND]]),0)</f>
        <v>0</v>
      </c>
      <c r="Y335" s="167">
        <f>IFERROR(ABS(TABLAINV[[#This Row],[PMV]]*TABLAINV[[#This Row],[Diferencia]]),0)</f>
        <v>0</v>
      </c>
      <c r="Z335" s="168">
        <f>IFERROR(VLOOKUP(TABLAINV[[#This Row],[Codigo Estado]],unds!O:P,2,0),"PEND.")</f>
        <v>2002</v>
      </c>
      <c r="AA335" s="168" t="str">
        <f t="shared" si="19"/>
        <v>CD09</v>
      </c>
      <c r="AB335" s="169">
        <f t="shared" ca="1" si="20"/>
        <v>45827</v>
      </c>
      <c r="AC335" s="1"/>
      <c r="AD335" s="1"/>
      <c r="AE335" s="1"/>
      <c r="AF335" s="1"/>
    </row>
    <row r="336" spans="1:32" ht="15" customHeight="1" x14ac:dyDescent="0.2">
      <c r="A336" s="170" t="str">
        <f t="shared" si="18"/>
        <v>MRC01</v>
      </c>
      <c r="B336" s="160" t="str">
        <f>IF(TABLAINV[[#This Row],[Z]]="","",D336&amp;"."&amp;TEXT(E336,"000")&amp;"."&amp;TEXT(F336,"000")&amp;"."&amp;TEXT(G336,"000"))</f>
        <v>MR.C01.231.001</v>
      </c>
      <c r="C336" s="161"/>
      <c r="D336" s="162" t="s">
        <v>95</v>
      </c>
      <c r="E336" s="162" t="s">
        <v>96</v>
      </c>
      <c r="F336" s="162">
        <v>231</v>
      </c>
      <c r="G336" s="162">
        <v>1</v>
      </c>
      <c r="H336" s="162">
        <v>107670</v>
      </c>
      <c r="I336" s="162" t="s">
        <v>406</v>
      </c>
      <c r="J336" s="171">
        <v>12</v>
      </c>
      <c r="K336" s="162" t="s">
        <v>71</v>
      </c>
      <c r="L336" s="163" t="s">
        <v>115</v>
      </c>
      <c r="M336" s="162" t="s">
        <v>99</v>
      </c>
      <c r="N336" s="161" t="s">
        <v>91</v>
      </c>
      <c r="O336" s="161">
        <v>12</v>
      </c>
      <c r="P336" s="163">
        <v>12</v>
      </c>
      <c r="Q336" s="163"/>
      <c r="R336" s="162"/>
      <c r="S336" s="164">
        <f>TABLAINV[[#This Row],[Conteo Físico]]-TABLAINV[[#This Row],[Cant. UND]]</f>
        <v>0</v>
      </c>
      <c r="T33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6" s="165" t="str">
        <f>IFERROR(IF(MOD(TABLAINV[[#This Row],[C]],2)=0,"PAR","IMPAR"),"Zona")</f>
        <v>IMPAR</v>
      </c>
      <c r="W336" s="166"/>
      <c r="X336" s="167">
        <f>IFERROR(IF(TABLAINV[[#This Row],[Cant. UND]]=0,TABLAINV[[#This Row],[PMV]]*TABLAINV[[#This Row],[Conteo Físico]],TABLAINV[[#This Row],[PMV]]*TABLAINV[[#This Row],[Cant. UND]]),0)</f>
        <v>0</v>
      </c>
      <c r="Y336" s="167">
        <f>IFERROR(ABS(TABLAINV[[#This Row],[PMV]]*TABLAINV[[#This Row],[Diferencia]]),0)</f>
        <v>0</v>
      </c>
      <c r="Z336" s="168">
        <f>IFERROR(VLOOKUP(TABLAINV[[#This Row],[Codigo Estado]],unds!O:P,2,0),"PEND.")</f>
        <v>2002</v>
      </c>
      <c r="AA336" s="168" t="str">
        <f t="shared" si="19"/>
        <v>CD09</v>
      </c>
      <c r="AB336" s="169">
        <f t="shared" ca="1" si="20"/>
        <v>45827</v>
      </c>
      <c r="AC336" s="1"/>
      <c r="AD336" s="1"/>
      <c r="AE336" s="1"/>
      <c r="AF336" s="1"/>
    </row>
    <row r="337" spans="1:32" ht="15" customHeight="1" x14ac:dyDescent="0.2">
      <c r="A337" s="170" t="str">
        <f t="shared" si="18"/>
        <v>MRC01</v>
      </c>
      <c r="B337" s="160" t="str">
        <f>IF(TABLAINV[[#This Row],[Z]]="","",D337&amp;"."&amp;TEXT(E337,"000")&amp;"."&amp;TEXT(F337,"000")&amp;"."&amp;TEXT(G337,"000"))</f>
        <v>MR.C01.231.001</v>
      </c>
      <c r="C337" s="161"/>
      <c r="D337" s="162" t="s">
        <v>95</v>
      </c>
      <c r="E337" s="162" t="s">
        <v>96</v>
      </c>
      <c r="F337" s="162">
        <v>231</v>
      </c>
      <c r="G337" s="162">
        <v>1</v>
      </c>
      <c r="H337" s="162">
        <v>118644003</v>
      </c>
      <c r="I337" s="162" t="s">
        <v>133</v>
      </c>
      <c r="J337" s="171">
        <v>2</v>
      </c>
      <c r="K337" s="162" t="s">
        <v>71</v>
      </c>
      <c r="L337" s="163" t="s">
        <v>134</v>
      </c>
      <c r="M337" s="162" t="s">
        <v>135</v>
      </c>
      <c r="N337" s="161" t="s">
        <v>91</v>
      </c>
      <c r="O337" s="161">
        <v>2</v>
      </c>
      <c r="P337" s="163">
        <v>2</v>
      </c>
      <c r="Q337" s="163"/>
      <c r="R337" s="162"/>
      <c r="S337" s="164">
        <f>TABLAINV[[#This Row],[Conteo Físico]]-TABLAINV[[#This Row],[Cant. UND]]</f>
        <v>0</v>
      </c>
      <c r="T33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7" s="165" t="str">
        <f>IFERROR(IF(MOD(TABLAINV[[#This Row],[C]],2)=0,"PAR","IMPAR"),"Zona")</f>
        <v>IMPAR</v>
      </c>
      <c r="W337" s="166"/>
      <c r="X337" s="167">
        <f>IFERROR(IF(TABLAINV[[#This Row],[Cant. UND]]=0,TABLAINV[[#This Row],[PMV]]*TABLAINV[[#This Row],[Conteo Físico]],TABLAINV[[#This Row],[PMV]]*TABLAINV[[#This Row],[Cant. UND]]),0)</f>
        <v>0</v>
      </c>
      <c r="Y337" s="167">
        <f>IFERROR(ABS(TABLAINV[[#This Row],[PMV]]*TABLAINV[[#This Row],[Diferencia]]),0)</f>
        <v>0</v>
      </c>
      <c r="Z337" s="168">
        <f>IFERROR(VLOOKUP(TABLAINV[[#This Row],[Codigo Estado]],unds!O:P,2,0),"PEND.")</f>
        <v>2002</v>
      </c>
      <c r="AA337" s="168" t="str">
        <f t="shared" si="19"/>
        <v>CD09</v>
      </c>
      <c r="AB337" s="169">
        <f t="shared" ca="1" si="20"/>
        <v>45827</v>
      </c>
      <c r="AC337" s="1"/>
      <c r="AD337" s="1"/>
      <c r="AE337" s="1"/>
      <c r="AF337" s="1"/>
    </row>
    <row r="338" spans="1:32" ht="15" customHeight="1" x14ac:dyDescent="0.2">
      <c r="A338" s="170" t="str">
        <f t="shared" si="18"/>
        <v>MRC01</v>
      </c>
      <c r="B338" s="160" t="str">
        <f>IF(TABLAINV[[#This Row],[Z]]="","",D338&amp;"."&amp;TEXT(E338,"000")&amp;"."&amp;TEXT(F338,"000")&amp;"."&amp;TEXT(G338,"000"))</f>
        <v>MR.C01.231.001</v>
      </c>
      <c r="C338" s="161"/>
      <c r="D338" s="162" t="s">
        <v>95</v>
      </c>
      <c r="E338" s="162" t="s">
        <v>96</v>
      </c>
      <c r="F338" s="162">
        <v>231</v>
      </c>
      <c r="G338" s="162">
        <v>1</v>
      </c>
      <c r="H338" s="162">
        <v>220649</v>
      </c>
      <c r="I338" s="162" t="s">
        <v>407</v>
      </c>
      <c r="J338" s="171">
        <v>12</v>
      </c>
      <c r="K338" s="162" t="s">
        <v>71</v>
      </c>
      <c r="L338" s="163" t="s">
        <v>115</v>
      </c>
      <c r="M338" s="162" t="s">
        <v>99</v>
      </c>
      <c r="N338" s="161" t="s">
        <v>91</v>
      </c>
      <c r="O338" s="161">
        <v>12</v>
      </c>
      <c r="P338" s="163">
        <v>12</v>
      </c>
      <c r="Q338" s="163"/>
      <c r="R338" s="162"/>
      <c r="S338" s="164">
        <f>TABLAINV[[#This Row],[Conteo Físico]]-TABLAINV[[#This Row],[Cant. UND]]</f>
        <v>0</v>
      </c>
      <c r="T33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8" s="165" t="str">
        <f>IFERROR(IF(MOD(TABLAINV[[#This Row],[C]],2)=0,"PAR","IMPAR"),"Zona")</f>
        <v>IMPAR</v>
      </c>
      <c r="W338" s="166"/>
      <c r="X338" s="167">
        <f>IFERROR(IF(TABLAINV[[#This Row],[Cant. UND]]=0,TABLAINV[[#This Row],[PMV]]*TABLAINV[[#This Row],[Conteo Físico]],TABLAINV[[#This Row],[PMV]]*TABLAINV[[#This Row],[Cant. UND]]),0)</f>
        <v>0</v>
      </c>
      <c r="Y338" s="167">
        <f>IFERROR(ABS(TABLAINV[[#This Row],[PMV]]*TABLAINV[[#This Row],[Diferencia]]),0)</f>
        <v>0</v>
      </c>
      <c r="Z338" s="168">
        <f>IFERROR(VLOOKUP(TABLAINV[[#This Row],[Codigo Estado]],unds!O:P,2,0),"PEND.")</f>
        <v>2002</v>
      </c>
      <c r="AA338" s="168" t="str">
        <f t="shared" si="19"/>
        <v>CD09</v>
      </c>
      <c r="AB338" s="169">
        <f t="shared" ca="1" si="20"/>
        <v>45827</v>
      </c>
      <c r="AC338" s="1"/>
      <c r="AD338" s="1"/>
      <c r="AE338" s="1"/>
      <c r="AF338" s="1"/>
    </row>
    <row r="339" spans="1:32" ht="15" customHeight="1" x14ac:dyDescent="0.2">
      <c r="A339" s="170" t="str">
        <f t="shared" si="18"/>
        <v>MRC01</v>
      </c>
      <c r="B339" s="160" t="str">
        <f>IF(TABLAINV[[#This Row],[Z]]="","",D339&amp;"."&amp;TEXT(E339,"000")&amp;"."&amp;TEXT(F339,"000")&amp;"."&amp;TEXT(G339,"000"))</f>
        <v>MR.C01.231.001</v>
      </c>
      <c r="C339" s="161"/>
      <c r="D339" s="162" t="s">
        <v>95</v>
      </c>
      <c r="E339" s="162" t="s">
        <v>96</v>
      </c>
      <c r="F339" s="162">
        <v>231</v>
      </c>
      <c r="G339" s="162">
        <v>1</v>
      </c>
      <c r="H339" s="162">
        <v>38332</v>
      </c>
      <c r="I339" s="162" t="s">
        <v>408</v>
      </c>
      <c r="J339" s="171">
        <v>12</v>
      </c>
      <c r="K339" s="162" t="s">
        <v>71</v>
      </c>
      <c r="L339" s="163" t="s">
        <v>110</v>
      </c>
      <c r="M339" s="162" t="s">
        <v>135</v>
      </c>
      <c r="N339" s="161" t="s">
        <v>91</v>
      </c>
      <c r="O339" s="161">
        <v>12</v>
      </c>
      <c r="P339" s="163">
        <v>12</v>
      </c>
      <c r="Q339" s="163"/>
      <c r="R339" s="162"/>
      <c r="S339" s="164">
        <f>TABLAINV[[#This Row],[Conteo Físico]]-TABLAINV[[#This Row],[Cant. UND]]</f>
        <v>0</v>
      </c>
      <c r="T33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3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39" s="165" t="str">
        <f>IFERROR(IF(MOD(TABLAINV[[#This Row],[C]],2)=0,"PAR","IMPAR"),"Zona")</f>
        <v>IMPAR</v>
      </c>
      <c r="W339" s="166"/>
      <c r="X339" s="167">
        <f>IFERROR(IF(TABLAINV[[#This Row],[Cant. UND]]=0,TABLAINV[[#This Row],[PMV]]*TABLAINV[[#This Row],[Conteo Físico]],TABLAINV[[#This Row],[PMV]]*TABLAINV[[#This Row],[Cant. UND]]),0)</f>
        <v>0</v>
      </c>
      <c r="Y339" s="167">
        <f>IFERROR(ABS(TABLAINV[[#This Row],[PMV]]*TABLAINV[[#This Row],[Diferencia]]),0)</f>
        <v>0</v>
      </c>
      <c r="Z339" s="168">
        <f>IFERROR(VLOOKUP(TABLAINV[[#This Row],[Codigo Estado]],unds!O:P,2,0),"PEND.")</f>
        <v>2002</v>
      </c>
      <c r="AA339" s="168" t="str">
        <f t="shared" si="19"/>
        <v>CD09</v>
      </c>
      <c r="AB339" s="169">
        <f t="shared" ca="1" si="20"/>
        <v>45827</v>
      </c>
      <c r="AC339" s="1"/>
      <c r="AD339" s="1"/>
      <c r="AE339" s="1"/>
      <c r="AF339" s="1"/>
    </row>
    <row r="340" spans="1:32" ht="15" customHeight="1" x14ac:dyDescent="0.2">
      <c r="A340" s="170" t="str">
        <f t="shared" si="18"/>
        <v>MRC01</v>
      </c>
      <c r="B340" s="160" t="str">
        <f>IF(TABLAINV[[#This Row],[Z]]="","",D340&amp;"."&amp;TEXT(E340,"000")&amp;"."&amp;TEXT(F340,"000")&amp;"."&amp;TEXT(G340,"000"))</f>
        <v>MR.C01.231.001</v>
      </c>
      <c r="C340" s="161"/>
      <c r="D340" s="162" t="s">
        <v>95</v>
      </c>
      <c r="E340" s="162" t="s">
        <v>96</v>
      </c>
      <c r="F340" s="162">
        <v>231</v>
      </c>
      <c r="G340" s="162">
        <v>1</v>
      </c>
      <c r="H340" s="162">
        <v>38332</v>
      </c>
      <c r="I340" s="162" t="s">
        <v>408</v>
      </c>
      <c r="J340" s="171">
        <v>12</v>
      </c>
      <c r="K340" s="162" t="s">
        <v>71</v>
      </c>
      <c r="L340" s="163" t="s">
        <v>110</v>
      </c>
      <c r="M340" s="162" t="s">
        <v>135</v>
      </c>
      <c r="N340" s="161" t="s">
        <v>91</v>
      </c>
      <c r="O340" s="161">
        <v>12</v>
      </c>
      <c r="P340" s="163">
        <v>12</v>
      </c>
      <c r="Q340" s="163"/>
      <c r="R340" s="162"/>
      <c r="S340" s="164">
        <f>TABLAINV[[#This Row],[Conteo Físico]]-TABLAINV[[#This Row],[Cant. UND]]</f>
        <v>0</v>
      </c>
      <c r="T34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0" s="165" t="str">
        <f>IFERROR(IF(MOD(TABLAINV[[#This Row],[C]],2)=0,"PAR","IMPAR"),"Zona")</f>
        <v>IMPAR</v>
      </c>
      <c r="W340" s="166"/>
      <c r="X340" s="167">
        <f>IFERROR(IF(TABLAINV[[#This Row],[Cant. UND]]=0,TABLAINV[[#This Row],[PMV]]*TABLAINV[[#This Row],[Conteo Físico]],TABLAINV[[#This Row],[PMV]]*TABLAINV[[#This Row],[Cant. UND]]),0)</f>
        <v>0</v>
      </c>
      <c r="Y340" s="167">
        <f>IFERROR(ABS(TABLAINV[[#This Row],[PMV]]*TABLAINV[[#This Row],[Diferencia]]),0)</f>
        <v>0</v>
      </c>
      <c r="Z340" s="168">
        <f>IFERROR(VLOOKUP(TABLAINV[[#This Row],[Codigo Estado]],unds!O:P,2,0),"PEND.")</f>
        <v>2002</v>
      </c>
      <c r="AA340" s="168" t="str">
        <f t="shared" si="19"/>
        <v>CD09</v>
      </c>
      <c r="AB340" s="169">
        <f t="shared" ca="1" si="20"/>
        <v>45827</v>
      </c>
      <c r="AC340" s="1"/>
      <c r="AD340" s="1"/>
      <c r="AE340" s="1"/>
      <c r="AF340" s="1"/>
    </row>
    <row r="341" spans="1:32" ht="15" customHeight="1" x14ac:dyDescent="0.2">
      <c r="A341" s="170" t="str">
        <f t="shared" si="18"/>
        <v>MRC01</v>
      </c>
      <c r="B341" s="160" t="str">
        <f>IF(TABLAINV[[#This Row],[Z]]="","",D341&amp;"."&amp;TEXT(E341,"000")&amp;"."&amp;TEXT(F341,"000")&amp;"."&amp;TEXT(G341,"000"))</f>
        <v>MR.C01.231.001</v>
      </c>
      <c r="C341" s="161"/>
      <c r="D341" s="162" t="s">
        <v>95</v>
      </c>
      <c r="E341" s="162" t="s">
        <v>96</v>
      </c>
      <c r="F341" s="162">
        <v>231</v>
      </c>
      <c r="G341" s="162">
        <v>1</v>
      </c>
      <c r="H341" s="162">
        <v>404957</v>
      </c>
      <c r="I341" s="162" t="s">
        <v>409</v>
      </c>
      <c r="J341" s="171">
        <v>12</v>
      </c>
      <c r="K341" s="162" t="s">
        <v>71</v>
      </c>
      <c r="L341" s="163" t="s">
        <v>115</v>
      </c>
      <c r="M341" s="162" t="s">
        <v>99</v>
      </c>
      <c r="N341" s="161" t="s">
        <v>91</v>
      </c>
      <c r="O341" s="161">
        <v>12</v>
      </c>
      <c r="P341" s="163">
        <v>12</v>
      </c>
      <c r="Q341" s="163"/>
      <c r="R341" s="162"/>
      <c r="S341" s="164">
        <f>TABLAINV[[#This Row],[Conteo Físico]]-TABLAINV[[#This Row],[Cant. UND]]</f>
        <v>0</v>
      </c>
      <c r="T34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1" s="165" t="str">
        <f>IFERROR(IF(MOD(TABLAINV[[#This Row],[C]],2)=0,"PAR","IMPAR"),"Zona")</f>
        <v>IMPAR</v>
      </c>
      <c r="W341" s="166"/>
      <c r="X341" s="167">
        <f>IFERROR(IF(TABLAINV[[#This Row],[Cant. UND]]=0,TABLAINV[[#This Row],[PMV]]*TABLAINV[[#This Row],[Conteo Físico]],TABLAINV[[#This Row],[PMV]]*TABLAINV[[#This Row],[Cant. UND]]),0)</f>
        <v>0</v>
      </c>
      <c r="Y341" s="167">
        <f>IFERROR(ABS(TABLAINV[[#This Row],[PMV]]*TABLAINV[[#This Row],[Diferencia]]),0)</f>
        <v>0</v>
      </c>
      <c r="Z341" s="168">
        <f>IFERROR(VLOOKUP(TABLAINV[[#This Row],[Codigo Estado]],unds!O:P,2,0),"PEND.")</f>
        <v>2002</v>
      </c>
      <c r="AA341" s="168" t="str">
        <f t="shared" si="19"/>
        <v>CD09</v>
      </c>
      <c r="AB341" s="169">
        <f t="shared" ca="1" si="20"/>
        <v>45827</v>
      </c>
      <c r="AC341" s="1"/>
      <c r="AD341" s="1"/>
      <c r="AE341" s="1"/>
      <c r="AF341" s="1"/>
    </row>
    <row r="342" spans="1:32" ht="15" customHeight="1" x14ac:dyDescent="0.2">
      <c r="A342" s="170" t="str">
        <f t="shared" si="18"/>
        <v>MRC01</v>
      </c>
      <c r="B342" s="160" t="str">
        <f>IF(TABLAINV[[#This Row],[Z]]="","",D342&amp;"."&amp;TEXT(E342,"000")&amp;"."&amp;TEXT(F342,"000")&amp;"."&amp;TEXT(G342,"000"))</f>
        <v>MR.C01.231.001</v>
      </c>
      <c r="C342" s="161"/>
      <c r="D342" s="162" t="s">
        <v>95</v>
      </c>
      <c r="E342" s="162" t="s">
        <v>96</v>
      </c>
      <c r="F342" s="162">
        <v>231</v>
      </c>
      <c r="G342" s="162">
        <v>1</v>
      </c>
      <c r="H342" s="162">
        <v>438370</v>
      </c>
      <c r="I342" s="162" t="s">
        <v>410</v>
      </c>
      <c r="J342" s="171">
        <v>12</v>
      </c>
      <c r="K342" s="162" t="s">
        <v>71</v>
      </c>
      <c r="L342" s="163" t="s">
        <v>115</v>
      </c>
      <c r="M342" s="162" t="s">
        <v>99</v>
      </c>
      <c r="N342" s="161" t="s">
        <v>91</v>
      </c>
      <c r="O342" s="161">
        <v>12</v>
      </c>
      <c r="P342" s="163">
        <v>12</v>
      </c>
      <c r="Q342" s="163"/>
      <c r="R342" s="162"/>
      <c r="S342" s="164">
        <f>TABLAINV[[#This Row],[Conteo Físico]]-TABLAINV[[#This Row],[Cant. UND]]</f>
        <v>0</v>
      </c>
      <c r="T34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2" s="165" t="str">
        <f>IFERROR(IF(MOD(TABLAINV[[#This Row],[C]],2)=0,"PAR","IMPAR"),"Zona")</f>
        <v>IMPAR</v>
      </c>
      <c r="W342" s="166"/>
      <c r="X342" s="167">
        <f>IFERROR(IF(TABLAINV[[#This Row],[Cant. UND]]=0,TABLAINV[[#This Row],[PMV]]*TABLAINV[[#This Row],[Conteo Físico]],TABLAINV[[#This Row],[PMV]]*TABLAINV[[#This Row],[Cant. UND]]),0)</f>
        <v>0</v>
      </c>
      <c r="Y342" s="167">
        <f>IFERROR(ABS(TABLAINV[[#This Row],[PMV]]*TABLAINV[[#This Row],[Diferencia]]),0)</f>
        <v>0</v>
      </c>
      <c r="Z342" s="168">
        <f>IFERROR(VLOOKUP(TABLAINV[[#This Row],[Codigo Estado]],unds!O:P,2,0),"PEND.")</f>
        <v>2002</v>
      </c>
      <c r="AA342" s="168" t="str">
        <f t="shared" si="19"/>
        <v>CD09</v>
      </c>
      <c r="AB342" s="169">
        <f t="shared" ca="1" si="20"/>
        <v>45827</v>
      </c>
      <c r="AC342" s="1"/>
      <c r="AD342" s="1"/>
      <c r="AE342" s="1"/>
      <c r="AF342" s="1"/>
    </row>
    <row r="343" spans="1:32" ht="15" customHeight="1" x14ac:dyDescent="0.2">
      <c r="A343" s="170" t="str">
        <f t="shared" si="18"/>
        <v>MRC01</v>
      </c>
      <c r="B343" s="160" t="str">
        <f>IF(TABLAINV[[#This Row],[Z]]="","",D343&amp;"."&amp;TEXT(E343,"000")&amp;"."&amp;TEXT(F343,"000")&amp;"."&amp;TEXT(G343,"000"))</f>
        <v>MR.C01.231.001</v>
      </c>
      <c r="C343" s="161"/>
      <c r="D343" s="162" t="s">
        <v>95</v>
      </c>
      <c r="E343" s="162" t="s">
        <v>96</v>
      </c>
      <c r="F343" s="162">
        <v>231</v>
      </c>
      <c r="G343" s="162">
        <v>1</v>
      </c>
      <c r="H343" s="162">
        <v>531596004</v>
      </c>
      <c r="I343" s="162" t="s">
        <v>411</v>
      </c>
      <c r="J343" s="171">
        <v>230</v>
      </c>
      <c r="K343" s="162" t="s">
        <v>71</v>
      </c>
      <c r="L343" s="163" t="s">
        <v>108</v>
      </c>
      <c r="M343" s="162" t="s">
        <v>99</v>
      </c>
      <c r="N343" s="161" t="s">
        <v>91</v>
      </c>
      <c r="O343" s="161">
        <v>230</v>
      </c>
      <c r="P343" s="163">
        <v>230</v>
      </c>
      <c r="Q343" s="163"/>
      <c r="R343" s="162"/>
      <c r="S343" s="164">
        <f>TABLAINV[[#This Row],[Conteo Físico]]-TABLAINV[[#This Row],[Cant. UND]]</f>
        <v>0</v>
      </c>
      <c r="T34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3" s="165" t="str">
        <f>IFERROR(IF(MOD(TABLAINV[[#This Row],[C]],2)=0,"PAR","IMPAR"),"Zona")</f>
        <v>IMPAR</v>
      </c>
      <c r="W343" s="166"/>
      <c r="X343" s="167">
        <f>IFERROR(IF(TABLAINV[[#This Row],[Cant. UND]]=0,TABLAINV[[#This Row],[PMV]]*TABLAINV[[#This Row],[Conteo Físico]],TABLAINV[[#This Row],[PMV]]*TABLAINV[[#This Row],[Cant. UND]]),0)</f>
        <v>0</v>
      </c>
      <c r="Y343" s="167">
        <f>IFERROR(ABS(TABLAINV[[#This Row],[PMV]]*TABLAINV[[#This Row],[Diferencia]]),0)</f>
        <v>0</v>
      </c>
      <c r="Z343" s="168">
        <f>IFERROR(VLOOKUP(TABLAINV[[#This Row],[Codigo Estado]],unds!O:P,2,0),"PEND.")</f>
        <v>2002</v>
      </c>
      <c r="AA343" s="168" t="str">
        <f t="shared" si="19"/>
        <v>CD09</v>
      </c>
      <c r="AB343" s="169">
        <f t="shared" ca="1" si="20"/>
        <v>45827</v>
      </c>
      <c r="AC343" s="1"/>
      <c r="AD343" s="1"/>
      <c r="AE343" s="1"/>
      <c r="AF343" s="1"/>
    </row>
    <row r="344" spans="1:32" ht="15" customHeight="1" x14ac:dyDescent="0.2">
      <c r="A344" s="170" t="str">
        <f t="shared" si="18"/>
        <v>MRC01</v>
      </c>
      <c r="B344" s="160" t="str">
        <f>IF(TABLAINV[[#This Row],[Z]]="","",D344&amp;"."&amp;TEXT(E344,"000")&amp;"."&amp;TEXT(F344,"000")&amp;"."&amp;TEXT(G344,"000"))</f>
        <v>MR.C01.231.001</v>
      </c>
      <c r="C344" s="161"/>
      <c r="D344" s="162" t="s">
        <v>95</v>
      </c>
      <c r="E344" s="162" t="s">
        <v>96</v>
      </c>
      <c r="F344" s="162">
        <v>231</v>
      </c>
      <c r="G344" s="162">
        <v>1</v>
      </c>
      <c r="H344" s="162">
        <v>531596004</v>
      </c>
      <c r="I344" s="162" t="s">
        <v>411</v>
      </c>
      <c r="J344" s="171">
        <v>10</v>
      </c>
      <c r="K344" s="162" t="s">
        <v>71</v>
      </c>
      <c r="L344" s="163" t="s">
        <v>108</v>
      </c>
      <c r="M344" s="162" t="s">
        <v>99</v>
      </c>
      <c r="N344" s="161" t="s">
        <v>91</v>
      </c>
      <c r="O344" s="161">
        <v>10</v>
      </c>
      <c r="P344" s="163">
        <v>10</v>
      </c>
      <c r="Q344" s="163"/>
      <c r="R344" s="162"/>
      <c r="S344" s="164">
        <f>TABLAINV[[#This Row],[Conteo Físico]]-TABLAINV[[#This Row],[Cant. UND]]</f>
        <v>0</v>
      </c>
      <c r="T34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4" s="165" t="str">
        <f>IFERROR(IF(MOD(TABLAINV[[#This Row],[C]],2)=0,"PAR","IMPAR"),"Zona")</f>
        <v>IMPAR</v>
      </c>
      <c r="W344" s="166"/>
      <c r="X344" s="167">
        <f>IFERROR(IF(TABLAINV[[#This Row],[Cant. UND]]=0,TABLAINV[[#This Row],[PMV]]*TABLAINV[[#This Row],[Conteo Físico]],TABLAINV[[#This Row],[PMV]]*TABLAINV[[#This Row],[Cant. UND]]),0)</f>
        <v>0</v>
      </c>
      <c r="Y344" s="167">
        <f>IFERROR(ABS(TABLAINV[[#This Row],[PMV]]*TABLAINV[[#This Row],[Diferencia]]),0)</f>
        <v>0</v>
      </c>
      <c r="Z344" s="168">
        <f>IFERROR(VLOOKUP(TABLAINV[[#This Row],[Codigo Estado]],unds!O:P,2,0),"PEND.")</f>
        <v>2002</v>
      </c>
      <c r="AA344" s="168" t="str">
        <f t="shared" si="19"/>
        <v>CD09</v>
      </c>
      <c r="AB344" s="169">
        <f t="shared" ca="1" si="20"/>
        <v>45827</v>
      </c>
      <c r="AC344" s="1"/>
      <c r="AD344" s="1"/>
      <c r="AE344" s="1"/>
      <c r="AF344" s="1"/>
    </row>
    <row r="345" spans="1:32" ht="15" customHeight="1" x14ac:dyDescent="0.2">
      <c r="A345" s="170" t="str">
        <f t="shared" si="18"/>
        <v>MRC01</v>
      </c>
      <c r="B345" s="160" t="str">
        <f>IF(TABLAINV[[#This Row],[Z]]="","",D345&amp;"."&amp;TEXT(E345,"000")&amp;"."&amp;TEXT(F345,"000")&amp;"."&amp;TEXT(G345,"000"))</f>
        <v>MR.C01.231.001</v>
      </c>
      <c r="C345" s="161"/>
      <c r="D345" s="162" t="s">
        <v>95</v>
      </c>
      <c r="E345" s="162" t="s">
        <v>96</v>
      </c>
      <c r="F345" s="162">
        <v>231</v>
      </c>
      <c r="G345" s="162">
        <v>1</v>
      </c>
      <c r="H345" s="162">
        <v>531596004</v>
      </c>
      <c r="I345" s="162" t="s">
        <v>411</v>
      </c>
      <c r="J345" s="171">
        <v>10</v>
      </c>
      <c r="K345" s="162" t="s">
        <v>71</v>
      </c>
      <c r="L345" s="163" t="s">
        <v>108</v>
      </c>
      <c r="M345" s="162" t="s">
        <v>99</v>
      </c>
      <c r="N345" s="161" t="s">
        <v>91</v>
      </c>
      <c r="O345" s="161">
        <v>10</v>
      </c>
      <c r="P345" s="163">
        <v>10</v>
      </c>
      <c r="Q345" s="163"/>
      <c r="R345" s="162"/>
      <c r="S345" s="164">
        <f>TABLAINV[[#This Row],[Conteo Físico]]-TABLAINV[[#This Row],[Cant. UND]]</f>
        <v>0</v>
      </c>
      <c r="T34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5" s="165" t="str">
        <f>IFERROR(IF(MOD(TABLAINV[[#This Row],[C]],2)=0,"PAR","IMPAR"),"Zona")</f>
        <v>IMPAR</v>
      </c>
      <c r="W345" s="166"/>
      <c r="X345" s="167">
        <f>IFERROR(IF(TABLAINV[[#This Row],[Cant. UND]]=0,TABLAINV[[#This Row],[PMV]]*TABLAINV[[#This Row],[Conteo Físico]],TABLAINV[[#This Row],[PMV]]*TABLAINV[[#This Row],[Cant. UND]]),0)</f>
        <v>0</v>
      </c>
      <c r="Y345" s="167">
        <f>IFERROR(ABS(TABLAINV[[#This Row],[PMV]]*TABLAINV[[#This Row],[Diferencia]]),0)</f>
        <v>0</v>
      </c>
      <c r="Z345" s="168">
        <f>IFERROR(VLOOKUP(TABLAINV[[#This Row],[Codigo Estado]],unds!O:P,2,0),"PEND.")</f>
        <v>2002</v>
      </c>
      <c r="AA345" s="168" t="str">
        <f t="shared" si="19"/>
        <v>CD09</v>
      </c>
      <c r="AB345" s="169">
        <f t="shared" ca="1" si="20"/>
        <v>45827</v>
      </c>
      <c r="AC345" s="1"/>
      <c r="AD345" s="1"/>
      <c r="AE345" s="1"/>
      <c r="AF345" s="1"/>
    </row>
    <row r="346" spans="1:32" ht="15" customHeight="1" x14ac:dyDescent="0.2">
      <c r="A346" s="170" t="str">
        <f t="shared" si="18"/>
        <v>MRC01</v>
      </c>
      <c r="B346" s="160" t="str">
        <f>IF(TABLAINV[[#This Row],[Z]]="","",D346&amp;"."&amp;TEXT(E346,"000")&amp;"."&amp;TEXT(F346,"000")&amp;"."&amp;TEXT(G346,"000"))</f>
        <v>MR.C01.231.001</v>
      </c>
      <c r="C346" s="161"/>
      <c r="D346" s="162" t="s">
        <v>95</v>
      </c>
      <c r="E346" s="162" t="s">
        <v>96</v>
      </c>
      <c r="F346" s="162">
        <v>231</v>
      </c>
      <c r="G346" s="162">
        <v>1</v>
      </c>
      <c r="H346" s="162">
        <v>531596004</v>
      </c>
      <c r="I346" s="162" t="s">
        <v>411</v>
      </c>
      <c r="J346" s="171">
        <v>10</v>
      </c>
      <c r="K346" s="162" t="s">
        <v>71</v>
      </c>
      <c r="L346" s="163" t="s">
        <v>108</v>
      </c>
      <c r="M346" s="162" t="s">
        <v>99</v>
      </c>
      <c r="N346" s="161" t="s">
        <v>91</v>
      </c>
      <c r="O346" s="161">
        <v>10</v>
      </c>
      <c r="P346" s="163">
        <v>10</v>
      </c>
      <c r="Q346" s="163"/>
      <c r="R346" s="162"/>
      <c r="S346" s="164">
        <f>TABLAINV[[#This Row],[Conteo Físico]]-TABLAINV[[#This Row],[Cant. UND]]</f>
        <v>0</v>
      </c>
      <c r="T34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6" s="165" t="str">
        <f>IFERROR(IF(MOD(TABLAINV[[#This Row],[C]],2)=0,"PAR","IMPAR"),"Zona")</f>
        <v>IMPAR</v>
      </c>
      <c r="W346" s="166"/>
      <c r="X346" s="167">
        <f>IFERROR(IF(TABLAINV[[#This Row],[Cant. UND]]=0,TABLAINV[[#This Row],[PMV]]*TABLAINV[[#This Row],[Conteo Físico]],TABLAINV[[#This Row],[PMV]]*TABLAINV[[#This Row],[Cant. UND]]),0)</f>
        <v>0</v>
      </c>
      <c r="Y346" s="167">
        <f>IFERROR(ABS(TABLAINV[[#This Row],[PMV]]*TABLAINV[[#This Row],[Diferencia]]),0)</f>
        <v>0</v>
      </c>
      <c r="Z346" s="168">
        <f>IFERROR(VLOOKUP(TABLAINV[[#This Row],[Codigo Estado]],unds!O:P,2,0),"PEND.")</f>
        <v>2002</v>
      </c>
      <c r="AA346" s="168" t="str">
        <f t="shared" si="19"/>
        <v>CD09</v>
      </c>
      <c r="AB346" s="169">
        <f t="shared" ca="1" si="20"/>
        <v>45827</v>
      </c>
      <c r="AC346" s="1"/>
      <c r="AD346" s="1"/>
      <c r="AE346" s="1"/>
      <c r="AF346" s="1"/>
    </row>
    <row r="347" spans="1:32" ht="15" customHeight="1" x14ac:dyDescent="0.2">
      <c r="A347" s="170" t="str">
        <f t="shared" si="18"/>
        <v>MRC01</v>
      </c>
      <c r="B347" s="160" t="str">
        <f>IF(TABLAINV[[#This Row],[Z]]="","",D347&amp;"."&amp;TEXT(E347,"000")&amp;"."&amp;TEXT(F347,"000")&amp;"."&amp;TEXT(G347,"000"))</f>
        <v>MR.C01.231.001</v>
      </c>
      <c r="C347" s="161"/>
      <c r="D347" s="162" t="s">
        <v>95</v>
      </c>
      <c r="E347" s="162" t="s">
        <v>96</v>
      </c>
      <c r="F347" s="162">
        <v>231</v>
      </c>
      <c r="G347" s="162">
        <v>1</v>
      </c>
      <c r="H347" s="162">
        <v>531596004</v>
      </c>
      <c r="I347" s="162" t="s">
        <v>411</v>
      </c>
      <c r="J347" s="171">
        <v>10</v>
      </c>
      <c r="K347" s="162" t="s">
        <v>71</v>
      </c>
      <c r="L347" s="163" t="s">
        <v>108</v>
      </c>
      <c r="M347" s="162" t="s">
        <v>99</v>
      </c>
      <c r="N347" s="161" t="s">
        <v>91</v>
      </c>
      <c r="O347" s="161">
        <v>10</v>
      </c>
      <c r="P347" s="163">
        <v>10</v>
      </c>
      <c r="Q347" s="163"/>
      <c r="R347" s="162"/>
      <c r="S347" s="164">
        <f>TABLAINV[[#This Row],[Conteo Físico]]-TABLAINV[[#This Row],[Cant. UND]]</f>
        <v>0</v>
      </c>
      <c r="T34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7" s="165" t="str">
        <f>IFERROR(IF(MOD(TABLAINV[[#This Row],[C]],2)=0,"PAR","IMPAR"),"Zona")</f>
        <v>IMPAR</v>
      </c>
      <c r="W347" s="166"/>
      <c r="X347" s="167">
        <f>IFERROR(IF(TABLAINV[[#This Row],[Cant. UND]]=0,TABLAINV[[#This Row],[PMV]]*TABLAINV[[#This Row],[Conteo Físico]],TABLAINV[[#This Row],[PMV]]*TABLAINV[[#This Row],[Cant. UND]]),0)</f>
        <v>0</v>
      </c>
      <c r="Y347" s="167">
        <f>IFERROR(ABS(TABLAINV[[#This Row],[PMV]]*TABLAINV[[#This Row],[Diferencia]]),0)</f>
        <v>0</v>
      </c>
      <c r="Z347" s="168">
        <f>IFERROR(VLOOKUP(TABLAINV[[#This Row],[Codigo Estado]],unds!O:P,2,0),"PEND.")</f>
        <v>2002</v>
      </c>
      <c r="AA347" s="168" t="str">
        <f t="shared" si="19"/>
        <v>CD09</v>
      </c>
      <c r="AB347" s="169">
        <f t="shared" ca="1" si="20"/>
        <v>45827</v>
      </c>
      <c r="AC347" s="1"/>
      <c r="AD347" s="1"/>
      <c r="AE347" s="1"/>
      <c r="AF347" s="1"/>
    </row>
    <row r="348" spans="1:32" ht="15" customHeight="1" x14ac:dyDescent="0.2">
      <c r="A348" s="170" t="str">
        <f t="shared" si="18"/>
        <v>MRC01</v>
      </c>
      <c r="B348" s="160" t="str">
        <f>IF(TABLAINV[[#This Row],[Z]]="","",D348&amp;"."&amp;TEXT(E348,"000")&amp;"."&amp;TEXT(F348,"000")&amp;"."&amp;TEXT(G348,"000"))</f>
        <v>MR.C01.231.001</v>
      </c>
      <c r="C348" s="161"/>
      <c r="D348" s="162" t="s">
        <v>95</v>
      </c>
      <c r="E348" s="162" t="s">
        <v>96</v>
      </c>
      <c r="F348" s="162">
        <v>231</v>
      </c>
      <c r="G348" s="162">
        <v>1</v>
      </c>
      <c r="H348" s="162">
        <v>531596004</v>
      </c>
      <c r="I348" s="162" t="s">
        <v>411</v>
      </c>
      <c r="J348" s="171">
        <v>10</v>
      </c>
      <c r="K348" s="162" t="s">
        <v>71</v>
      </c>
      <c r="L348" s="163" t="s">
        <v>108</v>
      </c>
      <c r="M348" s="162" t="s">
        <v>99</v>
      </c>
      <c r="N348" s="161" t="s">
        <v>91</v>
      </c>
      <c r="O348" s="161">
        <v>10</v>
      </c>
      <c r="P348" s="163">
        <v>10</v>
      </c>
      <c r="Q348" s="163"/>
      <c r="R348" s="162"/>
      <c r="S348" s="164">
        <f>TABLAINV[[#This Row],[Conteo Físico]]-TABLAINV[[#This Row],[Cant. UND]]</f>
        <v>0</v>
      </c>
      <c r="T34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8" s="165" t="str">
        <f>IFERROR(IF(MOD(TABLAINV[[#This Row],[C]],2)=0,"PAR","IMPAR"),"Zona")</f>
        <v>IMPAR</v>
      </c>
      <c r="W348" s="166"/>
      <c r="X348" s="167">
        <f>IFERROR(IF(TABLAINV[[#This Row],[Cant. UND]]=0,TABLAINV[[#This Row],[PMV]]*TABLAINV[[#This Row],[Conteo Físico]],TABLAINV[[#This Row],[PMV]]*TABLAINV[[#This Row],[Cant. UND]]),0)</f>
        <v>0</v>
      </c>
      <c r="Y348" s="167">
        <f>IFERROR(ABS(TABLAINV[[#This Row],[PMV]]*TABLAINV[[#This Row],[Diferencia]]),0)</f>
        <v>0</v>
      </c>
      <c r="Z348" s="168">
        <f>IFERROR(VLOOKUP(TABLAINV[[#This Row],[Codigo Estado]],unds!O:P,2,0),"PEND.")</f>
        <v>2002</v>
      </c>
      <c r="AA348" s="168" t="str">
        <f t="shared" si="19"/>
        <v>CD09</v>
      </c>
      <c r="AB348" s="169">
        <f t="shared" ca="1" si="20"/>
        <v>45827</v>
      </c>
      <c r="AC348" s="1"/>
      <c r="AD348" s="1"/>
      <c r="AE348" s="1"/>
      <c r="AF348" s="1"/>
    </row>
    <row r="349" spans="1:32" ht="15" customHeight="1" x14ac:dyDescent="0.2">
      <c r="A349" s="170" t="str">
        <f t="shared" si="18"/>
        <v>MRC01</v>
      </c>
      <c r="B349" s="160" t="str">
        <f>IF(TABLAINV[[#This Row],[Z]]="","",D349&amp;"."&amp;TEXT(E349,"000")&amp;"."&amp;TEXT(F349,"000")&amp;"."&amp;TEXT(G349,"000"))</f>
        <v>MR.C01.231.001</v>
      </c>
      <c r="C349" s="161"/>
      <c r="D349" s="162" t="s">
        <v>95</v>
      </c>
      <c r="E349" s="162" t="s">
        <v>96</v>
      </c>
      <c r="F349" s="162">
        <v>231</v>
      </c>
      <c r="G349" s="162">
        <v>1</v>
      </c>
      <c r="H349" s="162">
        <v>531596004</v>
      </c>
      <c r="I349" s="162" t="s">
        <v>411</v>
      </c>
      <c r="J349" s="171">
        <v>10</v>
      </c>
      <c r="K349" s="162" t="s">
        <v>71</v>
      </c>
      <c r="L349" s="163" t="s">
        <v>108</v>
      </c>
      <c r="M349" s="162" t="s">
        <v>99</v>
      </c>
      <c r="N349" s="161" t="s">
        <v>91</v>
      </c>
      <c r="O349" s="161">
        <v>10</v>
      </c>
      <c r="P349" s="163">
        <v>10</v>
      </c>
      <c r="Q349" s="163"/>
      <c r="R349" s="162"/>
      <c r="S349" s="164">
        <f>TABLAINV[[#This Row],[Conteo Físico]]-TABLAINV[[#This Row],[Cant. UND]]</f>
        <v>0</v>
      </c>
      <c r="T34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4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49" s="165" t="str">
        <f>IFERROR(IF(MOD(TABLAINV[[#This Row],[C]],2)=0,"PAR","IMPAR"),"Zona")</f>
        <v>IMPAR</v>
      </c>
      <c r="W349" s="166"/>
      <c r="X349" s="167">
        <f>IFERROR(IF(TABLAINV[[#This Row],[Cant. UND]]=0,TABLAINV[[#This Row],[PMV]]*TABLAINV[[#This Row],[Conteo Físico]],TABLAINV[[#This Row],[PMV]]*TABLAINV[[#This Row],[Cant. UND]]),0)</f>
        <v>0</v>
      </c>
      <c r="Y349" s="167">
        <f>IFERROR(ABS(TABLAINV[[#This Row],[PMV]]*TABLAINV[[#This Row],[Diferencia]]),0)</f>
        <v>0</v>
      </c>
      <c r="Z349" s="168">
        <f>IFERROR(VLOOKUP(TABLAINV[[#This Row],[Codigo Estado]],unds!O:P,2,0),"PEND.")</f>
        <v>2002</v>
      </c>
      <c r="AA349" s="168" t="str">
        <f t="shared" si="19"/>
        <v>CD09</v>
      </c>
      <c r="AB349" s="169">
        <f t="shared" ca="1" si="20"/>
        <v>45827</v>
      </c>
      <c r="AC349" s="1"/>
      <c r="AD349" s="1"/>
      <c r="AE349" s="1"/>
      <c r="AF349" s="1"/>
    </row>
    <row r="350" spans="1:32" ht="15" customHeight="1" x14ac:dyDescent="0.2">
      <c r="A350" s="170" t="str">
        <f t="shared" si="18"/>
        <v>MRC01</v>
      </c>
      <c r="B350" s="160" t="str">
        <f>IF(TABLAINV[[#This Row],[Z]]="","",D350&amp;"."&amp;TEXT(E350,"000")&amp;"."&amp;TEXT(F350,"000")&amp;"."&amp;TEXT(G350,"000"))</f>
        <v>MR.C01.231.001</v>
      </c>
      <c r="C350" s="161"/>
      <c r="D350" s="162" t="s">
        <v>95</v>
      </c>
      <c r="E350" s="162" t="s">
        <v>96</v>
      </c>
      <c r="F350" s="162">
        <v>231</v>
      </c>
      <c r="G350" s="162">
        <v>1</v>
      </c>
      <c r="H350" s="162">
        <v>531596004</v>
      </c>
      <c r="I350" s="162" t="s">
        <v>411</v>
      </c>
      <c r="J350" s="171">
        <v>10</v>
      </c>
      <c r="K350" s="162" t="s">
        <v>71</v>
      </c>
      <c r="L350" s="163" t="s">
        <v>108</v>
      </c>
      <c r="M350" s="162" t="s">
        <v>99</v>
      </c>
      <c r="N350" s="161" t="s">
        <v>91</v>
      </c>
      <c r="O350" s="161">
        <v>10</v>
      </c>
      <c r="P350" s="163">
        <v>10</v>
      </c>
      <c r="Q350" s="163"/>
      <c r="R350" s="162"/>
      <c r="S350" s="164">
        <f>TABLAINV[[#This Row],[Conteo Físico]]-TABLAINV[[#This Row],[Cant. UND]]</f>
        <v>0</v>
      </c>
      <c r="T35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0" s="165" t="str">
        <f>IFERROR(IF(MOD(TABLAINV[[#This Row],[C]],2)=0,"PAR","IMPAR"),"Zona")</f>
        <v>IMPAR</v>
      </c>
      <c r="W350" s="166"/>
      <c r="X350" s="167">
        <f>IFERROR(IF(TABLAINV[[#This Row],[Cant. UND]]=0,TABLAINV[[#This Row],[PMV]]*TABLAINV[[#This Row],[Conteo Físico]],TABLAINV[[#This Row],[PMV]]*TABLAINV[[#This Row],[Cant. UND]]),0)</f>
        <v>0</v>
      </c>
      <c r="Y350" s="167">
        <f>IFERROR(ABS(TABLAINV[[#This Row],[PMV]]*TABLAINV[[#This Row],[Diferencia]]),0)</f>
        <v>0</v>
      </c>
      <c r="Z350" s="168">
        <f>IFERROR(VLOOKUP(TABLAINV[[#This Row],[Codigo Estado]],unds!O:P,2,0),"PEND.")</f>
        <v>2002</v>
      </c>
      <c r="AA350" s="168" t="str">
        <f t="shared" si="19"/>
        <v>CD09</v>
      </c>
      <c r="AB350" s="169">
        <f t="shared" ca="1" si="20"/>
        <v>45827</v>
      </c>
      <c r="AC350" s="1"/>
      <c r="AD350" s="1"/>
      <c r="AE350" s="1"/>
      <c r="AF350" s="1"/>
    </row>
    <row r="351" spans="1:32" ht="15" customHeight="1" x14ac:dyDescent="0.2">
      <c r="A351" s="170" t="str">
        <f t="shared" si="18"/>
        <v>MRC01</v>
      </c>
      <c r="B351" s="160" t="str">
        <f>IF(TABLAINV[[#This Row],[Z]]="","",D351&amp;"."&amp;TEXT(E351,"000")&amp;"."&amp;TEXT(F351,"000")&amp;"."&amp;TEXT(G351,"000"))</f>
        <v>MR.C01.231.001</v>
      </c>
      <c r="C351" s="161"/>
      <c r="D351" s="162" t="s">
        <v>95</v>
      </c>
      <c r="E351" s="162" t="s">
        <v>96</v>
      </c>
      <c r="F351" s="162">
        <v>231</v>
      </c>
      <c r="G351" s="162">
        <v>1</v>
      </c>
      <c r="H351" s="162">
        <v>531596004</v>
      </c>
      <c r="I351" s="162" t="s">
        <v>411</v>
      </c>
      <c r="J351" s="171">
        <v>10</v>
      </c>
      <c r="K351" s="162" t="s">
        <v>71</v>
      </c>
      <c r="L351" s="163" t="s">
        <v>108</v>
      </c>
      <c r="M351" s="162" t="s">
        <v>99</v>
      </c>
      <c r="N351" s="161" t="s">
        <v>91</v>
      </c>
      <c r="O351" s="161">
        <v>10</v>
      </c>
      <c r="P351" s="163">
        <v>10</v>
      </c>
      <c r="Q351" s="163"/>
      <c r="R351" s="162"/>
      <c r="S351" s="164">
        <f>TABLAINV[[#This Row],[Conteo Físico]]-TABLAINV[[#This Row],[Cant. UND]]</f>
        <v>0</v>
      </c>
      <c r="T35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1" s="165" t="str">
        <f>IFERROR(IF(MOD(TABLAINV[[#This Row],[C]],2)=0,"PAR","IMPAR"),"Zona")</f>
        <v>IMPAR</v>
      </c>
      <c r="W351" s="166"/>
      <c r="X351" s="167">
        <f>IFERROR(IF(TABLAINV[[#This Row],[Cant. UND]]=0,TABLAINV[[#This Row],[PMV]]*TABLAINV[[#This Row],[Conteo Físico]],TABLAINV[[#This Row],[PMV]]*TABLAINV[[#This Row],[Cant. UND]]),0)</f>
        <v>0</v>
      </c>
      <c r="Y351" s="167">
        <f>IFERROR(ABS(TABLAINV[[#This Row],[PMV]]*TABLAINV[[#This Row],[Diferencia]]),0)</f>
        <v>0</v>
      </c>
      <c r="Z351" s="168">
        <f>IFERROR(VLOOKUP(TABLAINV[[#This Row],[Codigo Estado]],unds!O:P,2,0),"PEND.")</f>
        <v>2002</v>
      </c>
      <c r="AA351" s="168" t="str">
        <f t="shared" si="19"/>
        <v>CD09</v>
      </c>
      <c r="AB351" s="169">
        <f t="shared" ca="1" si="20"/>
        <v>45827</v>
      </c>
      <c r="AC351" s="1"/>
      <c r="AD351" s="1"/>
      <c r="AE351" s="1"/>
      <c r="AF351" s="1"/>
    </row>
    <row r="352" spans="1:32" ht="15" customHeight="1" x14ac:dyDescent="0.2">
      <c r="A352" s="170" t="str">
        <f t="shared" si="18"/>
        <v>MRC01</v>
      </c>
      <c r="B352" s="160" t="str">
        <f>IF(TABLAINV[[#This Row],[Z]]="","",D352&amp;"."&amp;TEXT(E352,"000")&amp;"."&amp;TEXT(F352,"000")&amp;"."&amp;TEXT(G352,"000"))</f>
        <v>MR.C01.231.001</v>
      </c>
      <c r="C352" s="161"/>
      <c r="D352" s="162" t="s">
        <v>95</v>
      </c>
      <c r="E352" s="162" t="s">
        <v>96</v>
      </c>
      <c r="F352" s="162">
        <v>231</v>
      </c>
      <c r="G352" s="162">
        <v>1</v>
      </c>
      <c r="H352" s="162">
        <v>565765</v>
      </c>
      <c r="I352" s="162" t="s">
        <v>412</v>
      </c>
      <c r="J352" s="171">
        <v>6</v>
      </c>
      <c r="K352" s="162" t="s">
        <v>71</v>
      </c>
      <c r="L352" s="163" t="s">
        <v>115</v>
      </c>
      <c r="M352" s="162" t="s">
        <v>99</v>
      </c>
      <c r="N352" s="161" t="s">
        <v>91</v>
      </c>
      <c r="O352" s="161">
        <v>6</v>
      </c>
      <c r="P352" s="163">
        <v>6</v>
      </c>
      <c r="Q352" s="163"/>
      <c r="R352" s="162"/>
      <c r="S352" s="164">
        <f>TABLAINV[[#This Row],[Conteo Físico]]-TABLAINV[[#This Row],[Cant. UND]]</f>
        <v>0</v>
      </c>
      <c r="T35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2" s="165" t="str">
        <f>IFERROR(IF(MOD(TABLAINV[[#This Row],[C]],2)=0,"PAR","IMPAR"),"Zona")</f>
        <v>IMPAR</v>
      </c>
      <c r="W352" s="166"/>
      <c r="X352" s="167">
        <f>IFERROR(IF(TABLAINV[[#This Row],[Cant. UND]]=0,TABLAINV[[#This Row],[PMV]]*TABLAINV[[#This Row],[Conteo Físico]],TABLAINV[[#This Row],[PMV]]*TABLAINV[[#This Row],[Cant. UND]]),0)</f>
        <v>0</v>
      </c>
      <c r="Y352" s="167">
        <f>IFERROR(ABS(TABLAINV[[#This Row],[PMV]]*TABLAINV[[#This Row],[Diferencia]]),0)</f>
        <v>0</v>
      </c>
      <c r="Z352" s="168">
        <f>IFERROR(VLOOKUP(TABLAINV[[#This Row],[Codigo Estado]],unds!O:P,2,0),"PEND.")</f>
        <v>2002</v>
      </c>
      <c r="AA352" s="168" t="str">
        <f t="shared" si="19"/>
        <v>CD09</v>
      </c>
      <c r="AB352" s="169">
        <f t="shared" ca="1" si="20"/>
        <v>45827</v>
      </c>
      <c r="AC352" s="1"/>
      <c r="AD352" s="1"/>
      <c r="AE352" s="1"/>
      <c r="AF352" s="1"/>
    </row>
    <row r="353" spans="1:32" ht="15" customHeight="1" x14ac:dyDescent="0.2">
      <c r="A353" s="170" t="str">
        <f t="shared" si="18"/>
        <v>MRC01</v>
      </c>
      <c r="B353" s="160" t="str">
        <f>IF(TABLAINV[[#This Row],[Z]]="","",D353&amp;"."&amp;TEXT(E353,"000")&amp;"."&amp;TEXT(F353,"000")&amp;"."&amp;TEXT(G353,"000"))</f>
        <v>MR.C01.231.001</v>
      </c>
      <c r="C353" s="161"/>
      <c r="D353" s="162" t="s">
        <v>95</v>
      </c>
      <c r="E353" s="162" t="s">
        <v>96</v>
      </c>
      <c r="F353" s="162">
        <v>231</v>
      </c>
      <c r="G353" s="162">
        <v>1</v>
      </c>
      <c r="H353" s="162">
        <v>565848</v>
      </c>
      <c r="I353" s="162" t="s">
        <v>413</v>
      </c>
      <c r="J353" s="171">
        <v>8</v>
      </c>
      <c r="K353" s="162" t="s">
        <v>71</v>
      </c>
      <c r="L353" s="163" t="s">
        <v>145</v>
      </c>
      <c r="M353" s="162" t="s">
        <v>99</v>
      </c>
      <c r="N353" s="161" t="s">
        <v>91</v>
      </c>
      <c r="O353" s="161">
        <v>8</v>
      </c>
      <c r="P353" s="163">
        <v>8</v>
      </c>
      <c r="Q353" s="163"/>
      <c r="R353" s="162"/>
      <c r="S353" s="164">
        <f>TABLAINV[[#This Row],[Conteo Físico]]-TABLAINV[[#This Row],[Cant. UND]]</f>
        <v>0</v>
      </c>
      <c r="T35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3" s="165" t="str">
        <f>IFERROR(IF(MOD(TABLAINV[[#This Row],[C]],2)=0,"PAR","IMPAR"),"Zona")</f>
        <v>IMPAR</v>
      </c>
      <c r="W353" s="166"/>
      <c r="X353" s="167">
        <f>IFERROR(IF(TABLAINV[[#This Row],[Cant. UND]]=0,TABLAINV[[#This Row],[PMV]]*TABLAINV[[#This Row],[Conteo Físico]],TABLAINV[[#This Row],[PMV]]*TABLAINV[[#This Row],[Cant. UND]]),0)</f>
        <v>0</v>
      </c>
      <c r="Y353" s="167">
        <f>IFERROR(ABS(TABLAINV[[#This Row],[PMV]]*TABLAINV[[#This Row],[Diferencia]]),0)</f>
        <v>0</v>
      </c>
      <c r="Z353" s="168">
        <f>IFERROR(VLOOKUP(TABLAINV[[#This Row],[Codigo Estado]],unds!O:P,2,0),"PEND.")</f>
        <v>2002</v>
      </c>
      <c r="AA353" s="168" t="str">
        <f t="shared" si="19"/>
        <v>CD09</v>
      </c>
      <c r="AB353" s="169">
        <f t="shared" ca="1" si="20"/>
        <v>45827</v>
      </c>
      <c r="AC353" s="1"/>
      <c r="AD353" s="1"/>
      <c r="AE353" s="1"/>
      <c r="AF353" s="1"/>
    </row>
    <row r="354" spans="1:32" ht="15" customHeight="1" x14ac:dyDescent="0.2">
      <c r="A354" s="170" t="str">
        <f t="shared" si="18"/>
        <v>MRC01</v>
      </c>
      <c r="B354" s="160" t="str">
        <f>IF(TABLAINV[[#This Row],[Z]]="","",D354&amp;"."&amp;TEXT(E354,"000")&amp;"."&amp;TEXT(F354,"000")&amp;"."&amp;TEXT(G354,"000"))</f>
        <v>MR.C01.231.001</v>
      </c>
      <c r="C354" s="161"/>
      <c r="D354" s="162" t="s">
        <v>95</v>
      </c>
      <c r="E354" s="162" t="s">
        <v>96</v>
      </c>
      <c r="F354" s="162">
        <v>231</v>
      </c>
      <c r="G354" s="162">
        <v>1</v>
      </c>
      <c r="H354" s="162">
        <v>713010</v>
      </c>
      <c r="I354" s="162" t="s">
        <v>414</v>
      </c>
      <c r="J354" s="171">
        <v>6</v>
      </c>
      <c r="K354" s="162" t="s">
        <v>71</v>
      </c>
      <c r="L354" s="163" t="s">
        <v>117</v>
      </c>
      <c r="M354" s="162" t="s">
        <v>99</v>
      </c>
      <c r="N354" s="161" t="s">
        <v>91</v>
      </c>
      <c r="O354" s="161">
        <v>6</v>
      </c>
      <c r="P354" s="163">
        <v>6</v>
      </c>
      <c r="Q354" s="163"/>
      <c r="R354" s="162"/>
      <c r="S354" s="164">
        <f>TABLAINV[[#This Row],[Conteo Físico]]-TABLAINV[[#This Row],[Cant. UND]]</f>
        <v>0</v>
      </c>
      <c r="T35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4" s="165" t="str">
        <f>IFERROR(IF(MOD(TABLAINV[[#This Row],[C]],2)=0,"PAR","IMPAR"),"Zona")</f>
        <v>IMPAR</v>
      </c>
      <c r="W354" s="166"/>
      <c r="X354" s="167">
        <f>IFERROR(IF(TABLAINV[[#This Row],[Cant. UND]]=0,TABLAINV[[#This Row],[PMV]]*TABLAINV[[#This Row],[Conteo Físico]],TABLAINV[[#This Row],[PMV]]*TABLAINV[[#This Row],[Cant. UND]]),0)</f>
        <v>0</v>
      </c>
      <c r="Y354" s="167">
        <f>IFERROR(ABS(TABLAINV[[#This Row],[PMV]]*TABLAINV[[#This Row],[Diferencia]]),0)</f>
        <v>0</v>
      </c>
      <c r="Z354" s="168">
        <f>IFERROR(VLOOKUP(TABLAINV[[#This Row],[Codigo Estado]],unds!O:P,2,0),"PEND.")</f>
        <v>2002</v>
      </c>
      <c r="AA354" s="168" t="str">
        <f t="shared" si="19"/>
        <v>CD09</v>
      </c>
      <c r="AB354" s="169">
        <f t="shared" ca="1" si="20"/>
        <v>45827</v>
      </c>
      <c r="AC354" s="1"/>
      <c r="AD354" s="1"/>
      <c r="AE354" s="1"/>
      <c r="AF354" s="1"/>
    </row>
    <row r="355" spans="1:32" ht="15" customHeight="1" x14ac:dyDescent="0.2">
      <c r="A355" s="170" t="str">
        <f t="shared" si="18"/>
        <v>MRC01</v>
      </c>
      <c r="B355" s="160" t="str">
        <f>IF(TABLAINV[[#This Row],[Z]]="","",D355&amp;"."&amp;TEXT(E355,"000")&amp;"."&amp;TEXT(F355,"000")&amp;"."&amp;TEXT(G355,"000"))</f>
        <v>MR.C01.231.001</v>
      </c>
      <c r="C355" s="161"/>
      <c r="D355" s="162" t="s">
        <v>95</v>
      </c>
      <c r="E355" s="162" t="s">
        <v>96</v>
      </c>
      <c r="F355" s="162">
        <v>231</v>
      </c>
      <c r="G355" s="162">
        <v>1</v>
      </c>
      <c r="H355" s="162">
        <v>714167</v>
      </c>
      <c r="I355" s="162" t="s">
        <v>415</v>
      </c>
      <c r="J355" s="171">
        <v>2</v>
      </c>
      <c r="K355" s="162" t="s">
        <v>71</v>
      </c>
      <c r="L355" s="163" t="s">
        <v>99</v>
      </c>
      <c r="M355" s="162" t="s">
        <v>99</v>
      </c>
      <c r="N355" s="161" t="s">
        <v>91</v>
      </c>
      <c r="O355" s="161">
        <v>2</v>
      </c>
      <c r="P355" s="163">
        <v>2</v>
      </c>
      <c r="Q355" s="163"/>
      <c r="R355" s="162"/>
      <c r="S355" s="164">
        <f>TABLAINV[[#This Row],[Conteo Físico]]-TABLAINV[[#This Row],[Cant. UND]]</f>
        <v>0</v>
      </c>
      <c r="T35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5" s="165" t="str">
        <f>IFERROR(IF(MOD(TABLAINV[[#This Row],[C]],2)=0,"PAR","IMPAR"),"Zona")</f>
        <v>IMPAR</v>
      </c>
      <c r="W355" s="166"/>
      <c r="X355" s="167">
        <f>IFERROR(IF(TABLAINV[[#This Row],[Cant. UND]]=0,TABLAINV[[#This Row],[PMV]]*TABLAINV[[#This Row],[Conteo Físico]],TABLAINV[[#This Row],[PMV]]*TABLAINV[[#This Row],[Cant. UND]]),0)</f>
        <v>0</v>
      </c>
      <c r="Y355" s="167">
        <f>IFERROR(ABS(TABLAINV[[#This Row],[PMV]]*TABLAINV[[#This Row],[Diferencia]]),0)</f>
        <v>0</v>
      </c>
      <c r="Z355" s="168">
        <f>IFERROR(VLOOKUP(TABLAINV[[#This Row],[Codigo Estado]],unds!O:P,2,0),"PEND.")</f>
        <v>2002</v>
      </c>
      <c r="AA355" s="168" t="str">
        <f t="shared" si="19"/>
        <v>CD09</v>
      </c>
      <c r="AB355" s="169">
        <f t="shared" ca="1" si="20"/>
        <v>45827</v>
      </c>
      <c r="AC355" s="1"/>
      <c r="AD355" s="1"/>
      <c r="AE355" s="1"/>
      <c r="AF355" s="1"/>
    </row>
    <row r="356" spans="1:32" ht="15" customHeight="1" x14ac:dyDescent="0.2">
      <c r="A356" s="170" t="str">
        <f t="shared" si="18"/>
        <v>MRC01</v>
      </c>
      <c r="B356" s="160" t="str">
        <f>IF(TABLAINV[[#This Row],[Z]]="","",D356&amp;"."&amp;TEXT(E356,"000")&amp;"."&amp;TEXT(F356,"000")&amp;"."&amp;TEXT(G356,"000"))</f>
        <v>MR.C01.231.001</v>
      </c>
      <c r="C356" s="161"/>
      <c r="D356" s="162" t="s">
        <v>95</v>
      </c>
      <c r="E356" s="162" t="s">
        <v>96</v>
      </c>
      <c r="F356" s="162">
        <v>231</v>
      </c>
      <c r="G356" s="162">
        <v>1</v>
      </c>
      <c r="H356" s="162">
        <v>733536</v>
      </c>
      <c r="I356" s="162" t="s">
        <v>349</v>
      </c>
      <c r="J356" s="171">
        <v>1</v>
      </c>
      <c r="K356" s="162" t="s">
        <v>71</v>
      </c>
      <c r="L356" s="163" t="s">
        <v>115</v>
      </c>
      <c r="M356" s="162" t="s">
        <v>99</v>
      </c>
      <c r="N356" s="161" t="s">
        <v>91</v>
      </c>
      <c r="O356" s="161">
        <v>1</v>
      </c>
      <c r="P356" s="163">
        <v>1</v>
      </c>
      <c r="Q356" s="163"/>
      <c r="R356" s="162"/>
      <c r="S356" s="164">
        <f>TABLAINV[[#This Row],[Conteo Físico]]-TABLAINV[[#This Row],[Cant. UND]]</f>
        <v>0</v>
      </c>
      <c r="T35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6" s="165" t="str">
        <f>IFERROR(IF(MOD(TABLAINV[[#This Row],[C]],2)=0,"PAR","IMPAR"),"Zona")</f>
        <v>IMPAR</v>
      </c>
      <c r="W356" s="166"/>
      <c r="X356" s="167">
        <f>IFERROR(IF(TABLAINV[[#This Row],[Cant. UND]]=0,TABLAINV[[#This Row],[PMV]]*TABLAINV[[#This Row],[Conteo Físico]],TABLAINV[[#This Row],[PMV]]*TABLAINV[[#This Row],[Cant. UND]]),0)</f>
        <v>0</v>
      </c>
      <c r="Y356" s="167">
        <f>IFERROR(ABS(TABLAINV[[#This Row],[PMV]]*TABLAINV[[#This Row],[Diferencia]]),0)</f>
        <v>0</v>
      </c>
      <c r="Z356" s="168">
        <f>IFERROR(VLOOKUP(TABLAINV[[#This Row],[Codigo Estado]],unds!O:P,2,0),"PEND.")</f>
        <v>2002</v>
      </c>
      <c r="AA356" s="168" t="str">
        <f t="shared" si="19"/>
        <v>CD09</v>
      </c>
      <c r="AB356" s="169">
        <f t="shared" ca="1" si="20"/>
        <v>45827</v>
      </c>
      <c r="AC356" s="1"/>
      <c r="AD356" s="1"/>
      <c r="AE356" s="1"/>
      <c r="AF356" s="1"/>
    </row>
    <row r="357" spans="1:32" ht="15" customHeight="1" x14ac:dyDescent="0.2">
      <c r="A357" s="170" t="str">
        <f t="shared" si="18"/>
        <v>MRC01</v>
      </c>
      <c r="B357" s="160" t="str">
        <f>IF(TABLAINV[[#This Row],[Z]]="","",D357&amp;"."&amp;TEXT(E357,"000")&amp;"."&amp;TEXT(F357,"000")&amp;"."&amp;TEXT(G357,"000"))</f>
        <v>MR.C01.231.001</v>
      </c>
      <c r="C357" s="161"/>
      <c r="D357" s="162" t="s">
        <v>95</v>
      </c>
      <c r="E357" s="162" t="s">
        <v>96</v>
      </c>
      <c r="F357" s="162">
        <v>231</v>
      </c>
      <c r="G357" s="162">
        <v>1</v>
      </c>
      <c r="H357" s="162">
        <v>734691</v>
      </c>
      <c r="I357" s="162" t="s">
        <v>416</v>
      </c>
      <c r="J357" s="171">
        <v>4</v>
      </c>
      <c r="K357" s="162" t="s">
        <v>71</v>
      </c>
      <c r="L357" s="163" t="s">
        <v>244</v>
      </c>
      <c r="M357" s="162" t="s">
        <v>99</v>
      </c>
      <c r="N357" s="161" t="s">
        <v>91</v>
      </c>
      <c r="O357" s="161">
        <v>4</v>
      </c>
      <c r="P357" s="163">
        <v>4</v>
      </c>
      <c r="Q357" s="163"/>
      <c r="R357" s="162"/>
      <c r="S357" s="164">
        <f>TABLAINV[[#This Row],[Conteo Físico]]-TABLAINV[[#This Row],[Cant. UND]]</f>
        <v>0</v>
      </c>
      <c r="T35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7" s="165" t="str">
        <f>IFERROR(IF(MOD(TABLAINV[[#This Row],[C]],2)=0,"PAR","IMPAR"),"Zona")</f>
        <v>IMPAR</v>
      </c>
      <c r="W357" s="166"/>
      <c r="X357" s="167">
        <f>IFERROR(IF(TABLAINV[[#This Row],[Cant. UND]]=0,TABLAINV[[#This Row],[PMV]]*TABLAINV[[#This Row],[Conteo Físico]],TABLAINV[[#This Row],[PMV]]*TABLAINV[[#This Row],[Cant. UND]]),0)</f>
        <v>0</v>
      </c>
      <c r="Y357" s="167">
        <f>IFERROR(ABS(TABLAINV[[#This Row],[PMV]]*TABLAINV[[#This Row],[Diferencia]]),0)</f>
        <v>0</v>
      </c>
      <c r="Z357" s="168">
        <f>IFERROR(VLOOKUP(TABLAINV[[#This Row],[Codigo Estado]],unds!O:P,2,0),"PEND.")</f>
        <v>2002</v>
      </c>
      <c r="AA357" s="168" t="str">
        <f t="shared" si="19"/>
        <v>CD09</v>
      </c>
      <c r="AB357" s="169">
        <f t="shared" ca="1" si="20"/>
        <v>45827</v>
      </c>
      <c r="AC357" s="1"/>
      <c r="AD357" s="1"/>
      <c r="AE357" s="1"/>
      <c r="AF357" s="1"/>
    </row>
    <row r="358" spans="1:32" ht="15" customHeight="1" x14ac:dyDescent="0.2">
      <c r="A358" s="170" t="str">
        <f t="shared" si="18"/>
        <v>MRC01</v>
      </c>
      <c r="B358" s="160" t="str">
        <f>IF(TABLAINV[[#This Row],[Z]]="","",D358&amp;"."&amp;TEXT(E358,"000")&amp;"."&amp;TEXT(F358,"000")&amp;"."&amp;TEXT(G358,"000"))</f>
        <v>MR.C01.231.001</v>
      </c>
      <c r="C358" s="161"/>
      <c r="D358" s="162" t="s">
        <v>95</v>
      </c>
      <c r="E358" s="162" t="s">
        <v>96</v>
      </c>
      <c r="F358" s="162">
        <v>231</v>
      </c>
      <c r="G358" s="162">
        <v>1</v>
      </c>
      <c r="H358" s="162">
        <v>735373003</v>
      </c>
      <c r="I358" s="162" t="s">
        <v>210</v>
      </c>
      <c r="J358" s="171">
        <v>1</v>
      </c>
      <c r="K358" s="162" t="s">
        <v>71</v>
      </c>
      <c r="L358" s="163" t="s">
        <v>113</v>
      </c>
      <c r="M358" s="162" t="s">
        <v>99</v>
      </c>
      <c r="N358" s="161" t="s">
        <v>91</v>
      </c>
      <c r="O358" s="161">
        <v>1</v>
      </c>
      <c r="P358" s="163">
        <v>1</v>
      </c>
      <c r="Q358" s="163"/>
      <c r="R358" s="162"/>
      <c r="S358" s="164">
        <f>TABLAINV[[#This Row],[Conteo Físico]]-TABLAINV[[#This Row],[Cant. UND]]</f>
        <v>0</v>
      </c>
      <c r="T35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8" s="165" t="str">
        <f>IFERROR(IF(MOD(TABLAINV[[#This Row],[C]],2)=0,"PAR","IMPAR"),"Zona")</f>
        <v>IMPAR</v>
      </c>
      <c r="W358" s="166"/>
      <c r="X358" s="167">
        <f>IFERROR(IF(TABLAINV[[#This Row],[Cant. UND]]=0,TABLAINV[[#This Row],[PMV]]*TABLAINV[[#This Row],[Conteo Físico]],TABLAINV[[#This Row],[PMV]]*TABLAINV[[#This Row],[Cant. UND]]),0)</f>
        <v>0</v>
      </c>
      <c r="Y358" s="167">
        <f>IFERROR(ABS(TABLAINV[[#This Row],[PMV]]*TABLAINV[[#This Row],[Diferencia]]),0)</f>
        <v>0</v>
      </c>
      <c r="Z358" s="168">
        <f>IFERROR(VLOOKUP(TABLAINV[[#This Row],[Codigo Estado]],unds!O:P,2,0),"PEND.")</f>
        <v>2002</v>
      </c>
      <c r="AA358" s="168" t="str">
        <f t="shared" si="19"/>
        <v>CD09</v>
      </c>
      <c r="AB358" s="169">
        <f t="shared" ca="1" si="20"/>
        <v>45827</v>
      </c>
      <c r="AC358" s="1"/>
      <c r="AD358" s="1"/>
      <c r="AE358" s="1"/>
      <c r="AF358" s="1"/>
    </row>
    <row r="359" spans="1:32" ht="15" customHeight="1" x14ac:dyDescent="0.2">
      <c r="A359" s="170" t="str">
        <f t="shared" si="18"/>
        <v>MRC01</v>
      </c>
      <c r="B359" s="160" t="str">
        <f>IF(TABLAINV[[#This Row],[Z]]="","",D359&amp;"."&amp;TEXT(E359,"000")&amp;"."&amp;TEXT(F359,"000")&amp;"."&amp;TEXT(G359,"000"))</f>
        <v>MR.C01.231.001</v>
      </c>
      <c r="C359" s="161"/>
      <c r="D359" s="162" t="s">
        <v>95</v>
      </c>
      <c r="E359" s="162" t="s">
        <v>96</v>
      </c>
      <c r="F359" s="162">
        <v>231</v>
      </c>
      <c r="G359" s="162">
        <v>1</v>
      </c>
      <c r="H359" s="162">
        <v>753538005</v>
      </c>
      <c r="I359" s="162" t="s">
        <v>417</v>
      </c>
      <c r="J359" s="171">
        <v>24</v>
      </c>
      <c r="K359" s="162" t="s">
        <v>71</v>
      </c>
      <c r="L359" s="163" t="s">
        <v>98</v>
      </c>
      <c r="M359" s="162" t="s">
        <v>99</v>
      </c>
      <c r="N359" s="161" t="s">
        <v>91</v>
      </c>
      <c r="O359" s="161">
        <v>24</v>
      </c>
      <c r="P359" s="163">
        <v>24</v>
      </c>
      <c r="Q359" s="163"/>
      <c r="R359" s="162"/>
      <c r="S359" s="164">
        <f>TABLAINV[[#This Row],[Conteo Físico]]-TABLAINV[[#This Row],[Cant. UND]]</f>
        <v>0</v>
      </c>
      <c r="T35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5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59" s="165" t="str">
        <f>IFERROR(IF(MOD(TABLAINV[[#This Row],[C]],2)=0,"PAR","IMPAR"),"Zona")</f>
        <v>IMPAR</v>
      </c>
      <c r="W359" s="166"/>
      <c r="X359" s="167">
        <f>IFERROR(IF(TABLAINV[[#This Row],[Cant. UND]]=0,TABLAINV[[#This Row],[PMV]]*TABLAINV[[#This Row],[Conteo Físico]],TABLAINV[[#This Row],[PMV]]*TABLAINV[[#This Row],[Cant. UND]]),0)</f>
        <v>0</v>
      </c>
      <c r="Y359" s="167">
        <f>IFERROR(ABS(TABLAINV[[#This Row],[PMV]]*TABLAINV[[#This Row],[Diferencia]]),0)</f>
        <v>0</v>
      </c>
      <c r="Z359" s="168">
        <f>IFERROR(VLOOKUP(TABLAINV[[#This Row],[Codigo Estado]],unds!O:P,2,0),"PEND.")</f>
        <v>2002</v>
      </c>
      <c r="AA359" s="168" t="str">
        <f t="shared" si="19"/>
        <v>CD09</v>
      </c>
      <c r="AB359" s="169">
        <f t="shared" ca="1" si="20"/>
        <v>45827</v>
      </c>
      <c r="AC359" s="1"/>
      <c r="AD359" s="1"/>
      <c r="AE359" s="1"/>
      <c r="AF359" s="1"/>
    </row>
    <row r="360" spans="1:32" ht="15" customHeight="1" x14ac:dyDescent="0.2">
      <c r="A360" s="170" t="str">
        <f t="shared" si="18"/>
        <v>MRC01</v>
      </c>
      <c r="B360" s="160" t="str">
        <f>IF(TABLAINV[[#This Row],[Z]]="","",D360&amp;"."&amp;TEXT(E360,"000")&amp;"."&amp;TEXT(F360,"000")&amp;"."&amp;TEXT(G360,"000"))</f>
        <v>MR.C01.231.001</v>
      </c>
      <c r="C360" s="161"/>
      <c r="D360" s="162" t="s">
        <v>95</v>
      </c>
      <c r="E360" s="162" t="s">
        <v>96</v>
      </c>
      <c r="F360" s="162">
        <v>231</v>
      </c>
      <c r="G360" s="162">
        <v>1</v>
      </c>
      <c r="H360" s="162">
        <v>753538007</v>
      </c>
      <c r="I360" s="162" t="s">
        <v>418</v>
      </c>
      <c r="J360" s="171">
        <v>24</v>
      </c>
      <c r="K360" s="162" t="s">
        <v>71</v>
      </c>
      <c r="L360" s="163" t="s">
        <v>98</v>
      </c>
      <c r="M360" s="162" t="s">
        <v>99</v>
      </c>
      <c r="N360" s="161" t="s">
        <v>91</v>
      </c>
      <c r="O360" s="161">
        <v>24</v>
      </c>
      <c r="P360" s="163">
        <v>24</v>
      </c>
      <c r="Q360" s="163"/>
      <c r="R360" s="162"/>
      <c r="S360" s="164">
        <f>TABLAINV[[#This Row],[Conteo Físico]]-TABLAINV[[#This Row],[Cant. UND]]</f>
        <v>0</v>
      </c>
      <c r="T36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0" s="165" t="str">
        <f>IFERROR(IF(MOD(TABLAINV[[#This Row],[C]],2)=0,"PAR","IMPAR"),"Zona")</f>
        <v>IMPAR</v>
      </c>
      <c r="W360" s="166"/>
      <c r="X360" s="167">
        <f>IFERROR(IF(TABLAINV[[#This Row],[Cant. UND]]=0,TABLAINV[[#This Row],[PMV]]*TABLAINV[[#This Row],[Conteo Físico]],TABLAINV[[#This Row],[PMV]]*TABLAINV[[#This Row],[Cant. UND]]),0)</f>
        <v>0</v>
      </c>
      <c r="Y360" s="167">
        <f>IFERROR(ABS(TABLAINV[[#This Row],[PMV]]*TABLAINV[[#This Row],[Diferencia]]),0)</f>
        <v>0</v>
      </c>
      <c r="Z360" s="168">
        <f>IFERROR(VLOOKUP(TABLAINV[[#This Row],[Codigo Estado]],unds!O:P,2,0),"PEND.")</f>
        <v>2002</v>
      </c>
      <c r="AA360" s="168" t="str">
        <f t="shared" si="19"/>
        <v>CD09</v>
      </c>
      <c r="AB360" s="169">
        <f t="shared" ca="1" si="20"/>
        <v>45827</v>
      </c>
      <c r="AC360" s="1"/>
      <c r="AD360" s="1"/>
      <c r="AE360" s="1"/>
      <c r="AF360" s="1"/>
    </row>
    <row r="361" spans="1:32" ht="15" customHeight="1" x14ac:dyDescent="0.2">
      <c r="A361" s="170" t="str">
        <f t="shared" si="18"/>
        <v>MRC01</v>
      </c>
      <c r="B361" s="160" t="str">
        <f>IF(TABLAINV[[#This Row],[Z]]="","",D361&amp;"."&amp;TEXT(E361,"000")&amp;"."&amp;TEXT(F361,"000")&amp;"."&amp;TEXT(G361,"000"))</f>
        <v>MR.C01.231.001</v>
      </c>
      <c r="C361" s="161"/>
      <c r="D361" s="162" t="s">
        <v>95</v>
      </c>
      <c r="E361" s="162" t="s">
        <v>96</v>
      </c>
      <c r="F361" s="162">
        <v>231</v>
      </c>
      <c r="G361" s="162">
        <v>1</v>
      </c>
      <c r="H361" s="162">
        <v>78738</v>
      </c>
      <c r="I361" s="162" t="s">
        <v>419</v>
      </c>
      <c r="J361" s="171">
        <v>12</v>
      </c>
      <c r="K361" s="162" t="s">
        <v>71</v>
      </c>
      <c r="L361" s="163" t="s">
        <v>115</v>
      </c>
      <c r="M361" s="162" t="s">
        <v>99</v>
      </c>
      <c r="N361" s="161" t="s">
        <v>91</v>
      </c>
      <c r="O361" s="161">
        <v>12</v>
      </c>
      <c r="P361" s="163">
        <v>12</v>
      </c>
      <c r="Q361" s="163"/>
      <c r="R361" s="162"/>
      <c r="S361" s="164">
        <f>TABLAINV[[#This Row],[Conteo Físico]]-TABLAINV[[#This Row],[Cant. UND]]</f>
        <v>0</v>
      </c>
      <c r="T36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1" s="165" t="str">
        <f>IFERROR(IF(MOD(TABLAINV[[#This Row],[C]],2)=0,"PAR","IMPAR"),"Zona")</f>
        <v>IMPAR</v>
      </c>
      <c r="W361" s="166"/>
      <c r="X361" s="167">
        <f>IFERROR(IF(TABLAINV[[#This Row],[Cant. UND]]=0,TABLAINV[[#This Row],[PMV]]*TABLAINV[[#This Row],[Conteo Físico]],TABLAINV[[#This Row],[PMV]]*TABLAINV[[#This Row],[Cant. UND]]),0)</f>
        <v>0</v>
      </c>
      <c r="Y361" s="167">
        <f>IFERROR(ABS(TABLAINV[[#This Row],[PMV]]*TABLAINV[[#This Row],[Diferencia]]),0)</f>
        <v>0</v>
      </c>
      <c r="Z361" s="168">
        <f>IFERROR(VLOOKUP(TABLAINV[[#This Row],[Codigo Estado]],unds!O:P,2,0),"PEND.")</f>
        <v>2002</v>
      </c>
      <c r="AA361" s="168" t="str">
        <f t="shared" si="19"/>
        <v>CD09</v>
      </c>
      <c r="AB361" s="169">
        <f t="shared" ca="1" si="20"/>
        <v>45827</v>
      </c>
      <c r="AC361" s="1"/>
      <c r="AD361" s="1"/>
      <c r="AE361" s="1"/>
      <c r="AF361" s="1"/>
    </row>
    <row r="362" spans="1:32" ht="15" customHeight="1" x14ac:dyDescent="0.2">
      <c r="A362" s="170" t="str">
        <f t="shared" si="18"/>
        <v>MRC01</v>
      </c>
      <c r="B362" s="160" t="str">
        <f>IF(TABLAINV[[#This Row],[Z]]="","",D362&amp;"."&amp;TEXT(E362,"000")&amp;"."&amp;TEXT(F362,"000")&amp;"."&amp;TEXT(G362,"000"))</f>
        <v>MR.C01.231.001</v>
      </c>
      <c r="C362" s="161"/>
      <c r="D362" s="162" t="s">
        <v>95</v>
      </c>
      <c r="E362" s="162" t="s">
        <v>96</v>
      </c>
      <c r="F362" s="162">
        <v>231</v>
      </c>
      <c r="G362" s="162">
        <v>1</v>
      </c>
      <c r="H362" s="162">
        <v>929129002</v>
      </c>
      <c r="I362" s="162" t="s">
        <v>420</v>
      </c>
      <c r="J362" s="171">
        <v>2</v>
      </c>
      <c r="K362" s="162" t="s">
        <v>71</v>
      </c>
      <c r="L362" s="163" t="s">
        <v>117</v>
      </c>
      <c r="M362" s="162" t="s">
        <v>99</v>
      </c>
      <c r="N362" s="161" t="s">
        <v>91</v>
      </c>
      <c r="O362" s="161">
        <v>2</v>
      </c>
      <c r="P362" s="163">
        <v>2</v>
      </c>
      <c r="Q362" s="163"/>
      <c r="R362" s="162"/>
      <c r="S362" s="164">
        <f>TABLAINV[[#This Row],[Conteo Físico]]-TABLAINV[[#This Row],[Cant. UND]]</f>
        <v>0</v>
      </c>
      <c r="T36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2" s="165" t="str">
        <f>IFERROR(IF(MOD(TABLAINV[[#This Row],[C]],2)=0,"PAR","IMPAR"),"Zona")</f>
        <v>IMPAR</v>
      </c>
      <c r="W362" s="166"/>
      <c r="X362" s="167">
        <f>IFERROR(IF(TABLAINV[[#This Row],[Cant. UND]]=0,TABLAINV[[#This Row],[PMV]]*TABLAINV[[#This Row],[Conteo Físico]],TABLAINV[[#This Row],[PMV]]*TABLAINV[[#This Row],[Cant. UND]]),0)</f>
        <v>0</v>
      </c>
      <c r="Y362" s="167">
        <f>IFERROR(ABS(TABLAINV[[#This Row],[PMV]]*TABLAINV[[#This Row],[Diferencia]]),0)</f>
        <v>0</v>
      </c>
      <c r="Z362" s="168">
        <f>IFERROR(VLOOKUP(TABLAINV[[#This Row],[Codigo Estado]],unds!O:P,2,0),"PEND.")</f>
        <v>2002</v>
      </c>
      <c r="AA362" s="168" t="str">
        <f t="shared" si="19"/>
        <v>CD09</v>
      </c>
      <c r="AB362" s="169">
        <f t="shared" ca="1" si="20"/>
        <v>45827</v>
      </c>
      <c r="AC362" s="1"/>
      <c r="AD362" s="1"/>
      <c r="AE362" s="1"/>
      <c r="AF362" s="1"/>
    </row>
    <row r="363" spans="1:32" ht="15" customHeight="1" x14ac:dyDescent="0.2">
      <c r="A363" s="170" t="str">
        <f t="shared" si="18"/>
        <v>MRC01</v>
      </c>
      <c r="B363" s="160" t="str">
        <f>IF(TABLAINV[[#This Row],[Z]]="","",D363&amp;"."&amp;TEXT(E363,"000")&amp;"."&amp;TEXT(F363,"000")&amp;"."&amp;TEXT(G363,"000"))</f>
        <v>MR.C01.231.001</v>
      </c>
      <c r="C363" s="161"/>
      <c r="D363" s="162" t="s">
        <v>95</v>
      </c>
      <c r="E363" s="162" t="s">
        <v>96</v>
      </c>
      <c r="F363" s="162">
        <v>231</v>
      </c>
      <c r="G363" s="162">
        <v>1</v>
      </c>
      <c r="H363" s="162">
        <v>962182</v>
      </c>
      <c r="I363" s="162" t="s">
        <v>421</v>
      </c>
      <c r="J363" s="171">
        <v>1</v>
      </c>
      <c r="K363" s="162" t="s">
        <v>71</v>
      </c>
      <c r="L363" s="163" t="s">
        <v>113</v>
      </c>
      <c r="M363" s="162" t="s">
        <v>99</v>
      </c>
      <c r="N363" s="161" t="s">
        <v>91</v>
      </c>
      <c r="O363" s="161">
        <v>1</v>
      </c>
      <c r="P363" s="163">
        <v>1</v>
      </c>
      <c r="Q363" s="163"/>
      <c r="R363" s="162"/>
      <c r="S363" s="164">
        <f>TABLAINV[[#This Row],[Conteo Físico]]-TABLAINV[[#This Row],[Cant. UND]]</f>
        <v>0</v>
      </c>
      <c r="T36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3" s="165" t="str">
        <f>IFERROR(IF(MOD(TABLAINV[[#This Row],[C]],2)=0,"PAR","IMPAR"),"Zona")</f>
        <v>IMPAR</v>
      </c>
      <c r="W363" s="166"/>
      <c r="X363" s="167">
        <f>IFERROR(IF(TABLAINV[[#This Row],[Cant. UND]]=0,TABLAINV[[#This Row],[PMV]]*TABLAINV[[#This Row],[Conteo Físico]],TABLAINV[[#This Row],[PMV]]*TABLAINV[[#This Row],[Cant. UND]]),0)</f>
        <v>0</v>
      </c>
      <c r="Y363" s="167">
        <f>IFERROR(ABS(TABLAINV[[#This Row],[PMV]]*TABLAINV[[#This Row],[Diferencia]]),0)</f>
        <v>0</v>
      </c>
      <c r="Z363" s="168">
        <f>IFERROR(VLOOKUP(TABLAINV[[#This Row],[Codigo Estado]],unds!O:P,2,0),"PEND.")</f>
        <v>2002</v>
      </c>
      <c r="AA363" s="168" t="str">
        <f t="shared" si="19"/>
        <v>CD09</v>
      </c>
      <c r="AB363" s="169">
        <f t="shared" ca="1" si="20"/>
        <v>45827</v>
      </c>
      <c r="AC363" s="1"/>
      <c r="AD363" s="1"/>
      <c r="AE363" s="1"/>
      <c r="AF363" s="1"/>
    </row>
    <row r="364" spans="1:32" ht="15" customHeight="1" x14ac:dyDescent="0.2">
      <c r="A364" s="170" t="str">
        <f t="shared" si="18"/>
        <v>MRC01</v>
      </c>
      <c r="B364" s="160" t="str">
        <f>IF(TABLAINV[[#This Row],[Z]]="","",D364&amp;"."&amp;TEXT(E364,"000")&amp;"."&amp;TEXT(F364,"000")&amp;"."&amp;TEXT(G364,"000"))</f>
        <v>MR.C01.231.001</v>
      </c>
      <c r="C364" s="161"/>
      <c r="D364" s="162" t="s">
        <v>95</v>
      </c>
      <c r="E364" s="162" t="s">
        <v>96</v>
      </c>
      <c r="F364" s="162">
        <v>231</v>
      </c>
      <c r="G364" s="162">
        <v>1</v>
      </c>
      <c r="H364" s="162">
        <v>963276</v>
      </c>
      <c r="I364" s="162" t="s">
        <v>422</v>
      </c>
      <c r="J364" s="171">
        <v>6</v>
      </c>
      <c r="K364" s="162" t="s">
        <v>71</v>
      </c>
      <c r="L364" s="163" t="s">
        <v>117</v>
      </c>
      <c r="M364" s="162" t="s">
        <v>99</v>
      </c>
      <c r="N364" s="161" t="s">
        <v>91</v>
      </c>
      <c r="O364" s="161">
        <v>6</v>
      </c>
      <c r="P364" s="163">
        <v>6</v>
      </c>
      <c r="Q364" s="163"/>
      <c r="R364" s="162"/>
      <c r="S364" s="164">
        <f>TABLAINV[[#This Row],[Conteo Físico]]-TABLAINV[[#This Row],[Cant. UND]]</f>
        <v>0</v>
      </c>
      <c r="T36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4" s="165" t="str">
        <f>IFERROR(IF(MOD(TABLAINV[[#This Row],[C]],2)=0,"PAR","IMPAR"),"Zona")</f>
        <v>IMPAR</v>
      </c>
      <c r="W364" s="166"/>
      <c r="X364" s="167">
        <f>IFERROR(IF(TABLAINV[[#This Row],[Cant. UND]]=0,TABLAINV[[#This Row],[PMV]]*TABLAINV[[#This Row],[Conteo Físico]],TABLAINV[[#This Row],[PMV]]*TABLAINV[[#This Row],[Cant. UND]]),0)</f>
        <v>0</v>
      </c>
      <c r="Y364" s="167">
        <f>IFERROR(ABS(TABLAINV[[#This Row],[PMV]]*TABLAINV[[#This Row],[Diferencia]]),0)</f>
        <v>0</v>
      </c>
      <c r="Z364" s="168">
        <f>IFERROR(VLOOKUP(TABLAINV[[#This Row],[Codigo Estado]],unds!O:P,2,0),"PEND.")</f>
        <v>2002</v>
      </c>
      <c r="AA364" s="168" t="str">
        <f t="shared" si="19"/>
        <v>CD09</v>
      </c>
      <c r="AB364" s="169">
        <f t="shared" ca="1" si="20"/>
        <v>45827</v>
      </c>
      <c r="AC364" s="1"/>
      <c r="AD364" s="1"/>
      <c r="AE364" s="1"/>
      <c r="AF364" s="1"/>
    </row>
    <row r="365" spans="1:32" ht="15" customHeight="1" x14ac:dyDescent="0.2">
      <c r="A365" s="170" t="str">
        <f t="shared" si="18"/>
        <v>MRC01</v>
      </c>
      <c r="B365" s="160" t="str">
        <f>IF(TABLAINV[[#This Row],[Z]]="","",D365&amp;"."&amp;TEXT(E365,"000")&amp;"."&amp;TEXT(F365,"000")&amp;"."&amp;TEXT(G365,"000"))</f>
        <v>MR.C01.231.001</v>
      </c>
      <c r="C365" s="161"/>
      <c r="D365" s="162" t="s">
        <v>95</v>
      </c>
      <c r="E365" s="162" t="s">
        <v>96</v>
      </c>
      <c r="F365" s="162">
        <v>231</v>
      </c>
      <c r="G365" s="162">
        <v>1</v>
      </c>
      <c r="H365" s="162">
        <v>963277</v>
      </c>
      <c r="I365" s="162" t="s">
        <v>423</v>
      </c>
      <c r="J365" s="171">
        <v>6</v>
      </c>
      <c r="K365" s="162" t="s">
        <v>71</v>
      </c>
      <c r="L365" s="163" t="s">
        <v>117</v>
      </c>
      <c r="M365" s="162" t="s">
        <v>99</v>
      </c>
      <c r="N365" s="161" t="s">
        <v>91</v>
      </c>
      <c r="O365" s="161">
        <v>6</v>
      </c>
      <c r="P365" s="163">
        <v>6</v>
      </c>
      <c r="Q365" s="163"/>
      <c r="R365" s="162"/>
      <c r="S365" s="164">
        <f>TABLAINV[[#This Row],[Conteo Físico]]-TABLAINV[[#This Row],[Cant. UND]]</f>
        <v>0</v>
      </c>
      <c r="T36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5" s="165" t="str">
        <f>IFERROR(IF(MOD(TABLAINV[[#This Row],[C]],2)=0,"PAR","IMPAR"),"Zona")</f>
        <v>IMPAR</v>
      </c>
      <c r="W365" s="166"/>
      <c r="X365" s="167">
        <f>IFERROR(IF(TABLAINV[[#This Row],[Cant. UND]]=0,TABLAINV[[#This Row],[PMV]]*TABLAINV[[#This Row],[Conteo Físico]],TABLAINV[[#This Row],[PMV]]*TABLAINV[[#This Row],[Cant. UND]]),0)</f>
        <v>0</v>
      </c>
      <c r="Y365" s="167">
        <f>IFERROR(ABS(TABLAINV[[#This Row],[PMV]]*TABLAINV[[#This Row],[Diferencia]]),0)</f>
        <v>0</v>
      </c>
      <c r="Z365" s="168">
        <f>IFERROR(VLOOKUP(TABLAINV[[#This Row],[Codigo Estado]],unds!O:P,2,0),"PEND.")</f>
        <v>2002</v>
      </c>
      <c r="AA365" s="168" t="str">
        <f t="shared" si="19"/>
        <v>CD09</v>
      </c>
      <c r="AB365" s="169">
        <f t="shared" ca="1" si="20"/>
        <v>45827</v>
      </c>
      <c r="AC365" s="1"/>
      <c r="AD365" s="1"/>
      <c r="AE365" s="1"/>
      <c r="AF365" s="1"/>
    </row>
    <row r="366" spans="1:32" ht="15" customHeight="1" x14ac:dyDescent="0.2">
      <c r="A366" s="170" t="str">
        <f t="shared" si="18"/>
        <v>MRC01</v>
      </c>
      <c r="B366" s="160" t="str">
        <f>IF(TABLAINV[[#This Row],[Z]]="","",D366&amp;"."&amp;TEXT(E366,"000")&amp;"."&amp;TEXT(F366,"000")&amp;"."&amp;TEXT(G366,"000"))</f>
        <v>MR.C01.231.001</v>
      </c>
      <c r="C366" s="161"/>
      <c r="D366" s="162" t="s">
        <v>95</v>
      </c>
      <c r="E366" s="162" t="s">
        <v>96</v>
      </c>
      <c r="F366" s="162">
        <v>231</v>
      </c>
      <c r="G366" s="162">
        <v>1</v>
      </c>
      <c r="H366" s="162">
        <v>973054</v>
      </c>
      <c r="I366" s="162" t="s">
        <v>107</v>
      </c>
      <c r="J366" s="171">
        <v>10</v>
      </c>
      <c r="K366" s="162" t="s">
        <v>71</v>
      </c>
      <c r="L366" s="163" t="s">
        <v>108</v>
      </c>
      <c r="M366" s="162" t="s">
        <v>99</v>
      </c>
      <c r="N366" s="161" t="s">
        <v>91</v>
      </c>
      <c r="O366" s="161">
        <v>10</v>
      </c>
      <c r="P366" s="163">
        <v>10</v>
      </c>
      <c r="Q366" s="163"/>
      <c r="R366" s="162"/>
      <c r="S366" s="164">
        <f>TABLAINV[[#This Row],[Conteo Físico]]-TABLAINV[[#This Row],[Cant. UND]]</f>
        <v>0</v>
      </c>
      <c r="T36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6" s="165" t="str">
        <f>IFERROR(IF(MOD(TABLAINV[[#This Row],[C]],2)=0,"PAR","IMPAR"),"Zona")</f>
        <v>IMPAR</v>
      </c>
      <c r="W366" s="166"/>
      <c r="X366" s="167">
        <f>IFERROR(IF(TABLAINV[[#This Row],[Cant. UND]]=0,TABLAINV[[#This Row],[PMV]]*TABLAINV[[#This Row],[Conteo Físico]],TABLAINV[[#This Row],[PMV]]*TABLAINV[[#This Row],[Cant. UND]]),0)</f>
        <v>0</v>
      </c>
      <c r="Y366" s="167">
        <f>IFERROR(ABS(TABLAINV[[#This Row],[PMV]]*TABLAINV[[#This Row],[Diferencia]]),0)</f>
        <v>0</v>
      </c>
      <c r="Z366" s="168">
        <f>IFERROR(VLOOKUP(TABLAINV[[#This Row],[Codigo Estado]],unds!O:P,2,0),"PEND.")</f>
        <v>2002</v>
      </c>
      <c r="AA366" s="168" t="str">
        <f t="shared" si="19"/>
        <v>CD09</v>
      </c>
      <c r="AB366" s="169">
        <f t="shared" ca="1" si="20"/>
        <v>45827</v>
      </c>
      <c r="AC366" s="1"/>
      <c r="AD366" s="1"/>
      <c r="AE366" s="1"/>
      <c r="AF366" s="1"/>
    </row>
    <row r="367" spans="1:32" ht="15" customHeight="1" x14ac:dyDescent="0.2">
      <c r="A367" s="170" t="str">
        <f t="shared" si="18"/>
        <v>MRC01</v>
      </c>
      <c r="B367" s="160" t="str">
        <f>IF(TABLAINV[[#This Row],[Z]]="","",D367&amp;"."&amp;TEXT(E367,"000")&amp;"."&amp;TEXT(F367,"000")&amp;"."&amp;TEXT(G367,"000"))</f>
        <v>MR.C01.231.001</v>
      </c>
      <c r="C367" s="161"/>
      <c r="D367" s="162" t="s">
        <v>95</v>
      </c>
      <c r="E367" s="162" t="s">
        <v>96</v>
      </c>
      <c r="F367" s="162">
        <v>231</v>
      </c>
      <c r="G367" s="162">
        <v>1</v>
      </c>
      <c r="H367" s="162">
        <v>973054</v>
      </c>
      <c r="I367" s="162" t="s">
        <v>107</v>
      </c>
      <c r="J367" s="171">
        <v>10</v>
      </c>
      <c r="K367" s="162" t="s">
        <v>71</v>
      </c>
      <c r="L367" s="163" t="s">
        <v>108</v>
      </c>
      <c r="M367" s="162" t="s">
        <v>99</v>
      </c>
      <c r="N367" s="161" t="s">
        <v>91</v>
      </c>
      <c r="O367" s="161">
        <v>10</v>
      </c>
      <c r="P367" s="163">
        <v>10</v>
      </c>
      <c r="Q367" s="163"/>
      <c r="R367" s="162"/>
      <c r="S367" s="164">
        <f>TABLAINV[[#This Row],[Conteo Físico]]-TABLAINV[[#This Row],[Cant. UND]]</f>
        <v>0</v>
      </c>
      <c r="T36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7" s="165" t="str">
        <f>IFERROR(IF(MOD(TABLAINV[[#This Row],[C]],2)=0,"PAR","IMPAR"),"Zona")</f>
        <v>IMPAR</v>
      </c>
      <c r="W367" s="166"/>
      <c r="X367" s="167">
        <f>IFERROR(IF(TABLAINV[[#This Row],[Cant. UND]]=0,TABLAINV[[#This Row],[PMV]]*TABLAINV[[#This Row],[Conteo Físico]],TABLAINV[[#This Row],[PMV]]*TABLAINV[[#This Row],[Cant. UND]]),0)</f>
        <v>0</v>
      </c>
      <c r="Y367" s="167">
        <f>IFERROR(ABS(TABLAINV[[#This Row],[PMV]]*TABLAINV[[#This Row],[Diferencia]]),0)</f>
        <v>0</v>
      </c>
      <c r="Z367" s="168">
        <f>IFERROR(VLOOKUP(TABLAINV[[#This Row],[Codigo Estado]],unds!O:P,2,0),"PEND.")</f>
        <v>2002</v>
      </c>
      <c r="AA367" s="168" t="str">
        <f t="shared" si="19"/>
        <v>CD09</v>
      </c>
      <c r="AB367" s="169">
        <f t="shared" ca="1" si="20"/>
        <v>45827</v>
      </c>
      <c r="AC367" s="1"/>
      <c r="AD367" s="1"/>
      <c r="AE367" s="1"/>
      <c r="AF367" s="1"/>
    </row>
    <row r="368" spans="1:32" ht="15" customHeight="1" x14ac:dyDescent="0.2">
      <c r="A368" s="170" t="str">
        <f t="shared" si="18"/>
        <v>MRC01</v>
      </c>
      <c r="B368" s="160" t="str">
        <f>IF(TABLAINV[[#This Row],[Z]]="","",D368&amp;"."&amp;TEXT(E368,"000")&amp;"."&amp;TEXT(F368,"000")&amp;"."&amp;TEXT(G368,"000"))</f>
        <v>MR.C01.231.001</v>
      </c>
      <c r="C368" s="161"/>
      <c r="D368" s="162" t="s">
        <v>95</v>
      </c>
      <c r="E368" s="162" t="s">
        <v>96</v>
      </c>
      <c r="F368" s="162">
        <v>231</v>
      </c>
      <c r="G368" s="162">
        <v>1</v>
      </c>
      <c r="H368" s="162">
        <v>973054</v>
      </c>
      <c r="I368" s="162" t="s">
        <v>107</v>
      </c>
      <c r="J368" s="171">
        <v>44</v>
      </c>
      <c r="K368" s="162" t="s">
        <v>71</v>
      </c>
      <c r="L368" s="163" t="s">
        <v>108</v>
      </c>
      <c r="M368" s="162" t="s">
        <v>99</v>
      </c>
      <c r="N368" s="161" t="s">
        <v>91</v>
      </c>
      <c r="O368" s="161">
        <v>44</v>
      </c>
      <c r="P368" s="163">
        <v>44</v>
      </c>
      <c r="Q368" s="163"/>
      <c r="R368" s="162"/>
      <c r="S368" s="164">
        <f>TABLAINV[[#This Row],[Conteo Físico]]-TABLAINV[[#This Row],[Cant. UND]]</f>
        <v>0</v>
      </c>
      <c r="T36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8" s="165" t="str">
        <f>IFERROR(IF(MOD(TABLAINV[[#This Row],[C]],2)=0,"PAR","IMPAR"),"Zona")</f>
        <v>IMPAR</v>
      </c>
      <c r="W368" s="166"/>
      <c r="X368" s="167">
        <f>IFERROR(IF(TABLAINV[[#This Row],[Cant. UND]]=0,TABLAINV[[#This Row],[PMV]]*TABLAINV[[#This Row],[Conteo Físico]],TABLAINV[[#This Row],[PMV]]*TABLAINV[[#This Row],[Cant. UND]]),0)</f>
        <v>0</v>
      </c>
      <c r="Y368" s="167">
        <f>IFERROR(ABS(TABLAINV[[#This Row],[PMV]]*TABLAINV[[#This Row],[Diferencia]]),0)</f>
        <v>0</v>
      </c>
      <c r="Z368" s="168">
        <f>IFERROR(VLOOKUP(TABLAINV[[#This Row],[Codigo Estado]],unds!O:P,2,0),"PEND.")</f>
        <v>2002</v>
      </c>
      <c r="AA368" s="168" t="str">
        <f t="shared" si="19"/>
        <v>CD09</v>
      </c>
      <c r="AB368" s="169">
        <f t="shared" ca="1" si="20"/>
        <v>45827</v>
      </c>
      <c r="AC368" s="1"/>
      <c r="AD368" s="1"/>
      <c r="AE368" s="1"/>
      <c r="AF368" s="1"/>
    </row>
    <row r="369" spans="1:32" ht="15" customHeight="1" x14ac:dyDescent="0.2">
      <c r="A369" s="170" t="str">
        <f t="shared" si="18"/>
        <v>MRC01</v>
      </c>
      <c r="B369" s="160" t="str">
        <f>IF(TABLAINV[[#This Row],[Z]]="","",D369&amp;"."&amp;TEXT(E369,"000")&amp;"."&amp;TEXT(F369,"000")&amp;"."&amp;TEXT(G369,"000"))</f>
        <v>MR.C01.231.001</v>
      </c>
      <c r="C369" s="161"/>
      <c r="D369" s="162" t="s">
        <v>95</v>
      </c>
      <c r="E369" s="162" t="s">
        <v>96</v>
      </c>
      <c r="F369" s="162">
        <v>231</v>
      </c>
      <c r="G369" s="162">
        <v>1</v>
      </c>
      <c r="H369" s="162">
        <v>973054</v>
      </c>
      <c r="I369" s="162" t="s">
        <v>107</v>
      </c>
      <c r="J369" s="171">
        <v>262</v>
      </c>
      <c r="K369" s="162" t="s">
        <v>71</v>
      </c>
      <c r="L369" s="163" t="s">
        <v>108</v>
      </c>
      <c r="M369" s="162" t="s">
        <v>99</v>
      </c>
      <c r="N369" s="161" t="s">
        <v>91</v>
      </c>
      <c r="O369" s="161">
        <v>262</v>
      </c>
      <c r="P369" s="163">
        <v>262</v>
      </c>
      <c r="Q369" s="163"/>
      <c r="R369" s="162"/>
      <c r="S369" s="164">
        <f>TABLAINV[[#This Row],[Conteo Físico]]-TABLAINV[[#This Row],[Cant. UND]]</f>
        <v>0</v>
      </c>
      <c r="T36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6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69" s="165" t="str">
        <f>IFERROR(IF(MOD(TABLAINV[[#This Row],[C]],2)=0,"PAR","IMPAR"),"Zona")</f>
        <v>IMPAR</v>
      </c>
      <c r="W369" s="166"/>
      <c r="X369" s="167">
        <f>IFERROR(IF(TABLAINV[[#This Row],[Cant. UND]]=0,TABLAINV[[#This Row],[PMV]]*TABLAINV[[#This Row],[Conteo Físico]],TABLAINV[[#This Row],[PMV]]*TABLAINV[[#This Row],[Cant. UND]]),0)</f>
        <v>0</v>
      </c>
      <c r="Y369" s="167">
        <f>IFERROR(ABS(TABLAINV[[#This Row],[PMV]]*TABLAINV[[#This Row],[Diferencia]]),0)</f>
        <v>0</v>
      </c>
      <c r="Z369" s="168">
        <f>IFERROR(VLOOKUP(TABLAINV[[#This Row],[Codigo Estado]],unds!O:P,2,0),"PEND.")</f>
        <v>2002</v>
      </c>
      <c r="AA369" s="168" t="str">
        <f t="shared" si="19"/>
        <v>CD09</v>
      </c>
      <c r="AB369" s="169">
        <f t="shared" ca="1" si="20"/>
        <v>45827</v>
      </c>
      <c r="AC369" s="1"/>
      <c r="AD369" s="1"/>
      <c r="AE369" s="1"/>
      <c r="AF369" s="1"/>
    </row>
    <row r="370" spans="1:32" ht="15" customHeight="1" x14ac:dyDescent="0.2">
      <c r="A370" s="170" t="str">
        <f t="shared" si="18"/>
        <v>MRC01</v>
      </c>
      <c r="B370" s="160" t="str">
        <f>IF(TABLAINV[[#This Row],[Z]]="","",D370&amp;"."&amp;TEXT(E370,"000")&amp;"."&amp;TEXT(F370,"000")&amp;"."&amp;TEXT(G370,"000"))</f>
        <v>MR.C01.231.001</v>
      </c>
      <c r="C370" s="161"/>
      <c r="D370" s="162" t="s">
        <v>95</v>
      </c>
      <c r="E370" s="162" t="s">
        <v>96</v>
      </c>
      <c r="F370" s="162">
        <v>231</v>
      </c>
      <c r="G370" s="162">
        <v>1</v>
      </c>
      <c r="H370" s="162">
        <v>973054</v>
      </c>
      <c r="I370" s="162" t="s">
        <v>107</v>
      </c>
      <c r="J370" s="171">
        <v>10</v>
      </c>
      <c r="K370" s="162" t="s">
        <v>71</v>
      </c>
      <c r="L370" s="163" t="s">
        <v>108</v>
      </c>
      <c r="M370" s="162" t="s">
        <v>99</v>
      </c>
      <c r="N370" s="161" t="s">
        <v>91</v>
      </c>
      <c r="O370" s="161">
        <v>10</v>
      </c>
      <c r="P370" s="163">
        <v>10</v>
      </c>
      <c r="Q370" s="163"/>
      <c r="R370" s="162"/>
      <c r="S370" s="164">
        <f>TABLAINV[[#This Row],[Conteo Físico]]-TABLAINV[[#This Row],[Cant. UND]]</f>
        <v>0</v>
      </c>
      <c r="T37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0" s="165" t="str">
        <f>IFERROR(IF(MOD(TABLAINV[[#This Row],[C]],2)=0,"PAR","IMPAR"),"Zona")</f>
        <v>IMPAR</v>
      </c>
      <c r="W370" s="166"/>
      <c r="X370" s="167">
        <f>IFERROR(IF(TABLAINV[[#This Row],[Cant. UND]]=0,TABLAINV[[#This Row],[PMV]]*TABLAINV[[#This Row],[Conteo Físico]],TABLAINV[[#This Row],[PMV]]*TABLAINV[[#This Row],[Cant. UND]]),0)</f>
        <v>0</v>
      </c>
      <c r="Y370" s="167">
        <f>IFERROR(ABS(TABLAINV[[#This Row],[PMV]]*TABLAINV[[#This Row],[Diferencia]]),0)</f>
        <v>0</v>
      </c>
      <c r="Z370" s="168">
        <f>IFERROR(VLOOKUP(TABLAINV[[#This Row],[Codigo Estado]],unds!O:P,2,0),"PEND.")</f>
        <v>2002</v>
      </c>
      <c r="AA370" s="168" t="str">
        <f t="shared" si="19"/>
        <v>CD09</v>
      </c>
      <c r="AB370" s="169">
        <f t="shared" ca="1" si="20"/>
        <v>45827</v>
      </c>
      <c r="AC370" s="1"/>
      <c r="AD370" s="1"/>
      <c r="AE370" s="1"/>
      <c r="AF370" s="1"/>
    </row>
    <row r="371" spans="1:32" ht="15" customHeight="1" x14ac:dyDescent="0.2">
      <c r="A371" s="170" t="str">
        <f t="shared" si="18"/>
        <v>MRC01</v>
      </c>
      <c r="B371" s="160" t="str">
        <f>IF(TABLAINV[[#This Row],[Z]]="","",D371&amp;"."&amp;TEXT(E371,"000")&amp;"."&amp;TEXT(F371,"000")&amp;"."&amp;TEXT(G371,"000"))</f>
        <v>MR.C01.231.001</v>
      </c>
      <c r="C371" s="161"/>
      <c r="D371" s="162" t="s">
        <v>95</v>
      </c>
      <c r="E371" s="162" t="s">
        <v>96</v>
      </c>
      <c r="F371" s="162">
        <v>231</v>
      </c>
      <c r="G371" s="162">
        <v>1</v>
      </c>
      <c r="H371" s="162">
        <v>973054</v>
      </c>
      <c r="I371" s="162" t="s">
        <v>107</v>
      </c>
      <c r="J371" s="171">
        <v>10</v>
      </c>
      <c r="K371" s="162" t="s">
        <v>71</v>
      </c>
      <c r="L371" s="163" t="s">
        <v>108</v>
      </c>
      <c r="M371" s="162" t="s">
        <v>99</v>
      </c>
      <c r="N371" s="161" t="s">
        <v>91</v>
      </c>
      <c r="O371" s="161">
        <v>10</v>
      </c>
      <c r="P371" s="163">
        <v>10</v>
      </c>
      <c r="Q371" s="163"/>
      <c r="R371" s="162"/>
      <c r="S371" s="164">
        <f>TABLAINV[[#This Row],[Conteo Físico]]-TABLAINV[[#This Row],[Cant. UND]]</f>
        <v>0</v>
      </c>
      <c r="T37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1" s="165" t="str">
        <f>IFERROR(IF(MOD(TABLAINV[[#This Row],[C]],2)=0,"PAR","IMPAR"),"Zona")</f>
        <v>IMPAR</v>
      </c>
      <c r="W371" s="166"/>
      <c r="X371" s="167">
        <f>IFERROR(IF(TABLAINV[[#This Row],[Cant. UND]]=0,TABLAINV[[#This Row],[PMV]]*TABLAINV[[#This Row],[Conteo Físico]],TABLAINV[[#This Row],[PMV]]*TABLAINV[[#This Row],[Cant. UND]]),0)</f>
        <v>0</v>
      </c>
      <c r="Y371" s="167">
        <f>IFERROR(ABS(TABLAINV[[#This Row],[PMV]]*TABLAINV[[#This Row],[Diferencia]]),0)</f>
        <v>0</v>
      </c>
      <c r="Z371" s="168">
        <f>IFERROR(VLOOKUP(TABLAINV[[#This Row],[Codigo Estado]],unds!O:P,2,0),"PEND.")</f>
        <v>2002</v>
      </c>
      <c r="AA371" s="168" t="str">
        <f t="shared" si="19"/>
        <v>CD09</v>
      </c>
      <c r="AB371" s="169">
        <f t="shared" ca="1" si="20"/>
        <v>45827</v>
      </c>
      <c r="AC371" s="1"/>
      <c r="AD371" s="1"/>
      <c r="AE371" s="1"/>
      <c r="AF371" s="1"/>
    </row>
    <row r="372" spans="1:32" ht="15" customHeight="1" x14ac:dyDescent="0.2">
      <c r="A372" s="170" t="str">
        <f t="shared" si="18"/>
        <v>MRC01</v>
      </c>
      <c r="B372" s="160" t="str">
        <f>IF(TABLAINV[[#This Row],[Z]]="","",D372&amp;"."&amp;TEXT(E372,"000")&amp;"."&amp;TEXT(F372,"000")&amp;"."&amp;TEXT(G372,"000"))</f>
        <v>MR.C01.231.001</v>
      </c>
      <c r="C372" s="161"/>
      <c r="D372" s="162" t="s">
        <v>95</v>
      </c>
      <c r="E372" s="162" t="s">
        <v>96</v>
      </c>
      <c r="F372" s="162">
        <v>231</v>
      </c>
      <c r="G372" s="162">
        <v>1</v>
      </c>
      <c r="H372" s="162">
        <v>973054</v>
      </c>
      <c r="I372" s="162" t="s">
        <v>107</v>
      </c>
      <c r="J372" s="171">
        <v>10</v>
      </c>
      <c r="K372" s="162" t="s">
        <v>71</v>
      </c>
      <c r="L372" s="163" t="s">
        <v>108</v>
      </c>
      <c r="M372" s="162" t="s">
        <v>99</v>
      </c>
      <c r="N372" s="161" t="s">
        <v>91</v>
      </c>
      <c r="O372" s="161">
        <v>10</v>
      </c>
      <c r="P372" s="163">
        <v>10</v>
      </c>
      <c r="Q372" s="163"/>
      <c r="R372" s="162"/>
      <c r="S372" s="164">
        <f>TABLAINV[[#This Row],[Conteo Físico]]-TABLAINV[[#This Row],[Cant. UND]]</f>
        <v>0</v>
      </c>
      <c r="T37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2" s="165" t="str">
        <f>IFERROR(IF(MOD(TABLAINV[[#This Row],[C]],2)=0,"PAR","IMPAR"),"Zona")</f>
        <v>IMPAR</v>
      </c>
      <c r="W372" s="166"/>
      <c r="X372" s="167">
        <f>IFERROR(IF(TABLAINV[[#This Row],[Cant. UND]]=0,TABLAINV[[#This Row],[PMV]]*TABLAINV[[#This Row],[Conteo Físico]],TABLAINV[[#This Row],[PMV]]*TABLAINV[[#This Row],[Cant. UND]]),0)</f>
        <v>0</v>
      </c>
      <c r="Y372" s="167">
        <f>IFERROR(ABS(TABLAINV[[#This Row],[PMV]]*TABLAINV[[#This Row],[Diferencia]]),0)</f>
        <v>0</v>
      </c>
      <c r="Z372" s="168">
        <f>IFERROR(VLOOKUP(TABLAINV[[#This Row],[Codigo Estado]],unds!O:P,2,0),"PEND.")</f>
        <v>2002</v>
      </c>
      <c r="AA372" s="168" t="str">
        <f t="shared" si="19"/>
        <v>CD09</v>
      </c>
      <c r="AB372" s="169">
        <f t="shared" ca="1" si="20"/>
        <v>45827</v>
      </c>
      <c r="AC372" s="1"/>
      <c r="AD372" s="1"/>
      <c r="AE372" s="1"/>
      <c r="AF372" s="1"/>
    </row>
    <row r="373" spans="1:32" ht="15" customHeight="1" x14ac:dyDescent="0.2">
      <c r="A373" s="170" t="str">
        <f t="shared" si="18"/>
        <v>MRC01</v>
      </c>
      <c r="B373" s="160" t="str">
        <f>IF(TABLAINV[[#This Row],[Z]]="","",D373&amp;"."&amp;TEXT(E373,"000")&amp;"."&amp;TEXT(F373,"000")&amp;"."&amp;TEXT(G373,"000"))</f>
        <v>MR.C01.231.001</v>
      </c>
      <c r="C373" s="161"/>
      <c r="D373" s="162" t="s">
        <v>95</v>
      </c>
      <c r="E373" s="162" t="s">
        <v>96</v>
      </c>
      <c r="F373" s="162">
        <v>231</v>
      </c>
      <c r="G373" s="162">
        <v>1</v>
      </c>
      <c r="H373" s="162">
        <v>973054</v>
      </c>
      <c r="I373" s="162" t="s">
        <v>107</v>
      </c>
      <c r="J373" s="171">
        <v>10</v>
      </c>
      <c r="K373" s="162" t="s">
        <v>71</v>
      </c>
      <c r="L373" s="163" t="s">
        <v>108</v>
      </c>
      <c r="M373" s="162" t="s">
        <v>99</v>
      </c>
      <c r="N373" s="161" t="s">
        <v>91</v>
      </c>
      <c r="O373" s="161">
        <v>10</v>
      </c>
      <c r="P373" s="163">
        <v>10</v>
      </c>
      <c r="Q373" s="163"/>
      <c r="R373" s="162"/>
      <c r="S373" s="164">
        <f>TABLAINV[[#This Row],[Conteo Físico]]-TABLAINV[[#This Row],[Cant. UND]]</f>
        <v>0</v>
      </c>
      <c r="T37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3" s="165" t="str">
        <f>IFERROR(IF(MOD(TABLAINV[[#This Row],[C]],2)=0,"PAR","IMPAR"),"Zona")</f>
        <v>IMPAR</v>
      </c>
      <c r="W373" s="166"/>
      <c r="X373" s="167">
        <f>IFERROR(IF(TABLAINV[[#This Row],[Cant. UND]]=0,TABLAINV[[#This Row],[PMV]]*TABLAINV[[#This Row],[Conteo Físico]],TABLAINV[[#This Row],[PMV]]*TABLAINV[[#This Row],[Cant. UND]]),0)</f>
        <v>0</v>
      </c>
      <c r="Y373" s="167">
        <f>IFERROR(ABS(TABLAINV[[#This Row],[PMV]]*TABLAINV[[#This Row],[Diferencia]]),0)</f>
        <v>0</v>
      </c>
      <c r="Z373" s="168">
        <f>IFERROR(VLOOKUP(TABLAINV[[#This Row],[Codigo Estado]],unds!O:P,2,0),"PEND.")</f>
        <v>2002</v>
      </c>
      <c r="AA373" s="168" t="str">
        <f t="shared" si="19"/>
        <v>CD09</v>
      </c>
      <c r="AB373" s="169">
        <f t="shared" ca="1" si="20"/>
        <v>45827</v>
      </c>
      <c r="AC373" s="1"/>
      <c r="AD373" s="1"/>
      <c r="AE373" s="1"/>
      <c r="AF373" s="1"/>
    </row>
    <row r="374" spans="1:32" ht="15" customHeight="1" x14ac:dyDescent="0.2">
      <c r="A374" s="170" t="str">
        <f t="shared" si="18"/>
        <v>MRC01</v>
      </c>
      <c r="B374" s="160" t="str">
        <f>IF(TABLAINV[[#This Row],[Z]]="","",D374&amp;"."&amp;TEXT(E374,"000")&amp;"."&amp;TEXT(F374,"000")&amp;"."&amp;TEXT(G374,"000"))</f>
        <v>MR.C01.231.001</v>
      </c>
      <c r="C374" s="161"/>
      <c r="D374" s="162" t="s">
        <v>95</v>
      </c>
      <c r="E374" s="162" t="s">
        <v>96</v>
      </c>
      <c r="F374" s="162">
        <v>231</v>
      </c>
      <c r="G374" s="162">
        <v>1</v>
      </c>
      <c r="H374" s="162">
        <v>973054</v>
      </c>
      <c r="I374" s="162" t="s">
        <v>107</v>
      </c>
      <c r="J374" s="171">
        <v>10</v>
      </c>
      <c r="K374" s="162" t="s">
        <v>71</v>
      </c>
      <c r="L374" s="163" t="s">
        <v>108</v>
      </c>
      <c r="M374" s="162" t="s">
        <v>99</v>
      </c>
      <c r="N374" s="161" t="s">
        <v>91</v>
      </c>
      <c r="O374" s="161">
        <v>10</v>
      </c>
      <c r="P374" s="163">
        <v>10</v>
      </c>
      <c r="Q374" s="163"/>
      <c r="R374" s="162"/>
      <c r="S374" s="164">
        <f>TABLAINV[[#This Row],[Conteo Físico]]-TABLAINV[[#This Row],[Cant. UND]]</f>
        <v>0</v>
      </c>
      <c r="T37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4" s="165" t="str">
        <f>IFERROR(IF(MOD(TABLAINV[[#This Row],[C]],2)=0,"PAR","IMPAR"),"Zona")</f>
        <v>IMPAR</v>
      </c>
      <c r="W374" s="166"/>
      <c r="X374" s="167">
        <f>IFERROR(IF(TABLAINV[[#This Row],[Cant. UND]]=0,TABLAINV[[#This Row],[PMV]]*TABLAINV[[#This Row],[Conteo Físico]],TABLAINV[[#This Row],[PMV]]*TABLAINV[[#This Row],[Cant. UND]]),0)</f>
        <v>0</v>
      </c>
      <c r="Y374" s="167">
        <f>IFERROR(ABS(TABLAINV[[#This Row],[PMV]]*TABLAINV[[#This Row],[Diferencia]]),0)</f>
        <v>0</v>
      </c>
      <c r="Z374" s="168">
        <f>IFERROR(VLOOKUP(TABLAINV[[#This Row],[Codigo Estado]],unds!O:P,2,0),"PEND.")</f>
        <v>2002</v>
      </c>
      <c r="AA374" s="168" t="str">
        <f t="shared" si="19"/>
        <v>CD09</v>
      </c>
      <c r="AB374" s="169">
        <f t="shared" ca="1" si="20"/>
        <v>45827</v>
      </c>
      <c r="AC374" s="1"/>
      <c r="AD374" s="1"/>
      <c r="AE374" s="1"/>
      <c r="AF374" s="1"/>
    </row>
    <row r="375" spans="1:32" ht="15" customHeight="1" x14ac:dyDescent="0.2">
      <c r="A375" s="170" t="str">
        <f t="shared" si="18"/>
        <v>MRC01</v>
      </c>
      <c r="B375" s="160" t="str">
        <f>IF(TABLAINV[[#This Row],[Z]]="","",D375&amp;"."&amp;TEXT(E375,"000")&amp;"."&amp;TEXT(F375,"000")&amp;"."&amp;TEXT(G375,"000"))</f>
        <v>MR.C01.231.001</v>
      </c>
      <c r="C375" s="161"/>
      <c r="D375" s="162" t="s">
        <v>95</v>
      </c>
      <c r="E375" s="162" t="s">
        <v>96</v>
      </c>
      <c r="F375" s="162">
        <v>231</v>
      </c>
      <c r="G375" s="162">
        <v>1</v>
      </c>
      <c r="H375" s="162">
        <v>973054</v>
      </c>
      <c r="I375" s="162" t="s">
        <v>107</v>
      </c>
      <c r="J375" s="171">
        <v>24</v>
      </c>
      <c r="K375" s="162" t="s">
        <v>71</v>
      </c>
      <c r="L375" s="163" t="s">
        <v>108</v>
      </c>
      <c r="M375" s="162" t="s">
        <v>99</v>
      </c>
      <c r="N375" s="161" t="s">
        <v>91</v>
      </c>
      <c r="O375" s="161">
        <v>24</v>
      </c>
      <c r="P375" s="163">
        <v>24</v>
      </c>
      <c r="Q375" s="163"/>
      <c r="R375" s="162"/>
      <c r="S375" s="164">
        <f>TABLAINV[[#This Row],[Conteo Físico]]-TABLAINV[[#This Row],[Cant. UND]]</f>
        <v>0</v>
      </c>
      <c r="T37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5" s="165" t="str">
        <f>IFERROR(IF(MOD(TABLAINV[[#This Row],[C]],2)=0,"PAR","IMPAR"),"Zona")</f>
        <v>IMPAR</v>
      </c>
      <c r="W375" s="166"/>
      <c r="X375" s="167">
        <f>IFERROR(IF(TABLAINV[[#This Row],[Cant. UND]]=0,TABLAINV[[#This Row],[PMV]]*TABLAINV[[#This Row],[Conteo Físico]],TABLAINV[[#This Row],[PMV]]*TABLAINV[[#This Row],[Cant. UND]]),0)</f>
        <v>0</v>
      </c>
      <c r="Y375" s="167">
        <f>IFERROR(ABS(TABLAINV[[#This Row],[PMV]]*TABLAINV[[#This Row],[Diferencia]]),0)</f>
        <v>0</v>
      </c>
      <c r="Z375" s="168">
        <f>IFERROR(VLOOKUP(TABLAINV[[#This Row],[Codigo Estado]],unds!O:P,2,0),"PEND.")</f>
        <v>2002</v>
      </c>
      <c r="AA375" s="168" t="str">
        <f t="shared" si="19"/>
        <v>CD09</v>
      </c>
      <c r="AB375" s="169">
        <f t="shared" ca="1" si="20"/>
        <v>45827</v>
      </c>
      <c r="AC375" s="1"/>
      <c r="AD375" s="1"/>
      <c r="AE375" s="1"/>
      <c r="AF375" s="1"/>
    </row>
    <row r="376" spans="1:32" ht="15" customHeight="1" x14ac:dyDescent="0.2">
      <c r="A376" s="170" t="str">
        <f t="shared" si="18"/>
        <v>MRC01</v>
      </c>
      <c r="B376" s="160" t="str">
        <f>IF(TABLAINV[[#This Row],[Z]]="","",D376&amp;"."&amp;TEXT(E376,"000")&amp;"."&amp;TEXT(F376,"000")&amp;"."&amp;TEXT(G376,"000"))</f>
        <v>MR.C01.231.001</v>
      </c>
      <c r="C376" s="161"/>
      <c r="D376" s="162" t="s">
        <v>95</v>
      </c>
      <c r="E376" s="162" t="s">
        <v>96</v>
      </c>
      <c r="F376" s="162">
        <v>231</v>
      </c>
      <c r="G376" s="162">
        <v>1</v>
      </c>
      <c r="H376" s="162">
        <v>973054</v>
      </c>
      <c r="I376" s="162" t="s">
        <v>107</v>
      </c>
      <c r="J376" s="171">
        <v>10</v>
      </c>
      <c r="K376" s="162" t="s">
        <v>71</v>
      </c>
      <c r="L376" s="163" t="s">
        <v>108</v>
      </c>
      <c r="M376" s="162" t="s">
        <v>99</v>
      </c>
      <c r="N376" s="161" t="s">
        <v>91</v>
      </c>
      <c r="O376" s="161">
        <v>10</v>
      </c>
      <c r="P376" s="163">
        <v>10</v>
      </c>
      <c r="Q376" s="163"/>
      <c r="R376" s="162"/>
      <c r="S376" s="164">
        <f>TABLAINV[[#This Row],[Conteo Físico]]-TABLAINV[[#This Row],[Cant. UND]]</f>
        <v>0</v>
      </c>
      <c r="T37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6" s="165" t="str">
        <f>IFERROR(IF(MOD(TABLAINV[[#This Row],[C]],2)=0,"PAR","IMPAR"),"Zona")</f>
        <v>IMPAR</v>
      </c>
      <c r="W376" s="166"/>
      <c r="X376" s="167">
        <f>IFERROR(IF(TABLAINV[[#This Row],[Cant. UND]]=0,TABLAINV[[#This Row],[PMV]]*TABLAINV[[#This Row],[Conteo Físico]],TABLAINV[[#This Row],[PMV]]*TABLAINV[[#This Row],[Cant. UND]]),0)</f>
        <v>0</v>
      </c>
      <c r="Y376" s="167">
        <f>IFERROR(ABS(TABLAINV[[#This Row],[PMV]]*TABLAINV[[#This Row],[Diferencia]]),0)</f>
        <v>0</v>
      </c>
      <c r="Z376" s="168">
        <f>IFERROR(VLOOKUP(TABLAINV[[#This Row],[Codigo Estado]],unds!O:P,2,0),"PEND.")</f>
        <v>2002</v>
      </c>
      <c r="AA376" s="168" t="str">
        <f t="shared" si="19"/>
        <v>CD09</v>
      </c>
      <c r="AB376" s="169">
        <f t="shared" ca="1" si="20"/>
        <v>45827</v>
      </c>
      <c r="AC376" s="1"/>
      <c r="AD376" s="1"/>
      <c r="AE376" s="1"/>
      <c r="AF376" s="1"/>
    </row>
    <row r="377" spans="1:32" ht="15" customHeight="1" x14ac:dyDescent="0.2">
      <c r="A377" s="170" t="str">
        <f t="shared" si="18"/>
        <v>MRC01</v>
      </c>
      <c r="B377" s="160" t="str">
        <f>IF(TABLAINV[[#This Row],[Z]]="","",D377&amp;"."&amp;TEXT(E377,"000")&amp;"."&amp;TEXT(F377,"000")&amp;"."&amp;TEXT(G377,"000"))</f>
        <v>MR.C01.231.001</v>
      </c>
      <c r="C377" s="161"/>
      <c r="D377" s="162" t="s">
        <v>95</v>
      </c>
      <c r="E377" s="162" t="s">
        <v>96</v>
      </c>
      <c r="F377" s="162">
        <v>231</v>
      </c>
      <c r="G377" s="162">
        <v>1</v>
      </c>
      <c r="H377" s="162">
        <v>973054</v>
      </c>
      <c r="I377" s="162" t="s">
        <v>107</v>
      </c>
      <c r="J377" s="171">
        <v>20</v>
      </c>
      <c r="K377" s="162" t="s">
        <v>71</v>
      </c>
      <c r="L377" s="163" t="s">
        <v>108</v>
      </c>
      <c r="M377" s="162" t="s">
        <v>99</v>
      </c>
      <c r="N377" s="161" t="s">
        <v>91</v>
      </c>
      <c r="O377" s="161">
        <v>20</v>
      </c>
      <c r="P377" s="163">
        <v>20</v>
      </c>
      <c r="Q377" s="163"/>
      <c r="R377" s="162"/>
      <c r="S377" s="164">
        <f>TABLAINV[[#This Row],[Conteo Físico]]-TABLAINV[[#This Row],[Cant. UND]]</f>
        <v>0</v>
      </c>
      <c r="T37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7" s="165" t="str">
        <f>IFERROR(IF(MOD(TABLAINV[[#This Row],[C]],2)=0,"PAR","IMPAR"),"Zona")</f>
        <v>IMPAR</v>
      </c>
      <c r="W377" s="166"/>
      <c r="X377" s="167">
        <f>IFERROR(IF(TABLAINV[[#This Row],[Cant. UND]]=0,TABLAINV[[#This Row],[PMV]]*TABLAINV[[#This Row],[Conteo Físico]],TABLAINV[[#This Row],[PMV]]*TABLAINV[[#This Row],[Cant. UND]]),0)</f>
        <v>0</v>
      </c>
      <c r="Y377" s="167">
        <f>IFERROR(ABS(TABLAINV[[#This Row],[PMV]]*TABLAINV[[#This Row],[Diferencia]]),0)</f>
        <v>0</v>
      </c>
      <c r="Z377" s="168">
        <f>IFERROR(VLOOKUP(TABLAINV[[#This Row],[Codigo Estado]],unds!O:P,2,0),"PEND.")</f>
        <v>2002</v>
      </c>
      <c r="AA377" s="168" t="str">
        <f t="shared" si="19"/>
        <v>CD09</v>
      </c>
      <c r="AB377" s="169">
        <f t="shared" ca="1" si="20"/>
        <v>45827</v>
      </c>
      <c r="AC377" s="1"/>
      <c r="AD377" s="1"/>
      <c r="AE377" s="1"/>
      <c r="AF377" s="1"/>
    </row>
    <row r="378" spans="1:32" ht="15" customHeight="1" x14ac:dyDescent="0.2">
      <c r="A378" s="170" t="str">
        <f t="shared" si="18"/>
        <v>MRC01</v>
      </c>
      <c r="B378" s="160" t="str">
        <f>IF(TABLAINV[[#This Row],[Z]]="","",D378&amp;"."&amp;TEXT(E378,"000")&amp;"."&amp;TEXT(F378,"000")&amp;"."&amp;TEXT(G378,"000"))</f>
        <v>MR.C01.231.001</v>
      </c>
      <c r="C378" s="161"/>
      <c r="D378" s="162" t="s">
        <v>95</v>
      </c>
      <c r="E378" s="162" t="s">
        <v>96</v>
      </c>
      <c r="F378" s="162">
        <v>231</v>
      </c>
      <c r="G378" s="162">
        <v>1</v>
      </c>
      <c r="H378" s="162">
        <v>975721</v>
      </c>
      <c r="I378" s="162" t="s">
        <v>424</v>
      </c>
      <c r="J378" s="171">
        <v>2</v>
      </c>
      <c r="K378" s="162" t="s">
        <v>71</v>
      </c>
      <c r="L378" s="163" t="s">
        <v>115</v>
      </c>
      <c r="M378" s="162" t="s">
        <v>99</v>
      </c>
      <c r="N378" s="161" t="s">
        <v>91</v>
      </c>
      <c r="O378" s="161">
        <v>2</v>
      </c>
      <c r="P378" s="163">
        <v>2</v>
      </c>
      <c r="Q378" s="163"/>
      <c r="R378" s="162"/>
      <c r="S378" s="164">
        <f>TABLAINV[[#This Row],[Conteo Físico]]-TABLAINV[[#This Row],[Cant. UND]]</f>
        <v>0</v>
      </c>
      <c r="T37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8" s="165" t="str">
        <f>IFERROR(IF(MOD(TABLAINV[[#This Row],[C]],2)=0,"PAR","IMPAR"),"Zona")</f>
        <v>IMPAR</v>
      </c>
      <c r="W378" s="166"/>
      <c r="X378" s="167">
        <f>IFERROR(IF(TABLAINV[[#This Row],[Cant. UND]]=0,TABLAINV[[#This Row],[PMV]]*TABLAINV[[#This Row],[Conteo Físico]],TABLAINV[[#This Row],[PMV]]*TABLAINV[[#This Row],[Cant. UND]]),0)</f>
        <v>0</v>
      </c>
      <c r="Y378" s="167">
        <f>IFERROR(ABS(TABLAINV[[#This Row],[PMV]]*TABLAINV[[#This Row],[Diferencia]]),0)</f>
        <v>0</v>
      </c>
      <c r="Z378" s="168">
        <f>IFERROR(VLOOKUP(TABLAINV[[#This Row],[Codigo Estado]],unds!O:P,2,0),"PEND.")</f>
        <v>2002</v>
      </c>
      <c r="AA378" s="168" t="str">
        <f t="shared" si="19"/>
        <v>CD09</v>
      </c>
      <c r="AB378" s="169">
        <f t="shared" ca="1" si="20"/>
        <v>45827</v>
      </c>
      <c r="AC378" s="1"/>
      <c r="AD378" s="1"/>
      <c r="AE378" s="1"/>
      <c r="AF378" s="1"/>
    </row>
    <row r="379" spans="1:32" ht="15" customHeight="1" x14ac:dyDescent="0.2">
      <c r="A379" s="170" t="str">
        <f t="shared" si="18"/>
        <v>MRC01</v>
      </c>
      <c r="B379" s="160" t="str">
        <f>IF(TABLAINV[[#This Row],[Z]]="","",D379&amp;"."&amp;TEXT(E379,"000")&amp;"."&amp;TEXT(F379,"000")&amp;"."&amp;TEXT(G379,"000"))</f>
        <v>MR.C01.231.002</v>
      </c>
      <c r="C379" s="161"/>
      <c r="D379" s="162" t="s">
        <v>95</v>
      </c>
      <c r="E379" s="162" t="s">
        <v>96</v>
      </c>
      <c r="F379" s="162">
        <v>231</v>
      </c>
      <c r="G379" s="162">
        <v>2</v>
      </c>
      <c r="H379" s="162">
        <v>1019409</v>
      </c>
      <c r="I379" s="162" t="s">
        <v>425</v>
      </c>
      <c r="J379" s="171">
        <v>1</v>
      </c>
      <c r="K379" s="162" t="s">
        <v>65</v>
      </c>
      <c r="L379" s="163" t="s">
        <v>113</v>
      </c>
      <c r="M379" s="162" t="s">
        <v>99</v>
      </c>
      <c r="N379" s="161" t="s">
        <v>91</v>
      </c>
      <c r="O379" s="161">
        <v>1</v>
      </c>
      <c r="P379" s="163">
        <v>1</v>
      </c>
      <c r="Q379" s="163"/>
      <c r="R379" s="162"/>
      <c r="S379" s="164">
        <f>TABLAINV[[#This Row],[Conteo Físico]]-TABLAINV[[#This Row],[Cant. UND]]</f>
        <v>0</v>
      </c>
      <c r="T37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7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79" s="165" t="str">
        <f>IFERROR(IF(MOD(TABLAINV[[#This Row],[C]],2)=0,"PAR","IMPAR"),"Zona")</f>
        <v>IMPAR</v>
      </c>
      <c r="W379" s="166"/>
      <c r="X379" s="167">
        <f>IFERROR(IF(TABLAINV[[#This Row],[Cant. UND]]=0,TABLAINV[[#This Row],[PMV]]*TABLAINV[[#This Row],[Conteo Físico]],TABLAINV[[#This Row],[PMV]]*TABLAINV[[#This Row],[Cant. UND]]),0)</f>
        <v>0</v>
      </c>
      <c r="Y379" s="167">
        <f>IFERROR(ABS(TABLAINV[[#This Row],[PMV]]*TABLAINV[[#This Row],[Diferencia]]),0)</f>
        <v>0</v>
      </c>
      <c r="Z379" s="168" t="str">
        <f>IFERROR(VLOOKUP(TABLAINV[[#This Row],[Codigo Estado]],unds!O:P,2,0),"PEND.")</f>
        <v>N.A</v>
      </c>
      <c r="AA379" s="168" t="str">
        <f t="shared" si="19"/>
        <v>CD09</v>
      </c>
      <c r="AB379" s="169">
        <f t="shared" ca="1" si="20"/>
        <v>45827</v>
      </c>
      <c r="AC379" s="1"/>
      <c r="AD379" s="1"/>
      <c r="AE379" s="1"/>
      <c r="AF379" s="1"/>
    </row>
    <row r="380" spans="1:32" ht="15" customHeight="1" x14ac:dyDescent="0.2">
      <c r="A380" s="170" t="str">
        <f t="shared" si="18"/>
        <v>MRC01</v>
      </c>
      <c r="B380" s="160" t="str">
        <f>IF(TABLAINV[[#This Row],[Z]]="","",D380&amp;"."&amp;TEXT(E380,"000")&amp;"."&amp;TEXT(F380,"000")&amp;"."&amp;TEXT(G380,"000"))</f>
        <v>MR.C01.231.002</v>
      </c>
      <c r="C380" s="161"/>
      <c r="D380" s="162" t="s">
        <v>95</v>
      </c>
      <c r="E380" s="162" t="s">
        <v>96</v>
      </c>
      <c r="F380" s="162">
        <v>231</v>
      </c>
      <c r="G380" s="162">
        <v>2</v>
      </c>
      <c r="H380" s="162">
        <v>1025869</v>
      </c>
      <c r="I380" s="162" t="s">
        <v>426</v>
      </c>
      <c r="J380" s="171">
        <v>1</v>
      </c>
      <c r="K380" s="162" t="s">
        <v>65</v>
      </c>
      <c r="L380" s="163" t="s">
        <v>212</v>
      </c>
      <c r="M380" s="162" t="s">
        <v>99</v>
      </c>
      <c r="N380" s="161" t="s">
        <v>91</v>
      </c>
      <c r="O380" s="161">
        <v>1</v>
      </c>
      <c r="P380" s="163">
        <v>1</v>
      </c>
      <c r="Q380" s="163"/>
      <c r="R380" s="162"/>
      <c r="S380" s="164">
        <f>TABLAINV[[#This Row],[Conteo Físico]]-TABLAINV[[#This Row],[Cant. UND]]</f>
        <v>0</v>
      </c>
      <c r="T38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0" s="165" t="str">
        <f>IFERROR(IF(MOD(TABLAINV[[#This Row],[C]],2)=0,"PAR","IMPAR"),"Zona")</f>
        <v>IMPAR</v>
      </c>
      <c r="W380" s="166"/>
      <c r="X380" s="167">
        <f>IFERROR(IF(TABLAINV[[#This Row],[Cant. UND]]=0,TABLAINV[[#This Row],[PMV]]*TABLAINV[[#This Row],[Conteo Físico]],TABLAINV[[#This Row],[PMV]]*TABLAINV[[#This Row],[Cant. UND]]),0)</f>
        <v>0</v>
      </c>
      <c r="Y380" s="167">
        <f>IFERROR(ABS(TABLAINV[[#This Row],[PMV]]*TABLAINV[[#This Row],[Diferencia]]),0)</f>
        <v>0</v>
      </c>
      <c r="Z380" s="168" t="str">
        <f>IFERROR(VLOOKUP(TABLAINV[[#This Row],[Codigo Estado]],unds!O:P,2,0),"PEND.")</f>
        <v>N.A</v>
      </c>
      <c r="AA380" s="168" t="str">
        <f t="shared" si="19"/>
        <v>CD09</v>
      </c>
      <c r="AB380" s="169">
        <f t="shared" ca="1" si="20"/>
        <v>45827</v>
      </c>
      <c r="AC380" s="1"/>
      <c r="AD380" s="1"/>
      <c r="AE380" s="1"/>
      <c r="AF380" s="1"/>
    </row>
    <row r="381" spans="1:32" ht="15" customHeight="1" x14ac:dyDescent="0.2">
      <c r="A381" s="170" t="str">
        <f t="shared" si="18"/>
        <v>MRC01</v>
      </c>
      <c r="B381" s="160" t="str">
        <f>IF(TABLAINV[[#This Row],[Z]]="","",D381&amp;"."&amp;TEXT(E381,"000")&amp;"."&amp;TEXT(F381,"000")&amp;"."&amp;TEXT(G381,"000"))</f>
        <v>MR.C01.231.002</v>
      </c>
      <c r="C381" s="161"/>
      <c r="D381" s="162" t="s">
        <v>95</v>
      </c>
      <c r="E381" s="162" t="s">
        <v>96</v>
      </c>
      <c r="F381" s="162">
        <v>231</v>
      </c>
      <c r="G381" s="162">
        <v>2</v>
      </c>
      <c r="H381" s="162">
        <v>1025869</v>
      </c>
      <c r="I381" s="162" t="s">
        <v>426</v>
      </c>
      <c r="J381" s="171">
        <v>1</v>
      </c>
      <c r="K381" s="162" t="s">
        <v>65</v>
      </c>
      <c r="L381" s="163" t="s">
        <v>212</v>
      </c>
      <c r="M381" s="162" t="s">
        <v>99</v>
      </c>
      <c r="N381" s="161" t="s">
        <v>91</v>
      </c>
      <c r="O381" s="161">
        <v>1</v>
      </c>
      <c r="P381" s="163">
        <v>1</v>
      </c>
      <c r="Q381" s="163"/>
      <c r="R381" s="162"/>
      <c r="S381" s="164">
        <f>TABLAINV[[#This Row],[Conteo Físico]]-TABLAINV[[#This Row],[Cant. UND]]</f>
        <v>0</v>
      </c>
      <c r="T38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1" s="165" t="str">
        <f>IFERROR(IF(MOD(TABLAINV[[#This Row],[C]],2)=0,"PAR","IMPAR"),"Zona")</f>
        <v>IMPAR</v>
      </c>
      <c r="W381" s="166"/>
      <c r="X381" s="167">
        <f>IFERROR(IF(TABLAINV[[#This Row],[Cant. UND]]=0,TABLAINV[[#This Row],[PMV]]*TABLAINV[[#This Row],[Conteo Físico]],TABLAINV[[#This Row],[PMV]]*TABLAINV[[#This Row],[Cant. UND]]),0)</f>
        <v>0</v>
      </c>
      <c r="Y381" s="167">
        <f>IFERROR(ABS(TABLAINV[[#This Row],[PMV]]*TABLAINV[[#This Row],[Diferencia]]),0)</f>
        <v>0</v>
      </c>
      <c r="Z381" s="168" t="str">
        <f>IFERROR(VLOOKUP(TABLAINV[[#This Row],[Codigo Estado]],unds!O:P,2,0),"PEND.")</f>
        <v>N.A</v>
      </c>
      <c r="AA381" s="168" t="str">
        <f t="shared" si="19"/>
        <v>CD09</v>
      </c>
      <c r="AB381" s="169">
        <f t="shared" ca="1" si="20"/>
        <v>45827</v>
      </c>
      <c r="AC381" s="1"/>
      <c r="AD381" s="1"/>
      <c r="AE381" s="1"/>
      <c r="AF381" s="1"/>
    </row>
    <row r="382" spans="1:32" ht="15" customHeight="1" x14ac:dyDescent="0.2">
      <c r="A382" s="170" t="str">
        <f t="shared" si="18"/>
        <v>MRC01</v>
      </c>
      <c r="B382" s="160" t="str">
        <f>IF(TABLAINV[[#This Row],[Z]]="","",D382&amp;"."&amp;TEXT(E382,"000")&amp;"."&amp;TEXT(F382,"000")&amp;"."&amp;TEXT(G382,"000"))</f>
        <v>MR.C01.231.002</v>
      </c>
      <c r="C382" s="161"/>
      <c r="D382" s="162" t="s">
        <v>95</v>
      </c>
      <c r="E382" s="162" t="s">
        <v>96</v>
      </c>
      <c r="F382" s="162">
        <v>231</v>
      </c>
      <c r="G382" s="162">
        <v>2</v>
      </c>
      <c r="H382" s="162">
        <v>1025902</v>
      </c>
      <c r="I382" s="162" t="s">
        <v>427</v>
      </c>
      <c r="J382" s="171">
        <v>2</v>
      </c>
      <c r="K382" s="162" t="s">
        <v>65</v>
      </c>
      <c r="L382" s="163" t="s">
        <v>115</v>
      </c>
      <c r="M382" s="162" t="s">
        <v>99</v>
      </c>
      <c r="N382" s="161" t="s">
        <v>91</v>
      </c>
      <c r="O382" s="161">
        <v>2</v>
      </c>
      <c r="P382" s="163">
        <v>2</v>
      </c>
      <c r="Q382" s="163"/>
      <c r="R382" s="162"/>
      <c r="S382" s="164">
        <f>TABLAINV[[#This Row],[Conteo Físico]]-TABLAINV[[#This Row],[Cant. UND]]</f>
        <v>0</v>
      </c>
      <c r="T38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2" s="165" t="str">
        <f>IFERROR(IF(MOD(TABLAINV[[#This Row],[C]],2)=0,"PAR","IMPAR"),"Zona")</f>
        <v>IMPAR</v>
      </c>
      <c r="W382" s="166"/>
      <c r="X382" s="167">
        <f>IFERROR(IF(TABLAINV[[#This Row],[Cant. UND]]=0,TABLAINV[[#This Row],[PMV]]*TABLAINV[[#This Row],[Conteo Físico]],TABLAINV[[#This Row],[PMV]]*TABLAINV[[#This Row],[Cant. UND]]),0)</f>
        <v>0</v>
      </c>
      <c r="Y382" s="167">
        <f>IFERROR(ABS(TABLAINV[[#This Row],[PMV]]*TABLAINV[[#This Row],[Diferencia]]),0)</f>
        <v>0</v>
      </c>
      <c r="Z382" s="168" t="str">
        <f>IFERROR(VLOOKUP(TABLAINV[[#This Row],[Codigo Estado]],unds!O:P,2,0),"PEND.")</f>
        <v>N.A</v>
      </c>
      <c r="AA382" s="168" t="str">
        <f t="shared" si="19"/>
        <v>CD09</v>
      </c>
      <c r="AB382" s="169">
        <f t="shared" ca="1" si="20"/>
        <v>45827</v>
      </c>
      <c r="AC382" s="1"/>
      <c r="AD382" s="1"/>
      <c r="AE382" s="1"/>
      <c r="AF382" s="1"/>
    </row>
    <row r="383" spans="1:32" ht="15" customHeight="1" x14ac:dyDescent="0.2">
      <c r="A383" s="170" t="str">
        <f t="shared" si="18"/>
        <v>MRC01</v>
      </c>
      <c r="B383" s="160" t="str">
        <f>IF(TABLAINV[[#This Row],[Z]]="","",D383&amp;"."&amp;TEXT(E383,"000")&amp;"."&amp;TEXT(F383,"000")&amp;"."&amp;TEXT(G383,"000"))</f>
        <v>MR.C01.231.002</v>
      </c>
      <c r="C383" s="161"/>
      <c r="D383" s="162" t="s">
        <v>95</v>
      </c>
      <c r="E383" s="162" t="s">
        <v>96</v>
      </c>
      <c r="F383" s="162">
        <v>231</v>
      </c>
      <c r="G383" s="162">
        <v>2</v>
      </c>
      <c r="H383" s="162">
        <v>1025985</v>
      </c>
      <c r="I383" s="162" t="s">
        <v>428</v>
      </c>
      <c r="J383" s="171">
        <v>1</v>
      </c>
      <c r="K383" s="162" t="s">
        <v>77</v>
      </c>
      <c r="L383" s="163" t="s">
        <v>113</v>
      </c>
      <c r="M383" s="162" t="s">
        <v>99</v>
      </c>
      <c r="N383" s="161" t="s">
        <v>429</v>
      </c>
      <c r="O383" s="161">
        <v>1</v>
      </c>
      <c r="P383" s="163">
        <v>1</v>
      </c>
      <c r="Q383" s="163"/>
      <c r="R383" s="162"/>
      <c r="S383" s="164">
        <f>TABLAINV[[#This Row],[Conteo Físico]]-TABLAINV[[#This Row],[Cant. UND]]</f>
        <v>0</v>
      </c>
      <c r="T38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3" s="165" t="str">
        <f>IFERROR(IF(MOD(TABLAINV[[#This Row],[C]],2)=0,"PAR","IMPAR"),"Zona")</f>
        <v>IMPAR</v>
      </c>
      <c r="W383" s="166"/>
      <c r="X383" s="167">
        <f>IFERROR(IF(TABLAINV[[#This Row],[Cant. UND]]=0,TABLAINV[[#This Row],[PMV]]*TABLAINV[[#This Row],[Conteo Físico]],TABLAINV[[#This Row],[PMV]]*TABLAINV[[#This Row],[Cant. UND]]),0)</f>
        <v>0</v>
      </c>
      <c r="Y383" s="167">
        <f>IFERROR(ABS(TABLAINV[[#This Row],[PMV]]*TABLAINV[[#This Row],[Diferencia]]),0)</f>
        <v>0</v>
      </c>
      <c r="Z383" s="168">
        <f>IFERROR(VLOOKUP(TABLAINV[[#This Row],[Codigo Estado]],unds!O:P,2,0),"PEND.")</f>
        <v>9995</v>
      </c>
      <c r="AA383" s="168" t="str">
        <f t="shared" si="19"/>
        <v>CD09</v>
      </c>
      <c r="AB383" s="169">
        <f t="shared" ca="1" si="20"/>
        <v>45827</v>
      </c>
      <c r="AC383" s="1"/>
      <c r="AD383" s="1"/>
      <c r="AE383" s="1"/>
      <c r="AF383" s="1"/>
    </row>
    <row r="384" spans="1:32" ht="15" customHeight="1" x14ac:dyDescent="0.2">
      <c r="A384" s="170" t="str">
        <f t="shared" si="18"/>
        <v>MRC01</v>
      </c>
      <c r="B384" s="160" t="str">
        <f>IF(TABLAINV[[#This Row],[Z]]="","",D384&amp;"."&amp;TEXT(E384,"000")&amp;"."&amp;TEXT(F384,"000")&amp;"."&amp;TEXT(G384,"000"))</f>
        <v>MR.C01.231.002</v>
      </c>
      <c r="C384" s="161"/>
      <c r="D384" s="162" t="s">
        <v>95</v>
      </c>
      <c r="E384" s="162" t="s">
        <v>96</v>
      </c>
      <c r="F384" s="162">
        <v>231</v>
      </c>
      <c r="G384" s="162">
        <v>2</v>
      </c>
      <c r="H384" s="162">
        <v>1033634</v>
      </c>
      <c r="I384" s="162" t="s">
        <v>430</v>
      </c>
      <c r="J384" s="171">
        <v>1</v>
      </c>
      <c r="K384" s="162" t="s">
        <v>77</v>
      </c>
      <c r="L384" s="163" t="s">
        <v>117</v>
      </c>
      <c r="M384" s="162" t="s">
        <v>99</v>
      </c>
      <c r="N384" s="161" t="s">
        <v>429</v>
      </c>
      <c r="O384" s="161">
        <v>1</v>
      </c>
      <c r="P384" s="163">
        <v>1</v>
      </c>
      <c r="Q384" s="163"/>
      <c r="R384" s="162"/>
      <c r="S384" s="164">
        <f>TABLAINV[[#This Row],[Conteo Físico]]-TABLAINV[[#This Row],[Cant. UND]]</f>
        <v>0</v>
      </c>
      <c r="T38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4" s="165" t="str">
        <f>IFERROR(IF(MOD(TABLAINV[[#This Row],[C]],2)=0,"PAR","IMPAR"),"Zona")</f>
        <v>IMPAR</v>
      </c>
      <c r="W384" s="166"/>
      <c r="X384" s="167">
        <f>IFERROR(IF(TABLAINV[[#This Row],[Cant. UND]]=0,TABLAINV[[#This Row],[PMV]]*TABLAINV[[#This Row],[Conteo Físico]],TABLAINV[[#This Row],[PMV]]*TABLAINV[[#This Row],[Cant. UND]]),0)</f>
        <v>0</v>
      </c>
      <c r="Y384" s="167">
        <f>IFERROR(ABS(TABLAINV[[#This Row],[PMV]]*TABLAINV[[#This Row],[Diferencia]]),0)</f>
        <v>0</v>
      </c>
      <c r="Z384" s="168">
        <f>IFERROR(VLOOKUP(TABLAINV[[#This Row],[Codigo Estado]],unds!O:P,2,0),"PEND.")</f>
        <v>9995</v>
      </c>
      <c r="AA384" s="168" t="str">
        <f t="shared" si="19"/>
        <v>CD09</v>
      </c>
      <c r="AB384" s="169">
        <f t="shared" ca="1" si="20"/>
        <v>45827</v>
      </c>
      <c r="AC384" s="1"/>
      <c r="AD384" s="1"/>
      <c r="AE384" s="1"/>
      <c r="AF384" s="1"/>
    </row>
    <row r="385" spans="1:32" ht="15" customHeight="1" x14ac:dyDescent="0.2">
      <c r="A385" s="170" t="str">
        <f t="shared" si="18"/>
        <v>MRC01</v>
      </c>
      <c r="B385" s="160" t="str">
        <f>IF(TABLAINV[[#This Row],[Z]]="","",D385&amp;"."&amp;TEXT(E385,"000")&amp;"."&amp;TEXT(F385,"000")&amp;"."&amp;TEXT(G385,"000"))</f>
        <v>MR.C01.231.002</v>
      </c>
      <c r="C385" s="161"/>
      <c r="D385" s="162" t="s">
        <v>95</v>
      </c>
      <c r="E385" s="162" t="s">
        <v>96</v>
      </c>
      <c r="F385" s="162">
        <v>231</v>
      </c>
      <c r="G385" s="162">
        <v>2</v>
      </c>
      <c r="H385" s="162">
        <v>113219005</v>
      </c>
      <c r="I385" s="162" t="s">
        <v>431</v>
      </c>
      <c r="J385" s="171">
        <v>1</v>
      </c>
      <c r="K385" s="162" t="s">
        <v>65</v>
      </c>
      <c r="L385" s="163" t="s">
        <v>115</v>
      </c>
      <c r="M385" s="162" t="s">
        <v>99</v>
      </c>
      <c r="N385" s="161" t="s">
        <v>91</v>
      </c>
      <c r="O385" s="161">
        <v>1</v>
      </c>
      <c r="P385" s="163">
        <v>1</v>
      </c>
      <c r="Q385" s="163"/>
      <c r="R385" s="162"/>
      <c r="S385" s="164">
        <f>TABLAINV[[#This Row],[Conteo Físico]]-TABLAINV[[#This Row],[Cant. UND]]</f>
        <v>0</v>
      </c>
      <c r="T38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5" s="165" t="str">
        <f>IFERROR(IF(MOD(TABLAINV[[#This Row],[C]],2)=0,"PAR","IMPAR"),"Zona")</f>
        <v>IMPAR</v>
      </c>
      <c r="W385" s="166"/>
      <c r="X385" s="167">
        <f>IFERROR(IF(TABLAINV[[#This Row],[Cant. UND]]=0,TABLAINV[[#This Row],[PMV]]*TABLAINV[[#This Row],[Conteo Físico]],TABLAINV[[#This Row],[PMV]]*TABLAINV[[#This Row],[Cant. UND]]),0)</f>
        <v>0</v>
      </c>
      <c r="Y385" s="167">
        <f>IFERROR(ABS(TABLAINV[[#This Row],[PMV]]*TABLAINV[[#This Row],[Diferencia]]),0)</f>
        <v>0</v>
      </c>
      <c r="Z385" s="168" t="str">
        <f>IFERROR(VLOOKUP(TABLAINV[[#This Row],[Codigo Estado]],unds!O:P,2,0),"PEND.")</f>
        <v>N.A</v>
      </c>
      <c r="AA385" s="168" t="str">
        <f t="shared" si="19"/>
        <v>CD09</v>
      </c>
      <c r="AB385" s="169">
        <f t="shared" ca="1" si="20"/>
        <v>45827</v>
      </c>
      <c r="AC385" s="1"/>
      <c r="AD385" s="1"/>
      <c r="AE385" s="1"/>
      <c r="AF385" s="1"/>
    </row>
    <row r="386" spans="1:32" ht="15" customHeight="1" x14ac:dyDescent="0.2">
      <c r="A386" s="170" t="str">
        <f t="shared" si="18"/>
        <v>MRC01</v>
      </c>
      <c r="B386" s="160" t="str">
        <f>IF(TABLAINV[[#This Row],[Z]]="","",D386&amp;"."&amp;TEXT(E386,"000")&amp;"."&amp;TEXT(F386,"000")&amp;"."&amp;TEXT(G386,"000"))</f>
        <v>MR.C01.231.002</v>
      </c>
      <c r="C386" s="161"/>
      <c r="D386" s="162" t="s">
        <v>95</v>
      </c>
      <c r="E386" s="162" t="s">
        <v>96</v>
      </c>
      <c r="F386" s="162">
        <v>231</v>
      </c>
      <c r="G386" s="162">
        <v>2</v>
      </c>
      <c r="H386" s="162">
        <v>137400001</v>
      </c>
      <c r="I386" s="162" t="s">
        <v>432</v>
      </c>
      <c r="J386" s="171">
        <v>12</v>
      </c>
      <c r="K386" s="162" t="s">
        <v>65</v>
      </c>
      <c r="L386" s="163" t="s">
        <v>115</v>
      </c>
      <c r="M386" s="162" t="s">
        <v>99</v>
      </c>
      <c r="N386" s="161" t="s">
        <v>91</v>
      </c>
      <c r="O386" s="161">
        <v>12</v>
      </c>
      <c r="P386" s="163">
        <v>12</v>
      </c>
      <c r="Q386" s="163"/>
      <c r="R386" s="162"/>
      <c r="S386" s="164">
        <f>TABLAINV[[#This Row],[Conteo Físico]]-TABLAINV[[#This Row],[Cant. UND]]</f>
        <v>0</v>
      </c>
      <c r="T38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6" s="165" t="str">
        <f>IFERROR(IF(MOD(TABLAINV[[#This Row],[C]],2)=0,"PAR","IMPAR"),"Zona")</f>
        <v>IMPAR</v>
      </c>
      <c r="W386" s="166"/>
      <c r="X386" s="167">
        <f>IFERROR(IF(TABLAINV[[#This Row],[Cant. UND]]=0,TABLAINV[[#This Row],[PMV]]*TABLAINV[[#This Row],[Conteo Físico]],TABLAINV[[#This Row],[PMV]]*TABLAINV[[#This Row],[Cant. UND]]),0)</f>
        <v>0</v>
      </c>
      <c r="Y386" s="167">
        <f>IFERROR(ABS(TABLAINV[[#This Row],[PMV]]*TABLAINV[[#This Row],[Diferencia]]),0)</f>
        <v>0</v>
      </c>
      <c r="Z386" s="168" t="str">
        <f>IFERROR(VLOOKUP(TABLAINV[[#This Row],[Codigo Estado]],unds!O:P,2,0),"PEND.")</f>
        <v>N.A</v>
      </c>
      <c r="AA386" s="168" t="str">
        <f t="shared" si="19"/>
        <v>CD09</v>
      </c>
      <c r="AB386" s="169">
        <f t="shared" ca="1" si="20"/>
        <v>45827</v>
      </c>
      <c r="AC386" s="1"/>
      <c r="AD386" s="1"/>
      <c r="AE386" s="1"/>
      <c r="AF386" s="1"/>
    </row>
    <row r="387" spans="1:32" ht="15" customHeight="1" x14ac:dyDescent="0.2">
      <c r="A387" s="170" t="str">
        <f t="shared" si="18"/>
        <v>MRC01</v>
      </c>
      <c r="B387" s="160" t="str">
        <f>IF(TABLAINV[[#This Row],[Z]]="","",D387&amp;"."&amp;TEXT(E387,"000")&amp;"."&amp;TEXT(F387,"000")&amp;"."&amp;TEXT(G387,"000"))</f>
        <v>MR.C01.231.002</v>
      </c>
      <c r="C387" s="161"/>
      <c r="D387" s="162" t="s">
        <v>95</v>
      </c>
      <c r="E387" s="162" t="s">
        <v>96</v>
      </c>
      <c r="F387" s="162">
        <v>231</v>
      </c>
      <c r="G387" s="162">
        <v>2</v>
      </c>
      <c r="H387" s="162">
        <v>203744</v>
      </c>
      <c r="I387" s="162" t="s">
        <v>216</v>
      </c>
      <c r="J387" s="171">
        <v>2</v>
      </c>
      <c r="K387" s="162" t="s">
        <v>77</v>
      </c>
      <c r="L387" s="163" t="s">
        <v>115</v>
      </c>
      <c r="M387" s="162" t="s">
        <v>99</v>
      </c>
      <c r="N387" s="161" t="s">
        <v>91</v>
      </c>
      <c r="O387" s="161">
        <v>2</v>
      </c>
      <c r="P387" s="163">
        <v>2</v>
      </c>
      <c r="Q387" s="163"/>
      <c r="R387" s="162"/>
      <c r="S387" s="164">
        <f>TABLAINV[[#This Row],[Conteo Físico]]-TABLAINV[[#This Row],[Cant. UND]]</f>
        <v>0</v>
      </c>
      <c r="T38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7" s="165" t="str">
        <f>IFERROR(IF(MOD(TABLAINV[[#This Row],[C]],2)=0,"PAR","IMPAR"),"Zona")</f>
        <v>IMPAR</v>
      </c>
      <c r="W387" s="166"/>
      <c r="X387" s="167">
        <f>IFERROR(IF(TABLAINV[[#This Row],[Cant. UND]]=0,TABLAINV[[#This Row],[PMV]]*TABLAINV[[#This Row],[Conteo Físico]],TABLAINV[[#This Row],[PMV]]*TABLAINV[[#This Row],[Cant. UND]]),0)</f>
        <v>0</v>
      </c>
      <c r="Y387" s="167">
        <f>IFERROR(ABS(TABLAINV[[#This Row],[PMV]]*TABLAINV[[#This Row],[Diferencia]]),0)</f>
        <v>0</v>
      </c>
      <c r="Z387" s="168">
        <f>IFERROR(VLOOKUP(TABLAINV[[#This Row],[Codigo Estado]],unds!O:P,2,0),"PEND.")</f>
        <v>9995</v>
      </c>
      <c r="AA387" s="168" t="str">
        <f t="shared" si="19"/>
        <v>CD09</v>
      </c>
      <c r="AB387" s="169">
        <f t="shared" ca="1" si="20"/>
        <v>45827</v>
      </c>
    </row>
    <row r="388" spans="1:32" ht="15" customHeight="1" x14ac:dyDescent="0.2">
      <c r="A388" s="170" t="str">
        <f t="shared" si="18"/>
        <v>MRC01</v>
      </c>
      <c r="B388" s="160" t="str">
        <f>IF(TABLAINV[[#This Row],[Z]]="","",D388&amp;"."&amp;TEXT(E388,"000")&amp;"."&amp;TEXT(F388,"000")&amp;"."&amp;TEXT(G388,"000"))</f>
        <v>MR.C01.231.002</v>
      </c>
      <c r="C388" s="161"/>
      <c r="D388" s="162" t="s">
        <v>95</v>
      </c>
      <c r="E388" s="162" t="s">
        <v>96</v>
      </c>
      <c r="F388" s="162">
        <v>231</v>
      </c>
      <c r="G388" s="162">
        <v>2</v>
      </c>
      <c r="H388" s="162">
        <v>227919</v>
      </c>
      <c r="I388" s="162" t="s">
        <v>433</v>
      </c>
      <c r="J388" s="171">
        <v>1</v>
      </c>
      <c r="K388" s="162" t="s">
        <v>77</v>
      </c>
      <c r="L388" s="163" t="s">
        <v>113</v>
      </c>
      <c r="M388" s="162" t="s">
        <v>99</v>
      </c>
      <c r="N388" s="161" t="s">
        <v>91</v>
      </c>
      <c r="O388" s="161">
        <v>1</v>
      </c>
      <c r="P388" s="163">
        <v>1</v>
      </c>
      <c r="Q388" s="163"/>
      <c r="R388" s="162"/>
      <c r="S388" s="164">
        <f>TABLAINV[[#This Row],[Conteo Físico]]-TABLAINV[[#This Row],[Cant. UND]]</f>
        <v>0</v>
      </c>
      <c r="T38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8" s="165" t="str">
        <f>IFERROR(IF(MOD(TABLAINV[[#This Row],[C]],2)=0,"PAR","IMPAR"),"Zona")</f>
        <v>IMPAR</v>
      </c>
      <c r="W388" s="166"/>
      <c r="X388" s="167">
        <f>IFERROR(IF(TABLAINV[[#This Row],[Cant. UND]]=0,TABLAINV[[#This Row],[PMV]]*TABLAINV[[#This Row],[Conteo Físico]],TABLAINV[[#This Row],[PMV]]*TABLAINV[[#This Row],[Cant. UND]]),0)</f>
        <v>0</v>
      </c>
      <c r="Y388" s="167">
        <f>IFERROR(ABS(TABLAINV[[#This Row],[PMV]]*TABLAINV[[#This Row],[Diferencia]]),0)</f>
        <v>0</v>
      </c>
      <c r="Z388" s="168">
        <f>IFERROR(VLOOKUP(TABLAINV[[#This Row],[Codigo Estado]],unds!O:P,2,0),"PEND.")</f>
        <v>9995</v>
      </c>
      <c r="AA388" s="168" t="str">
        <f t="shared" si="19"/>
        <v>CD09</v>
      </c>
      <c r="AB388" s="169">
        <f t="shared" ca="1" si="20"/>
        <v>45827</v>
      </c>
    </row>
    <row r="389" spans="1:32" ht="15" customHeight="1" x14ac:dyDescent="0.2">
      <c r="A389" s="170" t="str">
        <f t="shared" si="18"/>
        <v>MRC01</v>
      </c>
      <c r="B389" s="160" t="str">
        <f>IF(TABLAINV[[#This Row],[Z]]="","",D389&amp;"."&amp;TEXT(E389,"000")&amp;"."&amp;TEXT(F389,"000")&amp;"."&amp;TEXT(G389,"000"))</f>
        <v>MR.C01.231.002</v>
      </c>
      <c r="C389" s="161"/>
      <c r="D389" s="162" t="s">
        <v>95</v>
      </c>
      <c r="E389" s="162" t="s">
        <v>96</v>
      </c>
      <c r="F389" s="162">
        <v>231</v>
      </c>
      <c r="G389" s="162">
        <v>2</v>
      </c>
      <c r="H389" s="162">
        <v>228076</v>
      </c>
      <c r="I389" s="162" t="s">
        <v>434</v>
      </c>
      <c r="J389" s="171">
        <v>6</v>
      </c>
      <c r="K389" s="162" t="s">
        <v>77</v>
      </c>
      <c r="L389" s="163" t="s">
        <v>435</v>
      </c>
      <c r="M389" s="162" t="s">
        <v>99</v>
      </c>
      <c r="N389" s="161" t="s">
        <v>91</v>
      </c>
      <c r="O389" s="161">
        <v>6</v>
      </c>
      <c r="P389" s="163">
        <v>6</v>
      </c>
      <c r="Q389" s="163"/>
      <c r="R389" s="162"/>
      <c r="S389" s="164">
        <f>TABLAINV[[#This Row],[Conteo Físico]]-TABLAINV[[#This Row],[Cant. UND]]</f>
        <v>0</v>
      </c>
      <c r="T38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8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89" s="165" t="str">
        <f>IFERROR(IF(MOD(TABLAINV[[#This Row],[C]],2)=0,"PAR","IMPAR"),"Zona")</f>
        <v>IMPAR</v>
      </c>
      <c r="W389" s="166"/>
      <c r="X389" s="167">
        <f>IFERROR(IF(TABLAINV[[#This Row],[Cant. UND]]=0,TABLAINV[[#This Row],[PMV]]*TABLAINV[[#This Row],[Conteo Físico]],TABLAINV[[#This Row],[PMV]]*TABLAINV[[#This Row],[Cant. UND]]),0)</f>
        <v>0</v>
      </c>
      <c r="Y389" s="167">
        <f>IFERROR(ABS(TABLAINV[[#This Row],[PMV]]*TABLAINV[[#This Row],[Diferencia]]),0)</f>
        <v>0</v>
      </c>
      <c r="Z389" s="168">
        <f>IFERROR(VLOOKUP(TABLAINV[[#This Row],[Codigo Estado]],unds!O:P,2,0),"PEND.")</f>
        <v>9995</v>
      </c>
      <c r="AA389" s="168" t="str">
        <f t="shared" si="19"/>
        <v>CD09</v>
      </c>
      <c r="AB389" s="169">
        <f t="shared" ca="1" si="20"/>
        <v>45827</v>
      </c>
    </row>
    <row r="390" spans="1:32" ht="15" customHeight="1" x14ac:dyDescent="0.2">
      <c r="A390" s="170" t="str">
        <f t="shared" si="18"/>
        <v>MRC01</v>
      </c>
      <c r="B390" s="160" t="str">
        <f>IF(TABLAINV[[#This Row],[Z]]="","",D390&amp;"."&amp;TEXT(E390,"000")&amp;"."&amp;TEXT(F390,"000")&amp;"."&amp;TEXT(G390,"000"))</f>
        <v>MR.C01.231.002</v>
      </c>
      <c r="C390" s="161"/>
      <c r="D390" s="162" t="s">
        <v>95</v>
      </c>
      <c r="E390" s="162" t="s">
        <v>96</v>
      </c>
      <c r="F390" s="162">
        <v>231</v>
      </c>
      <c r="G390" s="162">
        <v>2</v>
      </c>
      <c r="H390" s="162">
        <v>262192</v>
      </c>
      <c r="I390" s="162" t="s">
        <v>436</v>
      </c>
      <c r="J390" s="171">
        <v>1</v>
      </c>
      <c r="K390" s="162" t="s">
        <v>65</v>
      </c>
      <c r="L390" s="163" t="s">
        <v>115</v>
      </c>
      <c r="M390" s="162" t="s">
        <v>99</v>
      </c>
      <c r="N390" s="161" t="s">
        <v>91</v>
      </c>
      <c r="O390" s="161">
        <v>1</v>
      </c>
      <c r="P390" s="163">
        <v>1</v>
      </c>
      <c r="Q390" s="163"/>
      <c r="R390" s="162"/>
      <c r="S390" s="164">
        <f>TABLAINV[[#This Row],[Conteo Físico]]-TABLAINV[[#This Row],[Cant. UND]]</f>
        <v>0</v>
      </c>
      <c r="T39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0" s="165" t="str">
        <f>IFERROR(IF(MOD(TABLAINV[[#This Row],[C]],2)=0,"PAR","IMPAR"),"Zona")</f>
        <v>IMPAR</v>
      </c>
      <c r="W390" s="166"/>
      <c r="X390" s="167">
        <f>IFERROR(IF(TABLAINV[[#This Row],[Cant. UND]]=0,TABLAINV[[#This Row],[PMV]]*TABLAINV[[#This Row],[Conteo Físico]],TABLAINV[[#This Row],[PMV]]*TABLAINV[[#This Row],[Cant. UND]]),0)</f>
        <v>0</v>
      </c>
      <c r="Y390" s="167">
        <f>IFERROR(ABS(TABLAINV[[#This Row],[PMV]]*TABLAINV[[#This Row],[Diferencia]]),0)</f>
        <v>0</v>
      </c>
      <c r="Z390" s="168" t="str">
        <f>IFERROR(VLOOKUP(TABLAINV[[#This Row],[Codigo Estado]],unds!O:P,2,0),"PEND.")</f>
        <v>N.A</v>
      </c>
      <c r="AA390" s="168" t="str">
        <f t="shared" si="19"/>
        <v>CD09</v>
      </c>
      <c r="AB390" s="169">
        <f t="shared" ca="1" si="20"/>
        <v>45827</v>
      </c>
    </row>
    <row r="391" spans="1:32" ht="15" customHeight="1" x14ac:dyDescent="0.2">
      <c r="A391" s="170" t="str">
        <f t="shared" si="18"/>
        <v>MRC01</v>
      </c>
      <c r="B391" s="160" t="str">
        <f>IF(TABLAINV[[#This Row],[Z]]="","",D391&amp;"."&amp;TEXT(E391,"000")&amp;"."&amp;TEXT(F391,"000")&amp;"."&amp;TEXT(G391,"000"))</f>
        <v>MR.C01.231.002</v>
      </c>
      <c r="C391" s="161"/>
      <c r="D391" s="162" t="s">
        <v>95</v>
      </c>
      <c r="E391" s="162" t="s">
        <v>96</v>
      </c>
      <c r="F391" s="162">
        <v>231</v>
      </c>
      <c r="G391" s="162">
        <v>2</v>
      </c>
      <c r="H391" s="162">
        <v>317947</v>
      </c>
      <c r="I391" s="162" t="s">
        <v>114</v>
      </c>
      <c r="J391" s="171">
        <v>1</v>
      </c>
      <c r="K391" s="162" t="s">
        <v>65</v>
      </c>
      <c r="L391" s="163" t="s">
        <v>115</v>
      </c>
      <c r="M391" s="162" t="s">
        <v>99</v>
      </c>
      <c r="N391" s="161" t="s">
        <v>91</v>
      </c>
      <c r="O391" s="161">
        <v>1</v>
      </c>
      <c r="P391" s="163">
        <v>1</v>
      </c>
      <c r="Q391" s="163"/>
      <c r="R391" s="162"/>
      <c r="S391" s="164">
        <f>TABLAINV[[#This Row],[Conteo Físico]]-TABLAINV[[#This Row],[Cant. UND]]</f>
        <v>0</v>
      </c>
      <c r="T39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1" s="165" t="str">
        <f>IFERROR(IF(MOD(TABLAINV[[#This Row],[C]],2)=0,"PAR","IMPAR"),"Zona")</f>
        <v>IMPAR</v>
      </c>
      <c r="W391" s="166"/>
      <c r="X391" s="167">
        <f>IFERROR(IF(TABLAINV[[#This Row],[Cant. UND]]=0,TABLAINV[[#This Row],[PMV]]*TABLAINV[[#This Row],[Conteo Físico]],TABLAINV[[#This Row],[PMV]]*TABLAINV[[#This Row],[Cant. UND]]),0)</f>
        <v>0</v>
      </c>
      <c r="Y391" s="167">
        <f>IFERROR(ABS(TABLAINV[[#This Row],[PMV]]*TABLAINV[[#This Row],[Diferencia]]),0)</f>
        <v>0</v>
      </c>
      <c r="Z391" s="168" t="str">
        <f>IFERROR(VLOOKUP(TABLAINV[[#This Row],[Codigo Estado]],unds!O:P,2,0),"PEND.")</f>
        <v>N.A</v>
      </c>
      <c r="AA391" s="168" t="str">
        <f t="shared" si="19"/>
        <v>CD09</v>
      </c>
      <c r="AB391" s="169">
        <f t="shared" ca="1" si="20"/>
        <v>45827</v>
      </c>
    </row>
    <row r="392" spans="1:32" ht="15" customHeight="1" x14ac:dyDescent="0.2">
      <c r="A392" s="170" t="str">
        <f t="shared" si="18"/>
        <v>MRC01</v>
      </c>
      <c r="B392" s="160" t="str">
        <f>IF(TABLAINV[[#This Row],[Z]]="","",D392&amp;"."&amp;TEXT(E392,"000")&amp;"."&amp;TEXT(F392,"000")&amp;"."&amp;TEXT(G392,"000"))</f>
        <v>MR.C01.231.002</v>
      </c>
      <c r="C392" s="161"/>
      <c r="D392" s="162" t="s">
        <v>95</v>
      </c>
      <c r="E392" s="162" t="s">
        <v>96</v>
      </c>
      <c r="F392" s="162">
        <v>231</v>
      </c>
      <c r="G392" s="162">
        <v>2</v>
      </c>
      <c r="H392" s="162">
        <v>3202</v>
      </c>
      <c r="I392" s="162" t="s">
        <v>437</v>
      </c>
      <c r="J392" s="171">
        <v>11</v>
      </c>
      <c r="K392" s="162" t="s">
        <v>65</v>
      </c>
      <c r="L392" s="163" t="s">
        <v>115</v>
      </c>
      <c r="M392" s="162" t="s">
        <v>99</v>
      </c>
      <c r="N392" s="161" t="s">
        <v>91</v>
      </c>
      <c r="O392" s="161">
        <v>11</v>
      </c>
      <c r="P392" s="163">
        <v>11</v>
      </c>
      <c r="Q392" s="163"/>
      <c r="R392" s="162"/>
      <c r="S392" s="164">
        <f>TABLAINV[[#This Row],[Conteo Físico]]-TABLAINV[[#This Row],[Cant. UND]]</f>
        <v>0</v>
      </c>
      <c r="T39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2" s="165" t="str">
        <f>IFERROR(IF(MOD(TABLAINV[[#This Row],[C]],2)=0,"PAR","IMPAR"),"Zona")</f>
        <v>IMPAR</v>
      </c>
      <c r="W392" s="166"/>
      <c r="X392" s="167">
        <f>IFERROR(IF(TABLAINV[[#This Row],[Cant. UND]]=0,TABLAINV[[#This Row],[PMV]]*TABLAINV[[#This Row],[Conteo Físico]],TABLAINV[[#This Row],[PMV]]*TABLAINV[[#This Row],[Cant. UND]]),0)</f>
        <v>0</v>
      </c>
      <c r="Y392" s="167">
        <f>IFERROR(ABS(TABLAINV[[#This Row],[PMV]]*TABLAINV[[#This Row],[Diferencia]]),0)</f>
        <v>0</v>
      </c>
      <c r="Z392" s="168" t="str">
        <f>IFERROR(VLOOKUP(TABLAINV[[#This Row],[Codigo Estado]],unds!O:P,2,0),"PEND.")</f>
        <v>N.A</v>
      </c>
      <c r="AA392" s="168" t="str">
        <f t="shared" si="19"/>
        <v>CD09</v>
      </c>
      <c r="AB392" s="169">
        <f t="shared" ca="1" si="20"/>
        <v>45827</v>
      </c>
    </row>
    <row r="393" spans="1:32" ht="15" customHeight="1" x14ac:dyDescent="0.2">
      <c r="A393" s="170" t="str">
        <f t="shared" si="18"/>
        <v>MRC01</v>
      </c>
      <c r="B393" s="160" t="str">
        <f>IF(TABLAINV[[#This Row],[Z]]="","",D393&amp;"."&amp;TEXT(E393,"000")&amp;"."&amp;TEXT(F393,"000")&amp;"."&amp;TEXT(G393,"000"))</f>
        <v>MR.C01.231.002</v>
      </c>
      <c r="C393" s="161"/>
      <c r="D393" s="162" t="s">
        <v>95</v>
      </c>
      <c r="E393" s="162" t="s">
        <v>96</v>
      </c>
      <c r="F393" s="162">
        <v>231</v>
      </c>
      <c r="G393" s="162">
        <v>2</v>
      </c>
      <c r="H393" s="162">
        <v>3287</v>
      </c>
      <c r="I393" s="162" t="s">
        <v>438</v>
      </c>
      <c r="J393" s="171">
        <v>6</v>
      </c>
      <c r="K393" s="162" t="s">
        <v>77</v>
      </c>
      <c r="L393" s="163" t="s">
        <v>134</v>
      </c>
      <c r="M393" s="162" t="s">
        <v>111</v>
      </c>
      <c r="N393" s="161" t="s">
        <v>91</v>
      </c>
      <c r="O393" s="161">
        <v>6</v>
      </c>
      <c r="P393" s="163">
        <v>6</v>
      </c>
      <c r="Q393" s="163"/>
      <c r="R393" s="162"/>
      <c r="S393" s="164">
        <f>TABLAINV[[#This Row],[Conteo Físico]]-TABLAINV[[#This Row],[Cant. UND]]</f>
        <v>0</v>
      </c>
      <c r="T39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3" s="165" t="str">
        <f>IFERROR(IF(MOD(TABLAINV[[#This Row],[C]],2)=0,"PAR","IMPAR"),"Zona")</f>
        <v>IMPAR</v>
      </c>
      <c r="W393" s="166"/>
      <c r="X393" s="167">
        <f>IFERROR(IF(TABLAINV[[#This Row],[Cant. UND]]=0,TABLAINV[[#This Row],[PMV]]*TABLAINV[[#This Row],[Conteo Físico]],TABLAINV[[#This Row],[PMV]]*TABLAINV[[#This Row],[Cant. UND]]),0)</f>
        <v>0</v>
      </c>
      <c r="Y393" s="167">
        <f>IFERROR(ABS(TABLAINV[[#This Row],[PMV]]*TABLAINV[[#This Row],[Diferencia]]),0)</f>
        <v>0</v>
      </c>
      <c r="Z393" s="168">
        <f>IFERROR(VLOOKUP(TABLAINV[[#This Row],[Codigo Estado]],unds!O:P,2,0),"PEND.")</f>
        <v>9995</v>
      </c>
      <c r="AA393" s="168" t="str">
        <f t="shared" si="19"/>
        <v>CD09</v>
      </c>
      <c r="AB393" s="169">
        <f t="shared" ca="1" si="20"/>
        <v>45827</v>
      </c>
    </row>
    <row r="394" spans="1:32" ht="15" customHeight="1" x14ac:dyDescent="0.2">
      <c r="A394" s="170" t="str">
        <f t="shared" ref="A394:A430" si="21">D394&amp;E394</f>
        <v>MRC01</v>
      </c>
      <c r="B394" s="160" t="str">
        <f>IF(TABLAINV[[#This Row],[Z]]="","",D394&amp;"."&amp;TEXT(E394,"000")&amp;"."&amp;TEXT(F394,"000")&amp;"."&amp;TEXT(G394,"000"))</f>
        <v>MR.C01.231.002</v>
      </c>
      <c r="C394" s="161"/>
      <c r="D394" s="162" t="s">
        <v>95</v>
      </c>
      <c r="E394" s="162" t="s">
        <v>96</v>
      </c>
      <c r="F394" s="162">
        <v>231</v>
      </c>
      <c r="G394" s="162">
        <v>2</v>
      </c>
      <c r="H394" s="162">
        <v>376554</v>
      </c>
      <c r="I394" s="162" t="s">
        <v>439</v>
      </c>
      <c r="J394" s="171">
        <v>1</v>
      </c>
      <c r="K394" s="162" t="s">
        <v>77</v>
      </c>
      <c r="L394" s="163" t="s">
        <v>244</v>
      </c>
      <c r="M394" s="162" t="s">
        <v>99</v>
      </c>
      <c r="N394" s="161" t="s">
        <v>91</v>
      </c>
      <c r="O394" s="161">
        <v>1</v>
      </c>
      <c r="P394" s="163">
        <v>1</v>
      </c>
      <c r="Q394" s="163"/>
      <c r="R394" s="162"/>
      <c r="S394" s="164">
        <f>TABLAINV[[#This Row],[Conteo Físico]]-TABLAINV[[#This Row],[Cant. UND]]</f>
        <v>0</v>
      </c>
      <c r="T39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4" s="165" t="str">
        <f>IFERROR(IF(MOD(TABLAINV[[#This Row],[C]],2)=0,"PAR","IMPAR"),"Zona")</f>
        <v>IMPAR</v>
      </c>
      <c r="W394" s="166"/>
      <c r="X394" s="167">
        <f>IFERROR(IF(TABLAINV[[#This Row],[Cant. UND]]=0,TABLAINV[[#This Row],[PMV]]*TABLAINV[[#This Row],[Conteo Físico]],TABLAINV[[#This Row],[PMV]]*TABLAINV[[#This Row],[Cant. UND]]),0)</f>
        <v>0</v>
      </c>
      <c r="Y394" s="167">
        <f>IFERROR(ABS(TABLAINV[[#This Row],[PMV]]*TABLAINV[[#This Row],[Diferencia]]),0)</f>
        <v>0</v>
      </c>
      <c r="Z394" s="168">
        <f>IFERROR(VLOOKUP(TABLAINV[[#This Row],[Codigo Estado]],unds!O:P,2,0),"PEND.")</f>
        <v>9995</v>
      </c>
      <c r="AA394" s="168" t="str">
        <f t="shared" ref="AA394:AA430" si="22">$AA$1</f>
        <v>CD09</v>
      </c>
      <c r="AB394" s="169">
        <f t="shared" ref="AB394:AB430" ca="1" si="23">TODAY()</f>
        <v>45827</v>
      </c>
    </row>
    <row r="395" spans="1:32" ht="15" customHeight="1" x14ac:dyDescent="0.2">
      <c r="A395" s="170" t="str">
        <f t="shared" si="21"/>
        <v>MRC01</v>
      </c>
      <c r="B395" s="160" t="str">
        <f>IF(TABLAINV[[#This Row],[Z]]="","",D395&amp;"."&amp;TEXT(E395,"000")&amp;"."&amp;TEXT(F395,"000")&amp;"."&amp;TEXT(G395,"000"))</f>
        <v>MR.C01.231.002</v>
      </c>
      <c r="C395" s="161"/>
      <c r="D395" s="162" t="s">
        <v>95</v>
      </c>
      <c r="E395" s="162" t="s">
        <v>96</v>
      </c>
      <c r="F395" s="162">
        <v>231</v>
      </c>
      <c r="G395" s="162">
        <v>2</v>
      </c>
      <c r="H395" s="162">
        <v>394373002</v>
      </c>
      <c r="I395" s="162" t="s">
        <v>440</v>
      </c>
      <c r="J395" s="171">
        <v>3</v>
      </c>
      <c r="K395" s="162" t="s">
        <v>65</v>
      </c>
      <c r="L395" s="163" t="s">
        <v>115</v>
      </c>
      <c r="M395" s="162" t="s">
        <v>99</v>
      </c>
      <c r="N395" s="161" t="s">
        <v>91</v>
      </c>
      <c r="O395" s="161">
        <v>3</v>
      </c>
      <c r="P395" s="163">
        <v>3</v>
      </c>
      <c r="Q395" s="163"/>
      <c r="R395" s="162"/>
      <c r="S395" s="164">
        <f>TABLAINV[[#This Row],[Conteo Físico]]-TABLAINV[[#This Row],[Cant. UND]]</f>
        <v>0</v>
      </c>
      <c r="T39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5" s="165" t="str">
        <f>IFERROR(IF(MOD(TABLAINV[[#This Row],[C]],2)=0,"PAR","IMPAR"),"Zona")</f>
        <v>IMPAR</v>
      </c>
      <c r="W395" s="166"/>
      <c r="X395" s="167">
        <f>IFERROR(IF(TABLAINV[[#This Row],[Cant. UND]]=0,TABLAINV[[#This Row],[PMV]]*TABLAINV[[#This Row],[Conteo Físico]],TABLAINV[[#This Row],[PMV]]*TABLAINV[[#This Row],[Cant. UND]]),0)</f>
        <v>0</v>
      </c>
      <c r="Y395" s="167">
        <f>IFERROR(ABS(TABLAINV[[#This Row],[PMV]]*TABLAINV[[#This Row],[Diferencia]]),0)</f>
        <v>0</v>
      </c>
      <c r="Z395" s="168" t="str">
        <f>IFERROR(VLOOKUP(TABLAINV[[#This Row],[Codigo Estado]],unds!O:P,2,0),"PEND.")</f>
        <v>N.A</v>
      </c>
      <c r="AA395" s="168" t="str">
        <f t="shared" si="22"/>
        <v>CD09</v>
      </c>
      <c r="AB395" s="169">
        <f t="shared" ca="1" si="23"/>
        <v>45827</v>
      </c>
    </row>
    <row r="396" spans="1:32" ht="15" customHeight="1" x14ac:dyDescent="0.2">
      <c r="A396" s="170" t="str">
        <f t="shared" si="21"/>
        <v>MRC01</v>
      </c>
      <c r="B396" s="160" t="str">
        <f>IF(TABLAINV[[#This Row],[Z]]="","",D396&amp;"."&amp;TEXT(E396,"000")&amp;"."&amp;TEXT(F396,"000")&amp;"."&amp;TEXT(G396,"000"))</f>
        <v>MR.C01.231.002</v>
      </c>
      <c r="C396" s="161"/>
      <c r="D396" s="162" t="s">
        <v>95</v>
      </c>
      <c r="E396" s="162" t="s">
        <v>96</v>
      </c>
      <c r="F396" s="162">
        <v>231</v>
      </c>
      <c r="G396" s="162">
        <v>2</v>
      </c>
      <c r="H396" s="162">
        <v>395221</v>
      </c>
      <c r="I396" s="162" t="s">
        <v>441</v>
      </c>
      <c r="J396" s="171">
        <v>1</v>
      </c>
      <c r="K396" s="162" t="s">
        <v>65</v>
      </c>
      <c r="L396" s="163" t="s">
        <v>117</v>
      </c>
      <c r="M396" s="162" t="s">
        <v>99</v>
      </c>
      <c r="N396" s="161" t="s">
        <v>91</v>
      </c>
      <c r="O396" s="161">
        <v>1</v>
      </c>
      <c r="P396" s="163">
        <v>1</v>
      </c>
      <c r="Q396" s="163"/>
      <c r="R396" s="162"/>
      <c r="S396" s="164">
        <f>TABLAINV[[#This Row],[Conteo Físico]]-TABLAINV[[#This Row],[Cant. UND]]</f>
        <v>0</v>
      </c>
      <c r="T39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6" s="165" t="str">
        <f>IFERROR(IF(MOD(TABLAINV[[#This Row],[C]],2)=0,"PAR","IMPAR"),"Zona")</f>
        <v>IMPAR</v>
      </c>
      <c r="W396" s="166"/>
      <c r="X396" s="167">
        <f>IFERROR(IF(TABLAINV[[#This Row],[Cant. UND]]=0,TABLAINV[[#This Row],[PMV]]*TABLAINV[[#This Row],[Conteo Físico]],TABLAINV[[#This Row],[PMV]]*TABLAINV[[#This Row],[Cant. UND]]),0)</f>
        <v>0</v>
      </c>
      <c r="Y396" s="167">
        <f>IFERROR(ABS(TABLAINV[[#This Row],[PMV]]*TABLAINV[[#This Row],[Diferencia]]),0)</f>
        <v>0</v>
      </c>
      <c r="Z396" s="168" t="str">
        <f>IFERROR(VLOOKUP(TABLAINV[[#This Row],[Codigo Estado]],unds!O:P,2,0),"PEND.")</f>
        <v>N.A</v>
      </c>
      <c r="AA396" s="168" t="str">
        <f t="shared" si="22"/>
        <v>CD09</v>
      </c>
      <c r="AB396" s="169">
        <f t="shared" ca="1" si="23"/>
        <v>45827</v>
      </c>
    </row>
    <row r="397" spans="1:32" ht="15" customHeight="1" x14ac:dyDescent="0.2">
      <c r="A397" s="170" t="str">
        <f t="shared" si="21"/>
        <v>MRC01</v>
      </c>
      <c r="B397" s="160" t="str">
        <f>IF(TABLAINV[[#This Row],[Z]]="","",D397&amp;"."&amp;TEXT(E397,"000")&amp;"."&amp;TEXT(F397,"000")&amp;"."&amp;TEXT(G397,"000"))</f>
        <v>MR.C01.231.002</v>
      </c>
      <c r="C397" s="161"/>
      <c r="D397" s="162" t="s">
        <v>95</v>
      </c>
      <c r="E397" s="162" t="s">
        <v>96</v>
      </c>
      <c r="F397" s="162">
        <v>231</v>
      </c>
      <c r="G397" s="162">
        <v>2</v>
      </c>
      <c r="H397" s="162">
        <v>418210</v>
      </c>
      <c r="I397" s="162" t="s">
        <v>442</v>
      </c>
      <c r="J397" s="171">
        <v>1</v>
      </c>
      <c r="K397" s="162" t="s">
        <v>65</v>
      </c>
      <c r="L397" s="163" t="s">
        <v>113</v>
      </c>
      <c r="M397" s="162" t="s">
        <v>99</v>
      </c>
      <c r="N397" s="161" t="s">
        <v>91</v>
      </c>
      <c r="O397" s="161">
        <v>1</v>
      </c>
      <c r="P397" s="163">
        <v>1</v>
      </c>
      <c r="Q397" s="163"/>
      <c r="R397" s="162"/>
      <c r="S397" s="164">
        <f>TABLAINV[[#This Row],[Conteo Físico]]-TABLAINV[[#This Row],[Cant. UND]]</f>
        <v>0</v>
      </c>
      <c r="T39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7" s="165" t="str">
        <f>IFERROR(IF(MOD(TABLAINV[[#This Row],[C]],2)=0,"PAR","IMPAR"),"Zona")</f>
        <v>IMPAR</v>
      </c>
      <c r="W397" s="166"/>
      <c r="X397" s="167">
        <f>IFERROR(IF(TABLAINV[[#This Row],[Cant. UND]]=0,TABLAINV[[#This Row],[PMV]]*TABLAINV[[#This Row],[Conteo Físico]],TABLAINV[[#This Row],[PMV]]*TABLAINV[[#This Row],[Cant. UND]]),0)</f>
        <v>0</v>
      </c>
      <c r="Y397" s="167">
        <f>IFERROR(ABS(TABLAINV[[#This Row],[PMV]]*TABLAINV[[#This Row],[Diferencia]]),0)</f>
        <v>0</v>
      </c>
      <c r="Z397" s="168" t="str">
        <f>IFERROR(VLOOKUP(TABLAINV[[#This Row],[Codigo Estado]],unds!O:P,2,0),"PEND.")</f>
        <v>N.A</v>
      </c>
      <c r="AA397" s="168" t="str">
        <f t="shared" si="22"/>
        <v>CD09</v>
      </c>
      <c r="AB397" s="169">
        <f t="shared" ca="1" si="23"/>
        <v>45827</v>
      </c>
    </row>
    <row r="398" spans="1:32" ht="15" customHeight="1" x14ac:dyDescent="0.2">
      <c r="A398" s="170" t="str">
        <f t="shared" si="21"/>
        <v>MRC01</v>
      </c>
      <c r="B398" s="160" t="str">
        <f>IF(TABLAINV[[#This Row],[Z]]="","",D398&amp;"."&amp;TEXT(E398,"000")&amp;"."&amp;TEXT(F398,"000")&amp;"."&amp;TEXT(G398,"000"))</f>
        <v>MR.C01.231.002</v>
      </c>
      <c r="C398" s="161"/>
      <c r="D398" s="162" t="s">
        <v>95</v>
      </c>
      <c r="E398" s="162" t="s">
        <v>96</v>
      </c>
      <c r="F398" s="162">
        <v>231</v>
      </c>
      <c r="G398" s="162">
        <v>2</v>
      </c>
      <c r="H398" s="162">
        <v>428369</v>
      </c>
      <c r="I398" s="162" t="s">
        <v>443</v>
      </c>
      <c r="J398" s="171">
        <v>1</v>
      </c>
      <c r="K398" s="162" t="s">
        <v>65</v>
      </c>
      <c r="L398" s="163" t="s">
        <v>115</v>
      </c>
      <c r="M398" s="162" t="s">
        <v>99</v>
      </c>
      <c r="N398" s="161" t="s">
        <v>91</v>
      </c>
      <c r="O398" s="161">
        <v>1</v>
      </c>
      <c r="P398" s="163">
        <v>1</v>
      </c>
      <c r="Q398" s="163"/>
      <c r="R398" s="162"/>
      <c r="S398" s="164">
        <f>TABLAINV[[#This Row],[Conteo Físico]]-TABLAINV[[#This Row],[Cant. UND]]</f>
        <v>0</v>
      </c>
      <c r="T39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8" s="165" t="str">
        <f>IFERROR(IF(MOD(TABLAINV[[#This Row],[C]],2)=0,"PAR","IMPAR"),"Zona")</f>
        <v>IMPAR</v>
      </c>
      <c r="W398" s="166"/>
      <c r="X398" s="167">
        <f>IFERROR(IF(TABLAINV[[#This Row],[Cant. UND]]=0,TABLAINV[[#This Row],[PMV]]*TABLAINV[[#This Row],[Conteo Físico]],TABLAINV[[#This Row],[PMV]]*TABLAINV[[#This Row],[Cant. UND]]),0)</f>
        <v>0</v>
      </c>
      <c r="Y398" s="167">
        <f>IFERROR(ABS(TABLAINV[[#This Row],[PMV]]*TABLAINV[[#This Row],[Diferencia]]),0)</f>
        <v>0</v>
      </c>
      <c r="Z398" s="168" t="str">
        <f>IFERROR(VLOOKUP(TABLAINV[[#This Row],[Codigo Estado]],unds!O:P,2,0),"PEND.")</f>
        <v>N.A</v>
      </c>
      <c r="AA398" s="168" t="str">
        <f t="shared" si="22"/>
        <v>CD09</v>
      </c>
      <c r="AB398" s="169">
        <f t="shared" ca="1" si="23"/>
        <v>45827</v>
      </c>
    </row>
    <row r="399" spans="1:32" ht="15" customHeight="1" x14ac:dyDescent="0.2">
      <c r="A399" s="170" t="str">
        <f t="shared" si="21"/>
        <v>MRC01</v>
      </c>
      <c r="B399" s="160" t="str">
        <f>IF(TABLAINV[[#This Row],[Z]]="","",D399&amp;"."&amp;TEXT(E399,"000")&amp;"."&amp;TEXT(F399,"000")&amp;"."&amp;TEXT(G399,"000"))</f>
        <v>MR.C01.231.002</v>
      </c>
      <c r="C399" s="161"/>
      <c r="D399" s="162" t="s">
        <v>95</v>
      </c>
      <c r="E399" s="162" t="s">
        <v>96</v>
      </c>
      <c r="F399" s="162">
        <v>231</v>
      </c>
      <c r="G399" s="162">
        <v>2</v>
      </c>
      <c r="H399" s="162">
        <v>4352</v>
      </c>
      <c r="I399" s="162" t="s">
        <v>444</v>
      </c>
      <c r="J399" s="171">
        <v>12</v>
      </c>
      <c r="K399" s="162" t="s">
        <v>65</v>
      </c>
      <c r="L399" s="163" t="s">
        <v>110</v>
      </c>
      <c r="M399" s="162" t="s">
        <v>111</v>
      </c>
      <c r="N399" s="161" t="s">
        <v>91</v>
      </c>
      <c r="O399" s="161">
        <v>12</v>
      </c>
      <c r="P399" s="163">
        <v>12</v>
      </c>
      <c r="Q399" s="163"/>
      <c r="R399" s="162"/>
      <c r="S399" s="164">
        <f>TABLAINV[[#This Row],[Conteo Físico]]-TABLAINV[[#This Row],[Cant. UND]]</f>
        <v>0</v>
      </c>
      <c r="T39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39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399" s="165" t="str">
        <f>IFERROR(IF(MOD(TABLAINV[[#This Row],[C]],2)=0,"PAR","IMPAR"),"Zona")</f>
        <v>IMPAR</v>
      </c>
      <c r="W399" s="166"/>
      <c r="X399" s="167">
        <f>IFERROR(IF(TABLAINV[[#This Row],[Cant. UND]]=0,TABLAINV[[#This Row],[PMV]]*TABLAINV[[#This Row],[Conteo Físico]],TABLAINV[[#This Row],[PMV]]*TABLAINV[[#This Row],[Cant. UND]]),0)</f>
        <v>0</v>
      </c>
      <c r="Y399" s="167">
        <f>IFERROR(ABS(TABLAINV[[#This Row],[PMV]]*TABLAINV[[#This Row],[Diferencia]]),0)</f>
        <v>0</v>
      </c>
      <c r="Z399" s="168" t="str">
        <f>IFERROR(VLOOKUP(TABLAINV[[#This Row],[Codigo Estado]],unds!O:P,2,0),"PEND.")</f>
        <v>N.A</v>
      </c>
      <c r="AA399" s="168" t="str">
        <f t="shared" si="22"/>
        <v>CD09</v>
      </c>
      <c r="AB399" s="169">
        <f t="shared" ca="1" si="23"/>
        <v>45827</v>
      </c>
    </row>
    <row r="400" spans="1:32" ht="15" customHeight="1" x14ac:dyDescent="0.2">
      <c r="A400" s="170" t="str">
        <f t="shared" si="21"/>
        <v>MRC01</v>
      </c>
      <c r="B400" s="160" t="str">
        <f>IF(TABLAINV[[#This Row],[Z]]="","",D400&amp;"."&amp;TEXT(E400,"000")&amp;"."&amp;TEXT(F400,"000")&amp;"."&amp;TEXT(G400,"000"))</f>
        <v>MR.C01.231.002</v>
      </c>
      <c r="C400" s="161"/>
      <c r="D400" s="162" t="s">
        <v>95</v>
      </c>
      <c r="E400" s="162" t="s">
        <v>96</v>
      </c>
      <c r="F400" s="162">
        <v>231</v>
      </c>
      <c r="G400" s="162">
        <v>2</v>
      </c>
      <c r="H400" s="162">
        <v>4772</v>
      </c>
      <c r="I400" s="162" t="s">
        <v>445</v>
      </c>
      <c r="J400" s="171">
        <v>4</v>
      </c>
      <c r="K400" s="162" t="s">
        <v>65</v>
      </c>
      <c r="L400" s="163" t="s">
        <v>115</v>
      </c>
      <c r="M400" s="162" t="s">
        <v>99</v>
      </c>
      <c r="N400" s="161" t="s">
        <v>91</v>
      </c>
      <c r="O400" s="161">
        <v>4</v>
      </c>
      <c r="P400" s="163">
        <v>4</v>
      </c>
      <c r="Q400" s="163"/>
      <c r="R400" s="162"/>
      <c r="S400" s="164">
        <f>TABLAINV[[#This Row],[Conteo Físico]]-TABLAINV[[#This Row],[Cant. UND]]</f>
        <v>0</v>
      </c>
      <c r="T40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0" s="165" t="str">
        <f>IFERROR(IF(MOD(TABLAINV[[#This Row],[C]],2)=0,"PAR","IMPAR"),"Zona")</f>
        <v>IMPAR</v>
      </c>
      <c r="W400" s="166"/>
      <c r="X400" s="167">
        <f>IFERROR(IF(TABLAINV[[#This Row],[Cant. UND]]=0,TABLAINV[[#This Row],[PMV]]*TABLAINV[[#This Row],[Conteo Físico]],TABLAINV[[#This Row],[PMV]]*TABLAINV[[#This Row],[Cant. UND]]),0)</f>
        <v>0</v>
      </c>
      <c r="Y400" s="167">
        <f>IFERROR(ABS(TABLAINV[[#This Row],[PMV]]*TABLAINV[[#This Row],[Diferencia]]),0)</f>
        <v>0</v>
      </c>
      <c r="Z400" s="168" t="str">
        <f>IFERROR(VLOOKUP(TABLAINV[[#This Row],[Codigo Estado]],unds!O:P,2,0),"PEND.")</f>
        <v>N.A</v>
      </c>
      <c r="AA400" s="168" t="str">
        <f t="shared" si="22"/>
        <v>CD09</v>
      </c>
      <c r="AB400" s="169">
        <f t="shared" ca="1" si="23"/>
        <v>45827</v>
      </c>
    </row>
    <row r="401" spans="1:28" ht="15" customHeight="1" x14ac:dyDescent="0.2">
      <c r="A401" s="170" t="str">
        <f t="shared" si="21"/>
        <v>MRC01</v>
      </c>
      <c r="B401" s="160" t="str">
        <f>IF(TABLAINV[[#This Row],[Z]]="","",D401&amp;"."&amp;TEXT(E401,"000")&amp;"."&amp;TEXT(F401,"000")&amp;"."&amp;TEXT(G401,"000"))</f>
        <v>MR.C01.231.002</v>
      </c>
      <c r="C401" s="161"/>
      <c r="D401" s="162" t="s">
        <v>95</v>
      </c>
      <c r="E401" s="162" t="s">
        <v>96</v>
      </c>
      <c r="F401" s="162">
        <v>231</v>
      </c>
      <c r="G401" s="162">
        <v>2</v>
      </c>
      <c r="H401" s="162">
        <v>506558002</v>
      </c>
      <c r="I401" s="162" t="s">
        <v>446</v>
      </c>
      <c r="J401" s="171">
        <v>12</v>
      </c>
      <c r="K401" s="162" t="s">
        <v>65</v>
      </c>
      <c r="L401" s="163" t="s">
        <v>115</v>
      </c>
      <c r="M401" s="162" t="s">
        <v>99</v>
      </c>
      <c r="N401" s="161" t="s">
        <v>91</v>
      </c>
      <c r="O401" s="161">
        <v>12</v>
      </c>
      <c r="P401" s="163">
        <v>12</v>
      </c>
      <c r="Q401" s="163"/>
      <c r="R401" s="162"/>
      <c r="S401" s="164">
        <f>TABLAINV[[#This Row],[Conteo Físico]]-TABLAINV[[#This Row],[Cant. UND]]</f>
        <v>0</v>
      </c>
      <c r="T40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1" s="165" t="str">
        <f>IFERROR(IF(MOD(TABLAINV[[#This Row],[C]],2)=0,"PAR","IMPAR"),"Zona")</f>
        <v>IMPAR</v>
      </c>
      <c r="W401" s="166"/>
      <c r="X401" s="167">
        <f>IFERROR(IF(TABLAINV[[#This Row],[Cant. UND]]=0,TABLAINV[[#This Row],[PMV]]*TABLAINV[[#This Row],[Conteo Físico]],TABLAINV[[#This Row],[PMV]]*TABLAINV[[#This Row],[Cant. UND]]),0)</f>
        <v>0</v>
      </c>
      <c r="Y401" s="167">
        <f>IFERROR(ABS(TABLAINV[[#This Row],[PMV]]*TABLAINV[[#This Row],[Diferencia]]),0)</f>
        <v>0</v>
      </c>
      <c r="Z401" s="168" t="str">
        <f>IFERROR(VLOOKUP(TABLAINV[[#This Row],[Codigo Estado]],unds!O:P,2,0),"PEND.")</f>
        <v>N.A</v>
      </c>
      <c r="AA401" s="168" t="str">
        <f t="shared" si="22"/>
        <v>CD09</v>
      </c>
      <c r="AB401" s="169">
        <f t="shared" ca="1" si="23"/>
        <v>45827</v>
      </c>
    </row>
    <row r="402" spans="1:28" ht="15" customHeight="1" x14ac:dyDescent="0.2">
      <c r="A402" s="170" t="str">
        <f t="shared" si="21"/>
        <v>MRC01</v>
      </c>
      <c r="B402" s="160" t="str">
        <f>IF(TABLAINV[[#This Row],[Z]]="","",D402&amp;"."&amp;TEXT(E402,"000")&amp;"."&amp;TEXT(F402,"000")&amp;"."&amp;TEXT(G402,"000"))</f>
        <v>MR.C01.231.002</v>
      </c>
      <c r="C402" s="161"/>
      <c r="D402" s="162" t="s">
        <v>95</v>
      </c>
      <c r="E402" s="162" t="s">
        <v>96</v>
      </c>
      <c r="F402" s="162">
        <v>231</v>
      </c>
      <c r="G402" s="162">
        <v>2</v>
      </c>
      <c r="H402" s="162">
        <v>522972</v>
      </c>
      <c r="I402" s="162" t="s">
        <v>447</v>
      </c>
      <c r="J402" s="171">
        <v>1</v>
      </c>
      <c r="K402" s="162" t="s">
        <v>65</v>
      </c>
      <c r="L402" s="163" t="s">
        <v>115</v>
      </c>
      <c r="M402" s="162" t="s">
        <v>99</v>
      </c>
      <c r="N402" s="161" t="s">
        <v>91</v>
      </c>
      <c r="O402" s="161">
        <v>1</v>
      </c>
      <c r="P402" s="163">
        <v>1</v>
      </c>
      <c r="Q402" s="163"/>
      <c r="R402" s="162"/>
      <c r="S402" s="164">
        <f>TABLAINV[[#This Row],[Conteo Físico]]-TABLAINV[[#This Row],[Cant. UND]]</f>
        <v>0</v>
      </c>
      <c r="T40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2" s="165" t="str">
        <f>IFERROR(IF(MOD(TABLAINV[[#This Row],[C]],2)=0,"PAR","IMPAR"),"Zona")</f>
        <v>IMPAR</v>
      </c>
      <c r="W402" s="166"/>
      <c r="X402" s="167">
        <f>IFERROR(IF(TABLAINV[[#This Row],[Cant. UND]]=0,TABLAINV[[#This Row],[PMV]]*TABLAINV[[#This Row],[Conteo Físico]],TABLAINV[[#This Row],[PMV]]*TABLAINV[[#This Row],[Cant. UND]]),0)</f>
        <v>0</v>
      </c>
      <c r="Y402" s="167">
        <f>IFERROR(ABS(TABLAINV[[#This Row],[PMV]]*TABLAINV[[#This Row],[Diferencia]]),0)</f>
        <v>0</v>
      </c>
      <c r="Z402" s="168" t="str">
        <f>IFERROR(VLOOKUP(TABLAINV[[#This Row],[Codigo Estado]],unds!O:P,2,0),"PEND.")</f>
        <v>N.A</v>
      </c>
      <c r="AA402" s="168" t="str">
        <f t="shared" si="22"/>
        <v>CD09</v>
      </c>
      <c r="AB402" s="169">
        <f t="shared" ca="1" si="23"/>
        <v>45827</v>
      </c>
    </row>
    <row r="403" spans="1:28" ht="15" customHeight="1" x14ac:dyDescent="0.2">
      <c r="A403" s="170" t="str">
        <f t="shared" si="21"/>
        <v>MRC01</v>
      </c>
      <c r="B403" s="160" t="str">
        <f>IF(TABLAINV[[#This Row],[Z]]="","",D403&amp;"."&amp;TEXT(E403,"000")&amp;"."&amp;TEXT(F403,"000")&amp;"."&amp;TEXT(G403,"000"))</f>
        <v>MR.C01.231.002</v>
      </c>
      <c r="C403" s="161"/>
      <c r="D403" s="162" t="s">
        <v>95</v>
      </c>
      <c r="E403" s="162" t="s">
        <v>96</v>
      </c>
      <c r="F403" s="162">
        <v>231</v>
      </c>
      <c r="G403" s="162">
        <v>2</v>
      </c>
      <c r="H403" s="162">
        <v>531773</v>
      </c>
      <c r="I403" s="162" t="s">
        <v>448</v>
      </c>
      <c r="J403" s="171">
        <v>1</v>
      </c>
      <c r="K403" s="162" t="s">
        <v>77</v>
      </c>
      <c r="L403" s="163" t="s">
        <v>113</v>
      </c>
      <c r="M403" s="162" t="s">
        <v>99</v>
      </c>
      <c r="N403" s="161" t="s">
        <v>91</v>
      </c>
      <c r="O403" s="161">
        <v>1</v>
      </c>
      <c r="P403" s="163">
        <v>1</v>
      </c>
      <c r="Q403" s="163"/>
      <c r="R403" s="162"/>
      <c r="S403" s="164">
        <f>TABLAINV[[#This Row],[Conteo Físico]]-TABLAINV[[#This Row],[Cant. UND]]</f>
        <v>0</v>
      </c>
      <c r="T40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3" s="165" t="str">
        <f>IFERROR(IF(MOD(TABLAINV[[#This Row],[C]],2)=0,"PAR","IMPAR"),"Zona")</f>
        <v>IMPAR</v>
      </c>
      <c r="W403" s="166"/>
      <c r="X403" s="167">
        <f>IFERROR(IF(TABLAINV[[#This Row],[Cant. UND]]=0,TABLAINV[[#This Row],[PMV]]*TABLAINV[[#This Row],[Conteo Físico]],TABLAINV[[#This Row],[PMV]]*TABLAINV[[#This Row],[Cant. UND]]),0)</f>
        <v>0</v>
      </c>
      <c r="Y403" s="167">
        <f>IFERROR(ABS(TABLAINV[[#This Row],[PMV]]*TABLAINV[[#This Row],[Diferencia]]),0)</f>
        <v>0</v>
      </c>
      <c r="Z403" s="168">
        <f>IFERROR(VLOOKUP(TABLAINV[[#This Row],[Codigo Estado]],unds!O:P,2,0),"PEND.")</f>
        <v>9995</v>
      </c>
      <c r="AA403" s="168" t="str">
        <f t="shared" si="22"/>
        <v>CD09</v>
      </c>
      <c r="AB403" s="169">
        <f t="shared" ca="1" si="23"/>
        <v>45827</v>
      </c>
    </row>
    <row r="404" spans="1:28" ht="15" customHeight="1" x14ac:dyDescent="0.2">
      <c r="A404" s="170" t="str">
        <f t="shared" si="21"/>
        <v>MRC01</v>
      </c>
      <c r="B404" s="160" t="str">
        <f>IF(TABLAINV[[#This Row],[Z]]="","",D404&amp;"."&amp;TEXT(E404,"000")&amp;"."&amp;TEXT(F404,"000")&amp;"."&amp;TEXT(G404,"000"))</f>
        <v>MR.C01.231.002</v>
      </c>
      <c r="C404" s="161"/>
      <c r="D404" s="162" t="s">
        <v>95</v>
      </c>
      <c r="E404" s="162" t="s">
        <v>96</v>
      </c>
      <c r="F404" s="162">
        <v>231</v>
      </c>
      <c r="G404" s="162">
        <v>2</v>
      </c>
      <c r="H404" s="162">
        <v>557846</v>
      </c>
      <c r="I404" s="162" t="s">
        <v>449</v>
      </c>
      <c r="J404" s="171">
        <v>1</v>
      </c>
      <c r="K404" s="162" t="s">
        <v>65</v>
      </c>
      <c r="L404" s="163" t="s">
        <v>450</v>
      </c>
      <c r="M404" s="162" t="s">
        <v>99</v>
      </c>
      <c r="N404" s="161" t="s">
        <v>91</v>
      </c>
      <c r="O404" s="161">
        <v>1</v>
      </c>
      <c r="P404" s="163">
        <v>1</v>
      </c>
      <c r="Q404" s="163"/>
      <c r="R404" s="162"/>
      <c r="S404" s="164">
        <f>TABLAINV[[#This Row],[Conteo Físico]]-TABLAINV[[#This Row],[Cant. UND]]</f>
        <v>0</v>
      </c>
      <c r="T40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4" s="165" t="str">
        <f>IFERROR(IF(MOD(TABLAINV[[#This Row],[C]],2)=0,"PAR","IMPAR"),"Zona")</f>
        <v>IMPAR</v>
      </c>
      <c r="W404" s="166"/>
      <c r="X404" s="167">
        <f>IFERROR(IF(TABLAINV[[#This Row],[Cant. UND]]=0,TABLAINV[[#This Row],[PMV]]*TABLAINV[[#This Row],[Conteo Físico]],TABLAINV[[#This Row],[PMV]]*TABLAINV[[#This Row],[Cant. UND]]),0)</f>
        <v>0</v>
      </c>
      <c r="Y404" s="167">
        <f>IFERROR(ABS(TABLAINV[[#This Row],[PMV]]*TABLAINV[[#This Row],[Diferencia]]),0)</f>
        <v>0</v>
      </c>
      <c r="Z404" s="168" t="str">
        <f>IFERROR(VLOOKUP(TABLAINV[[#This Row],[Codigo Estado]],unds!O:P,2,0),"PEND.")</f>
        <v>N.A</v>
      </c>
      <c r="AA404" s="168" t="str">
        <f t="shared" si="22"/>
        <v>CD09</v>
      </c>
      <c r="AB404" s="169">
        <f t="shared" ca="1" si="23"/>
        <v>45827</v>
      </c>
    </row>
    <row r="405" spans="1:28" ht="15" customHeight="1" x14ac:dyDescent="0.2">
      <c r="A405" s="170" t="str">
        <f t="shared" si="21"/>
        <v>MRC01</v>
      </c>
      <c r="B405" s="160" t="str">
        <f>IF(TABLAINV[[#This Row],[Z]]="","",D405&amp;"."&amp;TEXT(E405,"000")&amp;"."&amp;TEXT(F405,"000")&amp;"."&amp;TEXT(G405,"000"))</f>
        <v>MR.C01.231.002</v>
      </c>
      <c r="C405" s="161"/>
      <c r="D405" s="162" t="s">
        <v>95</v>
      </c>
      <c r="E405" s="162" t="s">
        <v>96</v>
      </c>
      <c r="F405" s="162">
        <v>231</v>
      </c>
      <c r="G405" s="162">
        <v>2</v>
      </c>
      <c r="H405" s="162">
        <v>560744002</v>
      </c>
      <c r="I405" s="162" t="s">
        <v>451</v>
      </c>
      <c r="J405" s="171">
        <v>1</v>
      </c>
      <c r="K405" s="162" t="s">
        <v>77</v>
      </c>
      <c r="L405" s="163" t="s">
        <v>115</v>
      </c>
      <c r="M405" s="162" t="s">
        <v>99</v>
      </c>
      <c r="N405" s="161" t="s">
        <v>91</v>
      </c>
      <c r="O405" s="161">
        <v>1</v>
      </c>
      <c r="P405" s="163">
        <v>1</v>
      </c>
      <c r="Q405" s="163"/>
      <c r="R405" s="162"/>
      <c r="S405" s="164">
        <f>TABLAINV[[#This Row],[Conteo Físico]]-TABLAINV[[#This Row],[Cant. UND]]</f>
        <v>0</v>
      </c>
      <c r="T40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5" s="165" t="str">
        <f>IFERROR(IF(MOD(TABLAINV[[#This Row],[C]],2)=0,"PAR","IMPAR"),"Zona")</f>
        <v>IMPAR</v>
      </c>
      <c r="W405" s="166"/>
      <c r="X405" s="167">
        <f>IFERROR(IF(TABLAINV[[#This Row],[Cant. UND]]=0,TABLAINV[[#This Row],[PMV]]*TABLAINV[[#This Row],[Conteo Físico]],TABLAINV[[#This Row],[PMV]]*TABLAINV[[#This Row],[Cant. UND]]),0)</f>
        <v>0</v>
      </c>
      <c r="Y405" s="167">
        <f>IFERROR(ABS(TABLAINV[[#This Row],[PMV]]*TABLAINV[[#This Row],[Diferencia]]),0)</f>
        <v>0</v>
      </c>
      <c r="Z405" s="168">
        <f>IFERROR(VLOOKUP(TABLAINV[[#This Row],[Codigo Estado]],unds!O:P,2,0),"PEND.")</f>
        <v>9995</v>
      </c>
      <c r="AA405" s="168" t="str">
        <f t="shared" si="22"/>
        <v>CD09</v>
      </c>
      <c r="AB405" s="169">
        <f t="shared" ca="1" si="23"/>
        <v>45827</v>
      </c>
    </row>
    <row r="406" spans="1:28" ht="15" customHeight="1" x14ac:dyDescent="0.2">
      <c r="A406" s="170" t="str">
        <f t="shared" si="21"/>
        <v>MRC01</v>
      </c>
      <c r="B406" s="160" t="str">
        <f>IF(TABLAINV[[#This Row],[Z]]="","",D406&amp;"."&amp;TEXT(E406,"000")&amp;"."&amp;TEXT(F406,"000")&amp;"."&amp;TEXT(G406,"000"))</f>
        <v>MR.C01.231.002</v>
      </c>
      <c r="C406" s="161"/>
      <c r="D406" s="162" t="s">
        <v>95</v>
      </c>
      <c r="E406" s="162" t="s">
        <v>96</v>
      </c>
      <c r="F406" s="162">
        <v>231</v>
      </c>
      <c r="G406" s="162">
        <v>2</v>
      </c>
      <c r="H406" s="162">
        <v>574668</v>
      </c>
      <c r="I406" s="162" t="s">
        <v>452</v>
      </c>
      <c r="J406" s="171">
        <v>1</v>
      </c>
      <c r="K406" s="162" t="s">
        <v>77</v>
      </c>
      <c r="L406" s="163" t="s">
        <v>117</v>
      </c>
      <c r="M406" s="162" t="s">
        <v>99</v>
      </c>
      <c r="N406" s="161" t="s">
        <v>91</v>
      </c>
      <c r="O406" s="161">
        <v>1</v>
      </c>
      <c r="P406" s="163">
        <v>1</v>
      </c>
      <c r="Q406" s="163"/>
      <c r="R406" s="162"/>
      <c r="S406" s="164">
        <f>TABLAINV[[#This Row],[Conteo Físico]]-TABLAINV[[#This Row],[Cant. UND]]</f>
        <v>0</v>
      </c>
      <c r="T40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6" s="165" t="str">
        <f>IFERROR(IF(MOD(TABLAINV[[#This Row],[C]],2)=0,"PAR","IMPAR"),"Zona")</f>
        <v>IMPAR</v>
      </c>
      <c r="W406" s="166"/>
      <c r="X406" s="167">
        <f>IFERROR(IF(TABLAINV[[#This Row],[Cant. UND]]=0,TABLAINV[[#This Row],[PMV]]*TABLAINV[[#This Row],[Conteo Físico]],TABLAINV[[#This Row],[PMV]]*TABLAINV[[#This Row],[Cant. UND]]),0)</f>
        <v>0</v>
      </c>
      <c r="Y406" s="167">
        <f>IFERROR(ABS(TABLAINV[[#This Row],[PMV]]*TABLAINV[[#This Row],[Diferencia]]),0)</f>
        <v>0</v>
      </c>
      <c r="Z406" s="168">
        <f>IFERROR(VLOOKUP(TABLAINV[[#This Row],[Codigo Estado]],unds!O:P,2,0),"PEND.")</f>
        <v>9995</v>
      </c>
      <c r="AA406" s="168" t="str">
        <f t="shared" si="22"/>
        <v>CD09</v>
      </c>
      <c r="AB406" s="169">
        <f t="shared" ca="1" si="23"/>
        <v>45827</v>
      </c>
    </row>
    <row r="407" spans="1:28" ht="15" customHeight="1" x14ac:dyDescent="0.2">
      <c r="A407" s="170" t="str">
        <f t="shared" si="21"/>
        <v>MRC01</v>
      </c>
      <c r="B407" s="160" t="str">
        <f>IF(TABLAINV[[#This Row],[Z]]="","",D407&amp;"."&amp;TEXT(E407,"000")&amp;"."&amp;TEXT(F407,"000")&amp;"."&amp;TEXT(G407,"000"))</f>
        <v>MR.C01.231.002</v>
      </c>
      <c r="C407" s="161"/>
      <c r="D407" s="162" t="s">
        <v>95</v>
      </c>
      <c r="E407" s="162" t="s">
        <v>96</v>
      </c>
      <c r="F407" s="162">
        <v>231</v>
      </c>
      <c r="G407" s="162">
        <v>2</v>
      </c>
      <c r="H407" s="162">
        <v>59393001</v>
      </c>
      <c r="I407" s="162" t="s">
        <v>453</v>
      </c>
      <c r="J407" s="171">
        <v>1</v>
      </c>
      <c r="K407" s="162" t="s">
        <v>65</v>
      </c>
      <c r="L407" s="163" t="s">
        <v>110</v>
      </c>
      <c r="M407" s="162" t="s">
        <v>111</v>
      </c>
      <c r="N407" s="161" t="s">
        <v>91</v>
      </c>
      <c r="O407" s="161">
        <v>1</v>
      </c>
      <c r="P407" s="163">
        <v>1</v>
      </c>
      <c r="Q407" s="163"/>
      <c r="R407" s="162"/>
      <c r="S407" s="164">
        <f>TABLAINV[[#This Row],[Conteo Físico]]-TABLAINV[[#This Row],[Cant. UND]]</f>
        <v>0</v>
      </c>
      <c r="T40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7" s="165" t="str">
        <f>IFERROR(IF(MOD(TABLAINV[[#This Row],[C]],2)=0,"PAR","IMPAR"),"Zona")</f>
        <v>IMPAR</v>
      </c>
      <c r="W407" s="166"/>
      <c r="X407" s="167">
        <f>IFERROR(IF(TABLAINV[[#This Row],[Cant. UND]]=0,TABLAINV[[#This Row],[PMV]]*TABLAINV[[#This Row],[Conteo Físico]],TABLAINV[[#This Row],[PMV]]*TABLAINV[[#This Row],[Cant. UND]]),0)</f>
        <v>0</v>
      </c>
      <c r="Y407" s="167">
        <f>IFERROR(ABS(TABLAINV[[#This Row],[PMV]]*TABLAINV[[#This Row],[Diferencia]]),0)</f>
        <v>0</v>
      </c>
      <c r="Z407" s="168" t="str">
        <f>IFERROR(VLOOKUP(TABLAINV[[#This Row],[Codigo Estado]],unds!O:P,2,0),"PEND.")</f>
        <v>N.A</v>
      </c>
      <c r="AA407" s="168" t="str">
        <f t="shared" si="22"/>
        <v>CD09</v>
      </c>
      <c r="AB407" s="169">
        <f t="shared" ca="1" si="23"/>
        <v>45827</v>
      </c>
    </row>
    <row r="408" spans="1:28" ht="15" customHeight="1" x14ac:dyDescent="0.2">
      <c r="A408" s="170" t="str">
        <f t="shared" si="21"/>
        <v>MRC01</v>
      </c>
      <c r="B408" s="160" t="str">
        <f>IF(TABLAINV[[#This Row],[Z]]="","",D408&amp;"."&amp;TEXT(E408,"000")&amp;"."&amp;TEXT(F408,"000")&amp;"."&amp;TEXT(G408,"000"))</f>
        <v>MR.C01.231.002</v>
      </c>
      <c r="C408" s="161"/>
      <c r="D408" s="162" t="s">
        <v>95</v>
      </c>
      <c r="E408" s="162" t="s">
        <v>96</v>
      </c>
      <c r="F408" s="162">
        <v>231</v>
      </c>
      <c r="G408" s="162">
        <v>2</v>
      </c>
      <c r="H408" s="162">
        <v>59505001</v>
      </c>
      <c r="I408" s="162" t="s">
        <v>194</v>
      </c>
      <c r="J408" s="171">
        <v>1</v>
      </c>
      <c r="K408" s="162" t="s">
        <v>65</v>
      </c>
      <c r="L408" s="163" t="s">
        <v>98</v>
      </c>
      <c r="M408" s="162" t="s">
        <v>99</v>
      </c>
      <c r="N408" s="161" t="s">
        <v>91</v>
      </c>
      <c r="O408" s="161">
        <v>1</v>
      </c>
      <c r="P408" s="163">
        <v>1</v>
      </c>
      <c r="Q408" s="163"/>
      <c r="R408" s="162"/>
      <c r="S408" s="164">
        <f>TABLAINV[[#This Row],[Conteo Físico]]-TABLAINV[[#This Row],[Cant. UND]]</f>
        <v>0</v>
      </c>
      <c r="T40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8" s="165" t="str">
        <f>IFERROR(IF(MOD(TABLAINV[[#This Row],[C]],2)=0,"PAR","IMPAR"),"Zona")</f>
        <v>IMPAR</v>
      </c>
      <c r="W408" s="166"/>
      <c r="X408" s="167">
        <f>IFERROR(IF(TABLAINV[[#This Row],[Cant. UND]]=0,TABLAINV[[#This Row],[PMV]]*TABLAINV[[#This Row],[Conteo Físico]],TABLAINV[[#This Row],[PMV]]*TABLAINV[[#This Row],[Cant. UND]]),0)</f>
        <v>0</v>
      </c>
      <c r="Y408" s="167">
        <f>IFERROR(ABS(TABLAINV[[#This Row],[PMV]]*TABLAINV[[#This Row],[Diferencia]]),0)</f>
        <v>0</v>
      </c>
      <c r="Z408" s="168" t="str">
        <f>IFERROR(VLOOKUP(TABLAINV[[#This Row],[Codigo Estado]],unds!O:P,2,0),"PEND.")</f>
        <v>N.A</v>
      </c>
      <c r="AA408" s="168" t="str">
        <f t="shared" si="22"/>
        <v>CD09</v>
      </c>
      <c r="AB408" s="169">
        <f t="shared" ca="1" si="23"/>
        <v>45827</v>
      </c>
    </row>
    <row r="409" spans="1:28" ht="15" customHeight="1" x14ac:dyDescent="0.2">
      <c r="A409" s="170" t="str">
        <f t="shared" si="21"/>
        <v>MRC01</v>
      </c>
      <c r="B409" s="160" t="str">
        <f>IF(TABLAINV[[#This Row],[Z]]="","",D409&amp;"."&amp;TEXT(E409,"000")&amp;"."&amp;TEXT(F409,"000")&amp;"."&amp;TEXT(G409,"000"))</f>
        <v>MR.C01.231.002</v>
      </c>
      <c r="C409" s="161"/>
      <c r="D409" s="162" t="s">
        <v>95</v>
      </c>
      <c r="E409" s="162" t="s">
        <v>96</v>
      </c>
      <c r="F409" s="162">
        <v>231</v>
      </c>
      <c r="G409" s="162">
        <v>2</v>
      </c>
      <c r="H409" s="162">
        <v>702667</v>
      </c>
      <c r="I409" s="162" t="s">
        <v>454</v>
      </c>
      <c r="J409" s="171">
        <v>1</v>
      </c>
      <c r="K409" s="162" t="s">
        <v>65</v>
      </c>
      <c r="L409" s="163" t="s">
        <v>164</v>
      </c>
      <c r="M409" s="162" t="s">
        <v>99</v>
      </c>
      <c r="N409" s="161" t="s">
        <v>91</v>
      </c>
      <c r="O409" s="161">
        <v>1</v>
      </c>
      <c r="P409" s="163">
        <v>1</v>
      </c>
      <c r="Q409" s="163"/>
      <c r="R409" s="162"/>
      <c r="S409" s="164">
        <f>TABLAINV[[#This Row],[Conteo Físico]]-TABLAINV[[#This Row],[Cant. UND]]</f>
        <v>0</v>
      </c>
      <c r="T40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0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09" s="165" t="str">
        <f>IFERROR(IF(MOD(TABLAINV[[#This Row],[C]],2)=0,"PAR","IMPAR"),"Zona")</f>
        <v>IMPAR</v>
      </c>
      <c r="W409" s="166"/>
      <c r="X409" s="167">
        <f>IFERROR(IF(TABLAINV[[#This Row],[Cant. UND]]=0,TABLAINV[[#This Row],[PMV]]*TABLAINV[[#This Row],[Conteo Físico]],TABLAINV[[#This Row],[PMV]]*TABLAINV[[#This Row],[Cant. UND]]),0)</f>
        <v>0</v>
      </c>
      <c r="Y409" s="167">
        <f>IFERROR(ABS(TABLAINV[[#This Row],[PMV]]*TABLAINV[[#This Row],[Diferencia]]),0)</f>
        <v>0</v>
      </c>
      <c r="Z409" s="168" t="str">
        <f>IFERROR(VLOOKUP(TABLAINV[[#This Row],[Codigo Estado]],unds!O:P,2,0),"PEND.")</f>
        <v>N.A</v>
      </c>
      <c r="AA409" s="168" t="str">
        <f t="shared" si="22"/>
        <v>CD09</v>
      </c>
      <c r="AB409" s="169">
        <f t="shared" ca="1" si="23"/>
        <v>45827</v>
      </c>
    </row>
    <row r="410" spans="1:28" ht="15" customHeight="1" x14ac:dyDescent="0.2">
      <c r="A410" s="170" t="str">
        <f t="shared" si="21"/>
        <v>MRC01</v>
      </c>
      <c r="B410" s="160" t="str">
        <f>IF(TABLAINV[[#This Row],[Z]]="","",D410&amp;"."&amp;TEXT(E410,"000")&amp;"."&amp;TEXT(F410,"000")&amp;"."&amp;TEXT(G410,"000"))</f>
        <v>MR.C01.231.002</v>
      </c>
      <c r="C410" s="161"/>
      <c r="D410" s="162" t="s">
        <v>95</v>
      </c>
      <c r="E410" s="162" t="s">
        <v>96</v>
      </c>
      <c r="F410" s="162">
        <v>231</v>
      </c>
      <c r="G410" s="162">
        <v>2</v>
      </c>
      <c r="H410" s="162">
        <v>735373002</v>
      </c>
      <c r="I410" s="162" t="s">
        <v>224</v>
      </c>
      <c r="J410" s="171">
        <v>1</v>
      </c>
      <c r="K410" s="162" t="s">
        <v>77</v>
      </c>
      <c r="L410" s="163" t="s">
        <v>113</v>
      </c>
      <c r="M410" s="162" t="s">
        <v>99</v>
      </c>
      <c r="N410" s="161" t="s">
        <v>91</v>
      </c>
      <c r="O410" s="161">
        <v>1</v>
      </c>
      <c r="P410" s="163">
        <v>1</v>
      </c>
      <c r="Q410" s="163"/>
      <c r="R410" s="162"/>
      <c r="S410" s="164">
        <f>TABLAINV[[#This Row],[Conteo Físico]]-TABLAINV[[#This Row],[Cant. UND]]</f>
        <v>0</v>
      </c>
      <c r="T41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0" s="165" t="str">
        <f>IFERROR(IF(MOD(TABLAINV[[#This Row],[C]],2)=0,"PAR","IMPAR"),"Zona")</f>
        <v>IMPAR</v>
      </c>
      <c r="W410" s="166"/>
      <c r="X410" s="167">
        <f>IFERROR(IF(TABLAINV[[#This Row],[Cant. UND]]=0,TABLAINV[[#This Row],[PMV]]*TABLAINV[[#This Row],[Conteo Físico]],TABLAINV[[#This Row],[PMV]]*TABLAINV[[#This Row],[Cant. UND]]),0)</f>
        <v>0</v>
      </c>
      <c r="Y410" s="167">
        <f>IFERROR(ABS(TABLAINV[[#This Row],[PMV]]*TABLAINV[[#This Row],[Diferencia]]),0)</f>
        <v>0</v>
      </c>
      <c r="Z410" s="168">
        <f>IFERROR(VLOOKUP(TABLAINV[[#This Row],[Codigo Estado]],unds!O:P,2,0),"PEND.")</f>
        <v>9995</v>
      </c>
      <c r="AA410" s="168" t="str">
        <f t="shared" si="22"/>
        <v>CD09</v>
      </c>
      <c r="AB410" s="169">
        <f t="shared" ca="1" si="23"/>
        <v>45827</v>
      </c>
    </row>
    <row r="411" spans="1:28" ht="15" customHeight="1" x14ac:dyDescent="0.2">
      <c r="A411" s="170" t="str">
        <f t="shared" si="21"/>
        <v>MRC01</v>
      </c>
      <c r="B411" s="160" t="str">
        <f>IF(TABLAINV[[#This Row],[Z]]="","",D411&amp;"."&amp;TEXT(E411,"000")&amp;"."&amp;TEXT(F411,"000")&amp;"."&amp;TEXT(G411,"000"))</f>
        <v>MR.C01.231.002</v>
      </c>
      <c r="C411" s="161"/>
      <c r="D411" s="162" t="s">
        <v>95</v>
      </c>
      <c r="E411" s="162" t="s">
        <v>96</v>
      </c>
      <c r="F411" s="162">
        <v>231</v>
      </c>
      <c r="G411" s="162">
        <v>2</v>
      </c>
      <c r="H411" s="162">
        <v>736118</v>
      </c>
      <c r="I411" s="162" t="s">
        <v>289</v>
      </c>
      <c r="J411" s="171">
        <v>1</v>
      </c>
      <c r="K411" s="162" t="s">
        <v>65</v>
      </c>
      <c r="L411" s="163" t="s">
        <v>98</v>
      </c>
      <c r="M411" s="162" t="s">
        <v>99</v>
      </c>
      <c r="N411" s="161" t="s">
        <v>91</v>
      </c>
      <c r="O411" s="161">
        <v>1</v>
      </c>
      <c r="P411" s="163">
        <v>1</v>
      </c>
      <c r="Q411" s="163"/>
      <c r="R411" s="162"/>
      <c r="S411" s="164">
        <f>TABLAINV[[#This Row],[Conteo Físico]]-TABLAINV[[#This Row],[Cant. UND]]</f>
        <v>0</v>
      </c>
      <c r="T41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1" s="165" t="str">
        <f>IFERROR(IF(MOD(TABLAINV[[#This Row],[C]],2)=0,"PAR","IMPAR"),"Zona")</f>
        <v>IMPAR</v>
      </c>
      <c r="W411" s="166"/>
      <c r="X411" s="167">
        <f>IFERROR(IF(TABLAINV[[#This Row],[Cant. UND]]=0,TABLAINV[[#This Row],[PMV]]*TABLAINV[[#This Row],[Conteo Físico]],TABLAINV[[#This Row],[PMV]]*TABLAINV[[#This Row],[Cant. UND]]),0)</f>
        <v>0</v>
      </c>
      <c r="Y411" s="167">
        <f>IFERROR(ABS(TABLAINV[[#This Row],[PMV]]*TABLAINV[[#This Row],[Diferencia]]),0)</f>
        <v>0</v>
      </c>
      <c r="Z411" s="168" t="str">
        <f>IFERROR(VLOOKUP(TABLAINV[[#This Row],[Codigo Estado]],unds!O:P,2,0),"PEND.")</f>
        <v>N.A</v>
      </c>
      <c r="AA411" s="168" t="str">
        <f t="shared" si="22"/>
        <v>CD09</v>
      </c>
      <c r="AB411" s="169">
        <f t="shared" ca="1" si="23"/>
        <v>45827</v>
      </c>
    </row>
    <row r="412" spans="1:28" ht="15" customHeight="1" x14ac:dyDescent="0.2">
      <c r="A412" s="170" t="str">
        <f t="shared" si="21"/>
        <v>MRC01</v>
      </c>
      <c r="B412" s="160" t="str">
        <f>IF(TABLAINV[[#This Row],[Z]]="","",D412&amp;"."&amp;TEXT(E412,"000")&amp;"."&amp;TEXT(F412,"000")&amp;"."&amp;TEXT(G412,"000"))</f>
        <v>MR.C01.231.002</v>
      </c>
      <c r="C412" s="161"/>
      <c r="D412" s="162" t="s">
        <v>95</v>
      </c>
      <c r="E412" s="162" t="s">
        <v>96</v>
      </c>
      <c r="F412" s="162">
        <v>231</v>
      </c>
      <c r="G412" s="162">
        <v>2</v>
      </c>
      <c r="H412" s="162">
        <v>754392</v>
      </c>
      <c r="I412" s="162" t="s">
        <v>243</v>
      </c>
      <c r="J412" s="171">
        <v>2</v>
      </c>
      <c r="K412" s="162" t="s">
        <v>65</v>
      </c>
      <c r="L412" s="163" t="s">
        <v>244</v>
      </c>
      <c r="M412" s="162" t="s">
        <v>99</v>
      </c>
      <c r="N412" s="161" t="s">
        <v>91</v>
      </c>
      <c r="O412" s="161">
        <v>2</v>
      </c>
      <c r="P412" s="163">
        <v>2</v>
      </c>
      <c r="Q412" s="163"/>
      <c r="R412" s="162"/>
      <c r="S412" s="164">
        <f>TABLAINV[[#This Row],[Conteo Físico]]-TABLAINV[[#This Row],[Cant. UND]]</f>
        <v>0</v>
      </c>
      <c r="T41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2" s="165" t="str">
        <f>IFERROR(IF(MOD(TABLAINV[[#This Row],[C]],2)=0,"PAR","IMPAR"),"Zona")</f>
        <v>IMPAR</v>
      </c>
      <c r="W412" s="166"/>
      <c r="X412" s="167">
        <f>IFERROR(IF(TABLAINV[[#This Row],[Cant. UND]]=0,TABLAINV[[#This Row],[PMV]]*TABLAINV[[#This Row],[Conteo Físico]],TABLAINV[[#This Row],[PMV]]*TABLAINV[[#This Row],[Cant. UND]]),0)</f>
        <v>0</v>
      </c>
      <c r="Y412" s="167">
        <f>IFERROR(ABS(TABLAINV[[#This Row],[PMV]]*TABLAINV[[#This Row],[Diferencia]]),0)</f>
        <v>0</v>
      </c>
      <c r="Z412" s="168" t="str">
        <f>IFERROR(VLOOKUP(TABLAINV[[#This Row],[Codigo Estado]],unds!O:P,2,0),"PEND.")</f>
        <v>N.A</v>
      </c>
      <c r="AA412" s="168" t="str">
        <f t="shared" si="22"/>
        <v>CD09</v>
      </c>
      <c r="AB412" s="169">
        <f t="shared" ca="1" si="23"/>
        <v>45827</v>
      </c>
    </row>
    <row r="413" spans="1:28" ht="15" customHeight="1" x14ac:dyDescent="0.2">
      <c r="A413" s="170" t="str">
        <f t="shared" si="21"/>
        <v>MRC01</v>
      </c>
      <c r="B413" s="160" t="str">
        <f>IF(TABLAINV[[#This Row],[Z]]="","",D413&amp;"."&amp;TEXT(E413,"000")&amp;"."&amp;TEXT(F413,"000")&amp;"."&amp;TEXT(G413,"000"))</f>
        <v>MR.C01.231.002</v>
      </c>
      <c r="C413" s="161"/>
      <c r="D413" s="162" t="s">
        <v>95</v>
      </c>
      <c r="E413" s="162" t="s">
        <v>96</v>
      </c>
      <c r="F413" s="162">
        <v>231</v>
      </c>
      <c r="G413" s="162">
        <v>2</v>
      </c>
      <c r="H413" s="162">
        <v>759710</v>
      </c>
      <c r="I413" s="162" t="s">
        <v>455</v>
      </c>
      <c r="J413" s="171">
        <v>2</v>
      </c>
      <c r="K413" s="162" t="s">
        <v>65</v>
      </c>
      <c r="L413" s="163" t="s">
        <v>456</v>
      </c>
      <c r="M413" s="162" t="s">
        <v>99</v>
      </c>
      <c r="N413" s="161" t="s">
        <v>91</v>
      </c>
      <c r="O413" s="161">
        <v>2</v>
      </c>
      <c r="P413" s="163">
        <v>2</v>
      </c>
      <c r="Q413" s="163"/>
      <c r="R413" s="162"/>
      <c r="S413" s="164">
        <f>TABLAINV[[#This Row],[Conteo Físico]]-TABLAINV[[#This Row],[Cant. UND]]</f>
        <v>0</v>
      </c>
      <c r="T41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3" s="165" t="str">
        <f>IFERROR(IF(MOD(TABLAINV[[#This Row],[C]],2)=0,"PAR","IMPAR"),"Zona")</f>
        <v>IMPAR</v>
      </c>
      <c r="W413" s="166"/>
      <c r="X413" s="167">
        <f>IFERROR(IF(TABLAINV[[#This Row],[Cant. UND]]=0,TABLAINV[[#This Row],[PMV]]*TABLAINV[[#This Row],[Conteo Físico]],TABLAINV[[#This Row],[PMV]]*TABLAINV[[#This Row],[Cant. UND]]),0)</f>
        <v>0</v>
      </c>
      <c r="Y413" s="167">
        <f>IFERROR(ABS(TABLAINV[[#This Row],[PMV]]*TABLAINV[[#This Row],[Diferencia]]),0)</f>
        <v>0</v>
      </c>
      <c r="Z413" s="168" t="str">
        <f>IFERROR(VLOOKUP(TABLAINV[[#This Row],[Codigo Estado]],unds!O:P,2,0),"PEND.")</f>
        <v>N.A</v>
      </c>
      <c r="AA413" s="168" t="str">
        <f t="shared" si="22"/>
        <v>CD09</v>
      </c>
      <c r="AB413" s="169">
        <f t="shared" ca="1" si="23"/>
        <v>45827</v>
      </c>
    </row>
    <row r="414" spans="1:28" ht="15" customHeight="1" x14ac:dyDescent="0.2">
      <c r="A414" s="170" t="str">
        <f t="shared" si="21"/>
        <v>MRC01</v>
      </c>
      <c r="B414" s="160" t="str">
        <f>IF(TABLAINV[[#This Row],[Z]]="","",D414&amp;"."&amp;TEXT(E414,"000")&amp;"."&amp;TEXT(F414,"000")&amp;"."&amp;TEXT(G414,"000"))</f>
        <v>MR.C01.231.002</v>
      </c>
      <c r="C414" s="161"/>
      <c r="D414" s="162" t="s">
        <v>95</v>
      </c>
      <c r="E414" s="162" t="s">
        <v>96</v>
      </c>
      <c r="F414" s="162">
        <v>231</v>
      </c>
      <c r="G414" s="162">
        <v>2</v>
      </c>
      <c r="H414" s="162">
        <v>759829002</v>
      </c>
      <c r="I414" s="162" t="s">
        <v>457</v>
      </c>
      <c r="J414" s="171">
        <v>12</v>
      </c>
      <c r="K414" s="162" t="s">
        <v>65</v>
      </c>
      <c r="L414" s="163" t="s">
        <v>115</v>
      </c>
      <c r="M414" s="162" t="s">
        <v>99</v>
      </c>
      <c r="N414" s="161" t="s">
        <v>91</v>
      </c>
      <c r="O414" s="161">
        <v>12</v>
      </c>
      <c r="P414" s="163">
        <v>12</v>
      </c>
      <c r="Q414" s="163"/>
      <c r="R414" s="162"/>
      <c r="S414" s="164">
        <f>TABLAINV[[#This Row],[Conteo Físico]]-TABLAINV[[#This Row],[Cant. UND]]</f>
        <v>0</v>
      </c>
      <c r="T41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4" s="165" t="str">
        <f>IFERROR(IF(MOD(TABLAINV[[#This Row],[C]],2)=0,"PAR","IMPAR"),"Zona")</f>
        <v>IMPAR</v>
      </c>
      <c r="W414" s="166"/>
      <c r="X414" s="167">
        <f>IFERROR(IF(TABLAINV[[#This Row],[Cant. UND]]=0,TABLAINV[[#This Row],[PMV]]*TABLAINV[[#This Row],[Conteo Físico]],TABLAINV[[#This Row],[PMV]]*TABLAINV[[#This Row],[Cant. UND]]),0)</f>
        <v>0</v>
      </c>
      <c r="Y414" s="167">
        <f>IFERROR(ABS(TABLAINV[[#This Row],[PMV]]*TABLAINV[[#This Row],[Diferencia]]),0)</f>
        <v>0</v>
      </c>
      <c r="Z414" s="168" t="str">
        <f>IFERROR(VLOOKUP(TABLAINV[[#This Row],[Codigo Estado]],unds!O:P,2,0),"PEND.")</f>
        <v>N.A</v>
      </c>
      <c r="AA414" s="168" t="str">
        <f t="shared" si="22"/>
        <v>CD09</v>
      </c>
      <c r="AB414" s="169">
        <f t="shared" ca="1" si="23"/>
        <v>45827</v>
      </c>
    </row>
    <row r="415" spans="1:28" ht="15" customHeight="1" x14ac:dyDescent="0.2">
      <c r="A415" s="170" t="str">
        <f t="shared" si="21"/>
        <v>MRC01</v>
      </c>
      <c r="B415" s="160" t="str">
        <f>IF(TABLAINV[[#This Row],[Z]]="","",D415&amp;"."&amp;TEXT(E415,"000")&amp;"."&amp;TEXT(F415,"000")&amp;"."&amp;TEXT(G415,"000"))</f>
        <v>MR.C01.231.002</v>
      </c>
      <c r="C415" s="161"/>
      <c r="D415" s="162" t="s">
        <v>95</v>
      </c>
      <c r="E415" s="162" t="s">
        <v>96</v>
      </c>
      <c r="F415" s="162">
        <v>231</v>
      </c>
      <c r="G415" s="162">
        <v>2</v>
      </c>
      <c r="H415" s="162">
        <v>789725</v>
      </c>
      <c r="I415" s="162" t="s">
        <v>208</v>
      </c>
      <c r="J415" s="171">
        <v>1</v>
      </c>
      <c r="K415" s="162" t="s">
        <v>65</v>
      </c>
      <c r="L415" s="163" t="s">
        <v>98</v>
      </c>
      <c r="M415" s="162" t="s">
        <v>99</v>
      </c>
      <c r="N415" s="161" t="s">
        <v>91</v>
      </c>
      <c r="O415" s="161">
        <v>1</v>
      </c>
      <c r="P415" s="163">
        <v>1</v>
      </c>
      <c r="Q415" s="163"/>
      <c r="R415" s="162"/>
      <c r="S415" s="164">
        <f>TABLAINV[[#This Row],[Conteo Físico]]-TABLAINV[[#This Row],[Cant. UND]]</f>
        <v>0</v>
      </c>
      <c r="T41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5" s="165" t="str">
        <f>IFERROR(IF(MOD(TABLAINV[[#This Row],[C]],2)=0,"PAR","IMPAR"),"Zona")</f>
        <v>IMPAR</v>
      </c>
      <c r="W415" s="166"/>
      <c r="X415" s="167">
        <f>IFERROR(IF(TABLAINV[[#This Row],[Cant. UND]]=0,TABLAINV[[#This Row],[PMV]]*TABLAINV[[#This Row],[Conteo Físico]],TABLAINV[[#This Row],[PMV]]*TABLAINV[[#This Row],[Cant. UND]]),0)</f>
        <v>0</v>
      </c>
      <c r="Y415" s="167">
        <f>IFERROR(ABS(TABLAINV[[#This Row],[PMV]]*TABLAINV[[#This Row],[Diferencia]]),0)</f>
        <v>0</v>
      </c>
      <c r="Z415" s="168" t="str">
        <f>IFERROR(VLOOKUP(TABLAINV[[#This Row],[Codigo Estado]],unds!O:P,2,0),"PEND.")</f>
        <v>N.A</v>
      </c>
      <c r="AA415" s="168" t="str">
        <f t="shared" si="22"/>
        <v>CD09</v>
      </c>
      <c r="AB415" s="169">
        <f t="shared" ca="1" si="23"/>
        <v>45827</v>
      </c>
    </row>
    <row r="416" spans="1:28" ht="15" customHeight="1" x14ac:dyDescent="0.2">
      <c r="A416" s="170" t="str">
        <f t="shared" si="21"/>
        <v>MRC01</v>
      </c>
      <c r="B416" s="160" t="str">
        <f>IF(TABLAINV[[#This Row],[Z]]="","",D416&amp;"."&amp;TEXT(E416,"000")&amp;"."&amp;TEXT(F416,"000")&amp;"."&amp;TEXT(G416,"000"))</f>
        <v>MR.C01.231.002</v>
      </c>
      <c r="C416" s="161"/>
      <c r="D416" s="162" t="s">
        <v>95</v>
      </c>
      <c r="E416" s="162" t="s">
        <v>96</v>
      </c>
      <c r="F416" s="162">
        <v>231</v>
      </c>
      <c r="G416" s="162">
        <v>2</v>
      </c>
      <c r="H416" s="162">
        <v>794886</v>
      </c>
      <c r="I416" s="162" t="s">
        <v>458</v>
      </c>
      <c r="J416" s="171">
        <v>1</v>
      </c>
      <c r="K416" s="162" t="s">
        <v>65</v>
      </c>
      <c r="L416" s="163" t="s">
        <v>115</v>
      </c>
      <c r="M416" s="162" t="s">
        <v>99</v>
      </c>
      <c r="N416" s="161" t="s">
        <v>91</v>
      </c>
      <c r="O416" s="161">
        <v>1</v>
      </c>
      <c r="P416" s="163">
        <v>1</v>
      </c>
      <c r="Q416" s="163"/>
      <c r="R416" s="162"/>
      <c r="S416" s="164">
        <f>TABLAINV[[#This Row],[Conteo Físico]]-TABLAINV[[#This Row],[Cant. UND]]</f>
        <v>0</v>
      </c>
      <c r="T41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6" s="165" t="str">
        <f>IFERROR(IF(MOD(TABLAINV[[#This Row],[C]],2)=0,"PAR","IMPAR"),"Zona")</f>
        <v>IMPAR</v>
      </c>
      <c r="W416" s="166"/>
      <c r="X416" s="167">
        <f>IFERROR(IF(TABLAINV[[#This Row],[Cant. UND]]=0,TABLAINV[[#This Row],[PMV]]*TABLAINV[[#This Row],[Conteo Físico]],TABLAINV[[#This Row],[PMV]]*TABLAINV[[#This Row],[Cant. UND]]),0)</f>
        <v>0</v>
      </c>
      <c r="Y416" s="167">
        <f>IFERROR(ABS(TABLAINV[[#This Row],[PMV]]*TABLAINV[[#This Row],[Diferencia]]),0)</f>
        <v>0</v>
      </c>
      <c r="Z416" s="168" t="str">
        <f>IFERROR(VLOOKUP(TABLAINV[[#This Row],[Codigo Estado]],unds!O:P,2,0),"PEND.")</f>
        <v>N.A</v>
      </c>
      <c r="AA416" s="168" t="str">
        <f t="shared" si="22"/>
        <v>CD09</v>
      </c>
      <c r="AB416" s="169">
        <f t="shared" ca="1" si="23"/>
        <v>45827</v>
      </c>
    </row>
    <row r="417" spans="1:28" ht="15" customHeight="1" x14ac:dyDescent="0.2">
      <c r="A417" s="170" t="str">
        <f t="shared" si="21"/>
        <v>MRC01</v>
      </c>
      <c r="B417" s="160" t="str">
        <f>IF(TABLAINV[[#This Row],[Z]]="","",D417&amp;"."&amp;TEXT(E417,"000")&amp;"."&amp;TEXT(F417,"000")&amp;"."&amp;TEXT(G417,"000"))</f>
        <v>MR.C01.231.002</v>
      </c>
      <c r="C417" s="161"/>
      <c r="D417" s="162" t="s">
        <v>95</v>
      </c>
      <c r="E417" s="162" t="s">
        <v>96</v>
      </c>
      <c r="F417" s="162">
        <v>231</v>
      </c>
      <c r="G417" s="162">
        <v>2</v>
      </c>
      <c r="H417" s="162">
        <v>82823</v>
      </c>
      <c r="I417" s="162" t="s">
        <v>459</v>
      </c>
      <c r="J417" s="171">
        <v>11</v>
      </c>
      <c r="K417" s="162" t="s">
        <v>77</v>
      </c>
      <c r="L417" s="163" t="s">
        <v>115</v>
      </c>
      <c r="M417" s="162" t="s">
        <v>99</v>
      </c>
      <c r="N417" s="161" t="s">
        <v>91</v>
      </c>
      <c r="O417" s="161">
        <v>11</v>
      </c>
      <c r="P417" s="163">
        <v>11</v>
      </c>
      <c r="Q417" s="163"/>
      <c r="R417" s="162"/>
      <c r="S417" s="164">
        <f>TABLAINV[[#This Row],[Conteo Físico]]-TABLAINV[[#This Row],[Cant. UND]]</f>
        <v>0</v>
      </c>
      <c r="T41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7" s="165" t="str">
        <f>IFERROR(IF(MOD(TABLAINV[[#This Row],[C]],2)=0,"PAR","IMPAR"),"Zona")</f>
        <v>IMPAR</v>
      </c>
      <c r="W417" s="166"/>
      <c r="X417" s="167">
        <f>IFERROR(IF(TABLAINV[[#This Row],[Cant. UND]]=0,TABLAINV[[#This Row],[PMV]]*TABLAINV[[#This Row],[Conteo Físico]],TABLAINV[[#This Row],[PMV]]*TABLAINV[[#This Row],[Cant. UND]]),0)</f>
        <v>0</v>
      </c>
      <c r="Y417" s="167">
        <f>IFERROR(ABS(TABLAINV[[#This Row],[PMV]]*TABLAINV[[#This Row],[Diferencia]]),0)</f>
        <v>0</v>
      </c>
      <c r="Z417" s="168">
        <f>IFERROR(VLOOKUP(TABLAINV[[#This Row],[Codigo Estado]],unds!O:P,2,0),"PEND.")</f>
        <v>9995</v>
      </c>
      <c r="AA417" s="168" t="str">
        <f t="shared" si="22"/>
        <v>CD09</v>
      </c>
      <c r="AB417" s="169">
        <f t="shared" ca="1" si="23"/>
        <v>45827</v>
      </c>
    </row>
    <row r="418" spans="1:28" ht="15" customHeight="1" x14ac:dyDescent="0.2">
      <c r="A418" s="170" t="str">
        <f t="shared" si="21"/>
        <v>MRC01</v>
      </c>
      <c r="B418" s="160" t="str">
        <f>IF(TABLAINV[[#This Row],[Z]]="","",D418&amp;"."&amp;TEXT(E418,"000")&amp;"."&amp;TEXT(F418,"000")&amp;"."&amp;TEXT(G418,"000"))</f>
        <v>MR.C01.231.002</v>
      </c>
      <c r="C418" s="161"/>
      <c r="D418" s="162" t="s">
        <v>95</v>
      </c>
      <c r="E418" s="162" t="s">
        <v>96</v>
      </c>
      <c r="F418" s="162">
        <v>231</v>
      </c>
      <c r="G418" s="162">
        <v>2</v>
      </c>
      <c r="H418" s="162">
        <v>928913</v>
      </c>
      <c r="I418" s="162" t="s">
        <v>460</v>
      </c>
      <c r="J418" s="171">
        <v>13</v>
      </c>
      <c r="K418" s="162" t="s">
        <v>65</v>
      </c>
      <c r="L418" s="163" t="s">
        <v>212</v>
      </c>
      <c r="M418" s="162" t="s">
        <v>99</v>
      </c>
      <c r="N418" s="161" t="s">
        <v>91</v>
      </c>
      <c r="O418" s="161">
        <v>13</v>
      </c>
      <c r="P418" s="163">
        <v>13</v>
      </c>
      <c r="Q418" s="163"/>
      <c r="R418" s="162"/>
      <c r="S418" s="164">
        <f>TABLAINV[[#This Row],[Conteo Físico]]-TABLAINV[[#This Row],[Cant. UND]]</f>
        <v>0</v>
      </c>
      <c r="T41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8" s="165" t="str">
        <f>IFERROR(IF(MOD(TABLAINV[[#This Row],[C]],2)=0,"PAR","IMPAR"),"Zona")</f>
        <v>IMPAR</v>
      </c>
      <c r="W418" s="166"/>
      <c r="X418" s="167">
        <f>IFERROR(IF(TABLAINV[[#This Row],[Cant. UND]]=0,TABLAINV[[#This Row],[PMV]]*TABLAINV[[#This Row],[Conteo Físico]],TABLAINV[[#This Row],[PMV]]*TABLAINV[[#This Row],[Cant. UND]]),0)</f>
        <v>0</v>
      </c>
      <c r="Y418" s="167">
        <f>IFERROR(ABS(TABLAINV[[#This Row],[PMV]]*TABLAINV[[#This Row],[Diferencia]]),0)</f>
        <v>0</v>
      </c>
      <c r="Z418" s="168" t="str">
        <f>IFERROR(VLOOKUP(TABLAINV[[#This Row],[Codigo Estado]],unds!O:P,2,0),"PEND.")</f>
        <v>N.A</v>
      </c>
      <c r="AA418" s="168" t="str">
        <f t="shared" si="22"/>
        <v>CD09</v>
      </c>
      <c r="AB418" s="169">
        <f t="shared" ca="1" si="23"/>
        <v>45827</v>
      </c>
    </row>
    <row r="419" spans="1:28" ht="15" customHeight="1" x14ac:dyDescent="0.2">
      <c r="A419" s="170" t="str">
        <f t="shared" si="21"/>
        <v>MRC01</v>
      </c>
      <c r="B419" s="160" t="str">
        <f>IF(TABLAINV[[#This Row],[Z]]="","",D419&amp;"."&amp;TEXT(E419,"000")&amp;"."&amp;TEXT(F419,"000")&amp;"."&amp;TEXT(G419,"000"))</f>
        <v>MR.C01.231.002</v>
      </c>
      <c r="C419" s="161"/>
      <c r="D419" s="162" t="s">
        <v>95</v>
      </c>
      <c r="E419" s="162" t="s">
        <v>96</v>
      </c>
      <c r="F419" s="162">
        <v>231</v>
      </c>
      <c r="G419" s="162">
        <v>2</v>
      </c>
      <c r="H419" s="162">
        <v>938062</v>
      </c>
      <c r="I419" s="162" t="s">
        <v>461</v>
      </c>
      <c r="J419" s="171">
        <v>1</v>
      </c>
      <c r="K419" s="162" t="s">
        <v>65</v>
      </c>
      <c r="L419" s="163" t="s">
        <v>115</v>
      </c>
      <c r="M419" s="162" t="s">
        <v>99</v>
      </c>
      <c r="N419" s="161" t="s">
        <v>91</v>
      </c>
      <c r="O419" s="161">
        <v>1</v>
      </c>
      <c r="P419" s="163">
        <v>1</v>
      </c>
      <c r="Q419" s="163"/>
      <c r="R419" s="162"/>
      <c r="S419" s="164">
        <f>TABLAINV[[#This Row],[Conteo Físico]]-TABLAINV[[#This Row],[Cant. UND]]</f>
        <v>0</v>
      </c>
      <c r="T41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1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19" s="165" t="str">
        <f>IFERROR(IF(MOD(TABLAINV[[#This Row],[C]],2)=0,"PAR","IMPAR"),"Zona")</f>
        <v>IMPAR</v>
      </c>
      <c r="W419" s="166"/>
      <c r="X419" s="167">
        <f>IFERROR(IF(TABLAINV[[#This Row],[Cant. UND]]=0,TABLAINV[[#This Row],[PMV]]*TABLAINV[[#This Row],[Conteo Físico]],TABLAINV[[#This Row],[PMV]]*TABLAINV[[#This Row],[Cant. UND]]),0)</f>
        <v>0</v>
      </c>
      <c r="Y419" s="167">
        <f>IFERROR(ABS(TABLAINV[[#This Row],[PMV]]*TABLAINV[[#This Row],[Diferencia]]),0)</f>
        <v>0</v>
      </c>
      <c r="Z419" s="168" t="str">
        <f>IFERROR(VLOOKUP(TABLAINV[[#This Row],[Codigo Estado]],unds!O:P,2,0),"PEND.")</f>
        <v>N.A</v>
      </c>
      <c r="AA419" s="168" t="str">
        <f t="shared" si="22"/>
        <v>CD09</v>
      </c>
      <c r="AB419" s="169">
        <f t="shared" ca="1" si="23"/>
        <v>45827</v>
      </c>
    </row>
    <row r="420" spans="1:28" ht="15" customHeight="1" x14ac:dyDescent="0.2">
      <c r="A420" s="170" t="str">
        <f t="shared" si="21"/>
        <v>MRC01</v>
      </c>
      <c r="B420" s="160" t="str">
        <f>IF(TABLAINV[[#This Row],[Z]]="","",D420&amp;"."&amp;TEXT(E420,"000")&amp;"."&amp;TEXT(F420,"000")&amp;"."&amp;TEXT(G420,"000"))</f>
        <v>MR.C01.231.002</v>
      </c>
      <c r="C420" s="161"/>
      <c r="D420" s="162" t="s">
        <v>95</v>
      </c>
      <c r="E420" s="162" t="s">
        <v>96</v>
      </c>
      <c r="F420" s="162">
        <v>231</v>
      </c>
      <c r="G420" s="162">
        <v>2</v>
      </c>
      <c r="H420" s="162">
        <v>951041</v>
      </c>
      <c r="I420" s="162" t="s">
        <v>462</v>
      </c>
      <c r="J420" s="171">
        <v>1</v>
      </c>
      <c r="K420" s="162" t="s">
        <v>65</v>
      </c>
      <c r="L420" s="163" t="s">
        <v>117</v>
      </c>
      <c r="M420" s="162" t="s">
        <v>99</v>
      </c>
      <c r="N420" s="161" t="s">
        <v>91</v>
      </c>
      <c r="O420" s="161">
        <v>1</v>
      </c>
      <c r="P420" s="163">
        <v>1</v>
      </c>
      <c r="Q420" s="163"/>
      <c r="R420" s="162"/>
      <c r="S420" s="164">
        <f>TABLAINV[[#This Row],[Conteo Físico]]-TABLAINV[[#This Row],[Cant. UND]]</f>
        <v>0</v>
      </c>
      <c r="T42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0" s="165" t="str">
        <f>IFERROR(IF(MOD(TABLAINV[[#This Row],[C]],2)=0,"PAR","IMPAR"),"Zona")</f>
        <v>IMPAR</v>
      </c>
      <c r="W420" s="166"/>
      <c r="X420" s="167">
        <f>IFERROR(IF(TABLAINV[[#This Row],[Cant. UND]]=0,TABLAINV[[#This Row],[PMV]]*TABLAINV[[#This Row],[Conteo Físico]],TABLAINV[[#This Row],[PMV]]*TABLAINV[[#This Row],[Cant. UND]]),0)</f>
        <v>0</v>
      </c>
      <c r="Y420" s="167">
        <f>IFERROR(ABS(TABLAINV[[#This Row],[PMV]]*TABLAINV[[#This Row],[Diferencia]]),0)</f>
        <v>0</v>
      </c>
      <c r="Z420" s="168" t="str">
        <f>IFERROR(VLOOKUP(TABLAINV[[#This Row],[Codigo Estado]],unds!O:P,2,0),"PEND.")</f>
        <v>N.A</v>
      </c>
      <c r="AA420" s="168" t="str">
        <f t="shared" si="22"/>
        <v>CD09</v>
      </c>
      <c r="AB420" s="169">
        <f t="shared" ca="1" si="23"/>
        <v>45827</v>
      </c>
    </row>
    <row r="421" spans="1:28" ht="15" customHeight="1" x14ac:dyDescent="0.2">
      <c r="A421" s="170" t="str">
        <f t="shared" si="21"/>
        <v>MRC01</v>
      </c>
      <c r="B421" s="160" t="str">
        <f>IF(TABLAINV[[#This Row],[Z]]="","",D421&amp;"."&amp;TEXT(E421,"000")&amp;"."&amp;TEXT(F421,"000")&amp;"."&amp;TEXT(G421,"000"))</f>
        <v>MR.C01.231.002</v>
      </c>
      <c r="C421" s="161"/>
      <c r="D421" s="162" t="s">
        <v>95</v>
      </c>
      <c r="E421" s="162" t="s">
        <v>96</v>
      </c>
      <c r="F421" s="162">
        <v>231</v>
      </c>
      <c r="G421" s="162">
        <v>2</v>
      </c>
      <c r="H421" s="162">
        <v>959870</v>
      </c>
      <c r="I421" s="162" t="s">
        <v>463</v>
      </c>
      <c r="J421" s="171">
        <v>6</v>
      </c>
      <c r="K421" s="162" t="s">
        <v>77</v>
      </c>
      <c r="L421" s="163" t="s">
        <v>117</v>
      </c>
      <c r="M421" s="162" t="s">
        <v>99</v>
      </c>
      <c r="N421" s="161" t="s">
        <v>91</v>
      </c>
      <c r="O421" s="161">
        <v>6</v>
      </c>
      <c r="P421" s="163">
        <v>6</v>
      </c>
      <c r="Q421" s="163"/>
      <c r="R421" s="162"/>
      <c r="S421" s="164">
        <f>TABLAINV[[#This Row],[Conteo Físico]]-TABLAINV[[#This Row],[Cant. UND]]</f>
        <v>0</v>
      </c>
      <c r="T421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1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1" s="165" t="str">
        <f>IFERROR(IF(MOD(TABLAINV[[#This Row],[C]],2)=0,"PAR","IMPAR"),"Zona")</f>
        <v>IMPAR</v>
      </c>
      <c r="W421" s="166"/>
      <c r="X421" s="167">
        <f>IFERROR(IF(TABLAINV[[#This Row],[Cant. UND]]=0,TABLAINV[[#This Row],[PMV]]*TABLAINV[[#This Row],[Conteo Físico]],TABLAINV[[#This Row],[PMV]]*TABLAINV[[#This Row],[Cant. UND]]),0)</f>
        <v>0</v>
      </c>
      <c r="Y421" s="167">
        <f>IFERROR(ABS(TABLAINV[[#This Row],[PMV]]*TABLAINV[[#This Row],[Diferencia]]),0)</f>
        <v>0</v>
      </c>
      <c r="Z421" s="168">
        <f>IFERROR(VLOOKUP(TABLAINV[[#This Row],[Codigo Estado]],unds!O:P,2,0),"PEND.")</f>
        <v>9995</v>
      </c>
      <c r="AA421" s="168" t="str">
        <f t="shared" si="22"/>
        <v>CD09</v>
      </c>
      <c r="AB421" s="169">
        <f t="shared" ca="1" si="23"/>
        <v>45827</v>
      </c>
    </row>
    <row r="422" spans="1:28" ht="15" customHeight="1" x14ac:dyDescent="0.2">
      <c r="A422" s="170" t="str">
        <f t="shared" si="21"/>
        <v>MRC01</v>
      </c>
      <c r="B422" s="160" t="str">
        <f>IF(TABLAINV[[#This Row],[Z]]="","",D422&amp;"."&amp;TEXT(E422,"000")&amp;"."&amp;TEXT(F422,"000")&amp;"."&amp;TEXT(G422,"000"))</f>
        <v>MR.C01.231.002</v>
      </c>
      <c r="C422" s="161"/>
      <c r="D422" s="162" t="s">
        <v>95</v>
      </c>
      <c r="E422" s="162" t="s">
        <v>96</v>
      </c>
      <c r="F422" s="162">
        <v>231</v>
      </c>
      <c r="G422" s="162">
        <v>2</v>
      </c>
      <c r="H422" s="162">
        <v>962268</v>
      </c>
      <c r="I422" s="162" t="s">
        <v>464</v>
      </c>
      <c r="J422" s="171">
        <v>1</v>
      </c>
      <c r="K422" s="162" t="s">
        <v>77</v>
      </c>
      <c r="L422" s="163" t="s">
        <v>117</v>
      </c>
      <c r="M422" s="162" t="s">
        <v>99</v>
      </c>
      <c r="N422" s="161" t="s">
        <v>91</v>
      </c>
      <c r="O422" s="161">
        <v>1</v>
      </c>
      <c r="P422" s="163">
        <v>1</v>
      </c>
      <c r="Q422" s="163"/>
      <c r="R422" s="162"/>
      <c r="S422" s="164">
        <f>TABLAINV[[#This Row],[Conteo Físico]]-TABLAINV[[#This Row],[Cant. UND]]</f>
        <v>0</v>
      </c>
      <c r="T422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2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2" s="165" t="str">
        <f>IFERROR(IF(MOD(TABLAINV[[#This Row],[C]],2)=0,"PAR","IMPAR"),"Zona")</f>
        <v>IMPAR</v>
      </c>
      <c r="W422" s="166"/>
      <c r="X422" s="167">
        <f>IFERROR(IF(TABLAINV[[#This Row],[Cant. UND]]=0,TABLAINV[[#This Row],[PMV]]*TABLAINV[[#This Row],[Conteo Físico]],TABLAINV[[#This Row],[PMV]]*TABLAINV[[#This Row],[Cant. UND]]),0)</f>
        <v>0</v>
      </c>
      <c r="Y422" s="167">
        <f>IFERROR(ABS(TABLAINV[[#This Row],[PMV]]*TABLAINV[[#This Row],[Diferencia]]),0)</f>
        <v>0</v>
      </c>
      <c r="Z422" s="168">
        <f>IFERROR(VLOOKUP(TABLAINV[[#This Row],[Codigo Estado]],unds!O:P,2,0),"PEND.")</f>
        <v>9995</v>
      </c>
      <c r="AA422" s="168" t="str">
        <f t="shared" si="22"/>
        <v>CD09</v>
      </c>
      <c r="AB422" s="169">
        <f t="shared" ca="1" si="23"/>
        <v>45827</v>
      </c>
    </row>
    <row r="423" spans="1:28" ht="15" customHeight="1" x14ac:dyDescent="0.2">
      <c r="A423" s="170" t="str">
        <f t="shared" si="21"/>
        <v>MRC01</v>
      </c>
      <c r="B423" s="160" t="str">
        <f>IF(TABLAINV[[#This Row],[Z]]="","",D423&amp;"."&amp;TEXT(E423,"000")&amp;"."&amp;TEXT(F423,"000")&amp;"."&amp;TEXT(G423,"000"))</f>
        <v>MR.C01.231.002</v>
      </c>
      <c r="C423" s="161"/>
      <c r="D423" s="162" t="s">
        <v>95</v>
      </c>
      <c r="E423" s="162" t="s">
        <v>96</v>
      </c>
      <c r="F423" s="162">
        <v>231</v>
      </c>
      <c r="G423" s="162">
        <v>2</v>
      </c>
      <c r="H423" s="162">
        <v>973126</v>
      </c>
      <c r="I423" s="162" t="s">
        <v>465</v>
      </c>
      <c r="J423" s="171">
        <v>12</v>
      </c>
      <c r="K423" s="162" t="s">
        <v>65</v>
      </c>
      <c r="L423" s="163" t="s">
        <v>115</v>
      </c>
      <c r="M423" s="162" t="s">
        <v>99</v>
      </c>
      <c r="N423" s="161" t="s">
        <v>91</v>
      </c>
      <c r="O423" s="161">
        <v>12</v>
      </c>
      <c r="P423" s="163">
        <v>12</v>
      </c>
      <c r="Q423" s="163"/>
      <c r="R423" s="162"/>
      <c r="S423" s="164">
        <f>TABLAINV[[#This Row],[Conteo Físico]]-TABLAINV[[#This Row],[Cant. UND]]</f>
        <v>0</v>
      </c>
      <c r="T423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3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3" s="165" t="str">
        <f>IFERROR(IF(MOD(TABLAINV[[#This Row],[C]],2)=0,"PAR","IMPAR"),"Zona")</f>
        <v>IMPAR</v>
      </c>
      <c r="W423" s="166"/>
      <c r="X423" s="167">
        <f>IFERROR(IF(TABLAINV[[#This Row],[Cant. UND]]=0,TABLAINV[[#This Row],[PMV]]*TABLAINV[[#This Row],[Conteo Físico]],TABLAINV[[#This Row],[PMV]]*TABLAINV[[#This Row],[Cant. UND]]),0)</f>
        <v>0</v>
      </c>
      <c r="Y423" s="167">
        <f>IFERROR(ABS(TABLAINV[[#This Row],[PMV]]*TABLAINV[[#This Row],[Diferencia]]),0)</f>
        <v>0</v>
      </c>
      <c r="Z423" s="168" t="str">
        <f>IFERROR(VLOOKUP(TABLAINV[[#This Row],[Codigo Estado]],unds!O:P,2,0),"PEND.")</f>
        <v>N.A</v>
      </c>
      <c r="AA423" s="168" t="str">
        <f t="shared" si="22"/>
        <v>CD09</v>
      </c>
      <c r="AB423" s="169">
        <f t="shared" ca="1" si="23"/>
        <v>45827</v>
      </c>
    </row>
    <row r="424" spans="1:28" ht="15" customHeight="1" x14ac:dyDescent="0.2">
      <c r="A424" s="170" t="str">
        <f t="shared" si="21"/>
        <v>MRC01</v>
      </c>
      <c r="B424" s="160" t="str">
        <f>IF(TABLAINV[[#This Row],[Z]]="","",D424&amp;"."&amp;TEXT(E424,"000")&amp;"."&amp;TEXT(F424,"000")&amp;"."&amp;TEXT(G424,"000"))</f>
        <v>MR.C01.231.002</v>
      </c>
      <c r="C424" s="161"/>
      <c r="D424" s="162" t="s">
        <v>95</v>
      </c>
      <c r="E424" s="162" t="s">
        <v>96</v>
      </c>
      <c r="F424" s="162">
        <v>231</v>
      </c>
      <c r="G424" s="162">
        <v>2</v>
      </c>
      <c r="H424" s="162">
        <v>984490</v>
      </c>
      <c r="I424" s="162" t="s">
        <v>466</v>
      </c>
      <c r="J424" s="171">
        <v>6</v>
      </c>
      <c r="K424" s="162" t="s">
        <v>65</v>
      </c>
      <c r="L424" s="163" t="s">
        <v>435</v>
      </c>
      <c r="M424" s="162" t="s">
        <v>99</v>
      </c>
      <c r="N424" s="161" t="s">
        <v>91</v>
      </c>
      <c r="O424" s="161">
        <v>6</v>
      </c>
      <c r="P424" s="163">
        <v>6</v>
      </c>
      <c r="Q424" s="163"/>
      <c r="R424" s="162"/>
      <c r="S424" s="164">
        <f>TABLAINV[[#This Row],[Conteo Físico]]-TABLAINV[[#This Row],[Cant. UND]]</f>
        <v>0</v>
      </c>
      <c r="T424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4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4" s="165" t="str">
        <f>IFERROR(IF(MOD(TABLAINV[[#This Row],[C]],2)=0,"PAR","IMPAR"),"Zona")</f>
        <v>IMPAR</v>
      </c>
      <c r="W424" s="166"/>
      <c r="X424" s="167">
        <f>IFERROR(IF(TABLAINV[[#This Row],[Cant. UND]]=0,TABLAINV[[#This Row],[PMV]]*TABLAINV[[#This Row],[Conteo Físico]],TABLAINV[[#This Row],[PMV]]*TABLAINV[[#This Row],[Cant. UND]]),0)</f>
        <v>0</v>
      </c>
      <c r="Y424" s="167">
        <f>IFERROR(ABS(TABLAINV[[#This Row],[PMV]]*TABLAINV[[#This Row],[Diferencia]]),0)</f>
        <v>0</v>
      </c>
      <c r="Z424" s="168" t="str">
        <f>IFERROR(VLOOKUP(TABLAINV[[#This Row],[Codigo Estado]],unds!O:P,2,0),"PEND.")</f>
        <v>N.A</v>
      </c>
      <c r="AA424" s="168" t="str">
        <f t="shared" si="22"/>
        <v>CD09</v>
      </c>
      <c r="AB424" s="169">
        <f t="shared" ca="1" si="23"/>
        <v>45827</v>
      </c>
    </row>
    <row r="425" spans="1:28" ht="15" customHeight="1" x14ac:dyDescent="0.2">
      <c r="A425" s="170" t="str">
        <f t="shared" si="21"/>
        <v>MRC01</v>
      </c>
      <c r="B425" s="160" t="str">
        <f>IF(TABLAINV[[#This Row],[Z]]="","",D425&amp;"."&amp;TEXT(E425,"000")&amp;"."&amp;TEXT(F425,"000")&amp;"."&amp;TEXT(G425,"000"))</f>
        <v>MR.C01.231.002</v>
      </c>
      <c r="C425" s="161"/>
      <c r="D425" s="162" t="s">
        <v>95</v>
      </c>
      <c r="E425" s="162" t="s">
        <v>96</v>
      </c>
      <c r="F425" s="162">
        <v>231</v>
      </c>
      <c r="G425" s="162">
        <v>2</v>
      </c>
      <c r="H425" s="162">
        <v>98704</v>
      </c>
      <c r="I425" s="162" t="s">
        <v>467</v>
      </c>
      <c r="J425" s="171">
        <v>1</v>
      </c>
      <c r="K425" s="162" t="s">
        <v>77</v>
      </c>
      <c r="L425" s="163" t="s">
        <v>161</v>
      </c>
      <c r="M425" s="162" t="s">
        <v>99</v>
      </c>
      <c r="N425" s="161" t="s">
        <v>91</v>
      </c>
      <c r="O425" s="161">
        <v>1</v>
      </c>
      <c r="P425" s="163">
        <v>1</v>
      </c>
      <c r="Q425" s="163"/>
      <c r="R425" s="162"/>
      <c r="S425" s="164">
        <f>TABLAINV[[#This Row],[Conteo Físico]]-TABLAINV[[#This Row],[Cant. UND]]</f>
        <v>0</v>
      </c>
      <c r="T425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5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5" s="165" t="str">
        <f>IFERROR(IF(MOD(TABLAINV[[#This Row],[C]],2)=0,"PAR","IMPAR"),"Zona")</f>
        <v>IMPAR</v>
      </c>
      <c r="W425" s="166"/>
      <c r="X425" s="167">
        <f>IFERROR(IF(TABLAINV[[#This Row],[Cant. UND]]=0,TABLAINV[[#This Row],[PMV]]*TABLAINV[[#This Row],[Conteo Físico]],TABLAINV[[#This Row],[PMV]]*TABLAINV[[#This Row],[Cant. UND]]),0)</f>
        <v>0</v>
      </c>
      <c r="Y425" s="167">
        <f>IFERROR(ABS(TABLAINV[[#This Row],[PMV]]*TABLAINV[[#This Row],[Diferencia]]),0)</f>
        <v>0</v>
      </c>
      <c r="Z425" s="168">
        <f>IFERROR(VLOOKUP(TABLAINV[[#This Row],[Codigo Estado]],unds!O:P,2,0),"PEND.")</f>
        <v>9995</v>
      </c>
      <c r="AA425" s="168" t="str">
        <f t="shared" si="22"/>
        <v>CD09</v>
      </c>
      <c r="AB425" s="169">
        <f t="shared" ca="1" si="23"/>
        <v>45827</v>
      </c>
    </row>
    <row r="426" spans="1:28" ht="15" customHeight="1" x14ac:dyDescent="0.2">
      <c r="A426" s="170" t="str">
        <f t="shared" si="21"/>
        <v>MRC01</v>
      </c>
      <c r="B426" s="160" t="str">
        <f>IF(TABLAINV[[#This Row],[Z]]="","",D426&amp;"."&amp;TEXT(E426,"000")&amp;"."&amp;TEXT(F426,"000")&amp;"."&amp;TEXT(G426,"000"))</f>
        <v>MR.C01.231.002</v>
      </c>
      <c r="C426" s="161"/>
      <c r="D426" s="162" t="s">
        <v>95</v>
      </c>
      <c r="E426" s="162" t="s">
        <v>96</v>
      </c>
      <c r="F426" s="162">
        <v>231</v>
      </c>
      <c r="G426" s="162">
        <v>2</v>
      </c>
      <c r="H426" s="162">
        <v>996622001</v>
      </c>
      <c r="I426" s="162" t="s">
        <v>468</v>
      </c>
      <c r="J426" s="171">
        <v>4</v>
      </c>
      <c r="K426" s="162" t="s">
        <v>65</v>
      </c>
      <c r="L426" s="163" t="s">
        <v>233</v>
      </c>
      <c r="M426" s="162" t="s">
        <v>99</v>
      </c>
      <c r="N426" s="161" t="s">
        <v>91</v>
      </c>
      <c r="O426" s="161">
        <v>4</v>
      </c>
      <c r="P426" s="163">
        <v>4</v>
      </c>
      <c r="Q426" s="163"/>
      <c r="R426" s="162"/>
      <c r="S426" s="164">
        <f>TABLAINV[[#This Row],[Conteo Físico]]-TABLAINV[[#This Row],[Cant. UND]]</f>
        <v>0</v>
      </c>
      <c r="T426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6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6" s="165" t="str">
        <f>IFERROR(IF(MOD(TABLAINV[[#This Row],[C]],2)=0,"PAR","IMPAR"),"Zona")</f>
        <v>IMPAR</v>
      </c>
      <c r="W426" s="166"/>
      <c r="X426" s="167">
        <f>IFERROR(IF(TABLAINV[[#This Row],[Cant. UND]]=0,TABLAINV[[#This Row],[PMV]]*TABLAINV[[#This Row],[Conteo Físico]],TABLAINV[[#This Row],[PMV]]*TABLAINV[[#This Row],[Cant. UND]]),0)</f>
        <v>0</v>
      </c>
      <c r="Y426" s="167">
        <f>IFERROR(ABS(TABLAINV[[#This Row],[PMV]]*TABLAINV[[#This Row],[Diferencia]]),0)</f>
        <v>0</v>
      </c>
      <c r="Z426" s="168" t="str">
        <f>IFERROR(VLOOKUP(TABLAINV[[#This Row],[Codigo Estado]],unds!O:P,2,0),"PEND.")</f>
        <v>N.A</v>
      </c>
      <c r="AA426" s="168" t="str">
        <f t="shared" si="22"/>
        <v>CD09</v>
      </c>
      <c r="AB426" s="169">
        <f t="shared" ca="1" si="23"/>
        <v>45827</v>
      </c>
    </row>
    <row r="427" spans="1:28" ht="15" customHeight="1" x14ac:dyDescent="0.2">
      <c r="A427" s="170" t="str">
        <f t="shared" si="21"/>
        <v>MRC01</v>
      </c>
      <c r="B427" s="160" t="str">
        <f>IF(TABLAINV[[#This Row],[Z]]="","",D427&amp;"."&amp;TEXT(E427,"000")&amp;"."&amp;TEXT(F427,"000")&amp;"."&amp;TEXT(G427,"000"))</f>
        <v>MR.C01.231.003</v>
      </c>
      <c r="C427" s="161"/>
      <c r="D427" s="162" t="s">
        <v>95</v>
      </c>
      <c r="E427" s="162" t="s">
        <v>96</v>
      </c>
      <c r="F427" s="162">
        <v>231</v>
      </c>
      <c r="G427" s="162">
        <v>3</v>
      </c>
      <c r="H427" s="162">
        <v>1028348</v>
      </c>
      <c r="I427" s="162" t="s">
        <v>469</v>
      </c>
      <c r="J427" s="171">
        <v>1</v>
      </c>
      <c r="K427" s="162" t="s">
        <v>64</v>
      </c>
      <c r="L427" s="163" t="s">
        <v>212</v>
      </c>
      <c r="M427" s="162" t="s">
        <v>99</v>
      </c>
      <c r="N427" s="161" t="s">
        <v>91</v>
      </c>
      <c r="O427" s="161">
        <v>1</v>
      </c>
      <c r="P427" s="163">
        <v>1</v>
      </c>
      <c r="Q427" s="163"/>
      <c r="R427" s="162"/>
      <c r="S427" s="164">
        <f>TABLAINV[[#This Row],[Conteo Físico]]-TABLAINV[[#This Row],[Cant. UND]]</f>
        <v>0</v>
      </c>
      <c r="T427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7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7" s="165" t="str">
        <f>IFERROR(IF(MOD(TABLAINV[[#This Row],[C]],2)=0,"PAR","IMPAR"),"Zona")</f>
        <v>IMPAR</v>
      </c>
      <c r="W427" s="166"/>
      <c r="X427" s="167">
        <f>IFERROR(IF(TABLAINV[[#This Row],[Cant. UND]]=0,TABLAINV[[#This Row],[PMV]]*TABLAINV[[#This Row],[Conteo Físico]],TABLAINV[[#This Row],[PMV]]*TABLAINV[[#This Row],[Cant. UND]]),0)</f>
        <v>0</v>
      </c>
      <c r="Y427" s="167">
        <f>IFERROR(ABS(TABLAINV[[#This Row],[PMV]]*TABLAINV[[#This Row],[Diferencia]]),0)</f>
        <v>0</v>
      </c>
      <c r="Z427" s="168">
        <f>IFERROR(VLOOKUP(TABLAINV[[#This Row],[Codigo Estado]],unds!O:P,2,0),"PEND.")</f>
        <v>2001</v>
      </c>
      <c r="AA427" s="168" t="str">
        <f t="shared" si="22"/>
        <v>CD09</v>
      </c>
      <c r="AB427" s="169">
        <f t="shared" ca="1" si="23"/>
        <v>45827</v>
      </c>
    </row>
    <row r="428" spans="1:28" ht="15" customHeight="1" x14ac:dyDescent="0.2">
      <c r="A428" s="170" t="str">
        <f t="shared" si="21"/>
        <v>MRC01</v>
      </c>
      <c r="B428" s="160" t="str">
        <f>IF(TABLAINV[[#This Row],[Z]]="","",D428&amp;"."&amp;TEXT(E428,"000")&amp;"."&amp;TEXT(F428,"000")&amp;"."&amp;TEXT(G428,"000"))</f>
        <v>MR.C01.231.003</v>
      </c>
      <c r="C428" s="161"/>
      <c r="D428" s="162" t="s">
        <v>95</v>
      </c>
      <c r="E428" s="162" t="s">
        <v>96</v>
      </c>
      <c r="F428" s="162">
        <v>231</v>
      </c>
      <c r="G428" s="162">
        <v>3</v>
      </c>
      <c r="H428" s="162">
        <v>1028348</v>
      </c>
      <c r="I428" s="162" t="s">
        <v>469</v>
      </c>
      <c r="J428" s="171">
        <v>82</v>
      </c>
      <c r="K428" s="162" t="s">
        <v>64</v>
      </c>
      <c r="L428" s="163" t="s">
        <v>212</v>
      </c>
      <c r="M428" s="162" t="s">
        <v>99</v>
      </c>
      <c r="N428" s="161" t="s">
        <v>91</v>
      </c>
      <c r="O428" s="161">
        <v>82</v>
      </c>
      <c r="P428" s="163">
        <v>82</v>
      </c>
      <c r="Q428" s="163"/>
      <c r="R428" s="162"/>
      <c r="S428" s="164">
        <f>TABLAINV[[#This Row],[Conteo Físico]]-TABLAINV[[#This Row],[Cant. UND]]</f>
        <v>0</v>
      </c>
      <c r="T428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8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8" s="165" t="str">
        <f>IFERROR(IF(MOD(TABLAINV[[#This Row],[C]],2)=0,"PAR","IMPAR"),"Zona")</f>
        <v>IMPAR</v>
      </c>
      <c r="W428" s="166"/>
      <c r="X428" s="167">
        <f>IFERROR(IF(TABLAINV[[#This Row],[Cant. UND]]=0,TABLAINV[[#This Row],[PMV]]*TABLAINV[[#This Row],[Conteo Físico]],TABLAINV[[#This Row],[PMV]]*TABLAINV[[#This Row],[Cant. UND]]),0)</f>
        <v>0</v>
      </c>
      <c r="Y428" s="167">
        <f>IFERROR(ABS(TABLAINV[[#This Row],[PMV]]*TABLAINV[[#This Row],[Diferencia]]),0)</f>
        <v>0</v>
      </c>
      <c r="Z428" s="168">
        <f>IFERROR(VLOOKUP(TABLAINV[[#This Row],[Codigo Estado]],unds!O:P,2,0),"PEND.")</f>
        <v>2001</v>
      </c>
      <c r="AA428" s="168" t="str">
        <f t="shared" si="22"/>
        <v>CD09</v>
      </c>
      <c r="AB428" s="169">
        <f t="shared" ca="1" si="23"/>
        <v>45827</v>
      </c>
    </row>
    <row r="429" spans="1:28" ht="15" customHeight="1" x14ac:dyDescent="0.2">
      <c r="A429" s="170" t="str">
        <f t="shared" si="21"/>
        <v>MRC01</v>
      </c>
      <c r="B429" s="160" t="str">
        <f>IF(TABLAINV[[#This Row],[Z]]="","",D429&amp;"."&amp;TEXT(E429,"000")&amp;"."&amp;TEXT(F429,"000")&amp;"."&amp;TEXT(G429,"000"))</f>
        <v>MR.C01.231.003</v>
      </c>
      <c r="C429" s="161"/>
      <c r="D429" s="162" t="s">
        <v>95</v>
      </c>
      <c r="E429" s="162" t="s">
        <v>96</v>
      </c>
      <c r="F429" s="162">
        <v>231</v>
      </c>
      <c r="G429" s="162">
        <v>3</v>
      </c>
      <c r="H429" s="162">
        <v>1028348</v>
      </c>
      <c r="I429" s="162" t="s">
        <v>469</v>
      </c>
      <c r="J429" s="171">
        <v>1</v>
      </c>
      <c r="K429" s="162" t="s">
        <v>64</v>
      </c>
      <c r="L429" s="163" t="s">
        <v>212</v>
      </c>
      <c r="M429" s="162" t="s">
        <v>99</v>
      </c>
      <c r="N429" s="161" t="s">
        <v>91</v>
      </c>
      <c r="O429" s="161">
        <v>1</v>
      </c>
      <c r="P429" s="163">
        <v>1</v>
      </c>
      <c r="Q429" s="163"/>
      <c r="R429" s="162"/>
      <c r="S429" s="164">
        <f>TABLAINV[[#This Row],[Conteo Físico]]-TABLAINV[[#This Row],[Cant. UND]]</f>
        <v>0</v>
      </c>
      <c r="T429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29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29" s="165" t="str">
        <f>IFERROR(IF(MOD(TABLAINV[[#This Row],[C]],2)=0,"PAR","IMPAR"),"Zona")</f>
        <v>IMPAR</v>
      </c>
      <c r="W429" s="166"/>
      <c r="X429" s="167">
        <f>IFERROR(IF(TABLAINV[[#This Row],[Cant. UND]]=0,TABLAINV[[#This Row],[PMV]]*TABLAINV[[#This Row],[Conteo Físico]],TABLAINV[[#This Row],[PMV]]*TABLAINV[[#This Row],[Cant. UND]]),0)</f>
        <v>0</v>
      </c>
      <c r="Y429" s="167">
        <f>IFERROR(ABS(TABLAINV[[#This Row],[PMV]]*TABLAINV[[#This Row],[Diferencia]]),0)</f>
        <v>0</v>
      </c>
      <c r="Z429" s="168">
        <f>IFERROR(VLOOKUP(TABLAINV[[#This Row],[Codigo Estado]],unds!O:P,2,0),"PEND.")</f>
        <v>2001</v>
      </c>
      <c r="AA429" s="168" t="str">
        <f t="shared" si="22"/>
        <v>CD09</v>
      </c>
      <c r="AB429" s="169">
        <f t="shared" ca="1" si="23"/>
        <v>45827</v>
      </c>
    </row>
    <row r="430" spans="1:28" ht="15" customHeight="1" x14ac:dyDescent="0.2">
      <c r="A430" s="170" t="str">
        <f t="shared" si="21"/>
        <v>MRC01</v>
      </c>
      <c r="B430" s="160" t="str">
        <f>IF(TABLAINV[[#This Row],[Z]]="","",D430&amp;"."&amp;TEXT(E430,"000")&amp;"."&amp;TEXT(F430,"000")&amp;"."&amp;TEXT(G430,"000"))</f>
        <v>MR.C01.231.003</v>
      </c>
      <c r="C430" s="161"/>
      <c r="D430" s="162" t="s">
        <v>95</v>
      </c>
      <c r="E430" s="162" t="s">
        <v>96</v>
      </c>
      <c r="F430" s="162">
        <v>231</v>
      </c>
      <c r="G430" s="162">
        <v>3</v>
      </c>
      <c r="H430" s="162">
        <v>989048</v>
      </c>
      <c r="I430" s="162" t="s">
        <v>470</v>
      </c>
      <c r="J430" s="171">
        <v>3901</v>
      </c>
      <c r="K430" s="162" t="s">
        <v>64</v>
      </c>
      <c r="L430" s="163" t="s">
        <v>115</v>
      </c>
      <c r="M430" s="162" t="s">
        <v>99</v>
      </c>
      <c r="N430" s="161" t="s">
        <v>91</v>
      </c>
      <c r="O430" s="161">
        <v>3901</v>
      </c>
      <c r="P430" s="163">
        <v>3901</v>
      </c>
      <c r="Q430" s="163"/>
      <c r="R430" s="162"/>
      <c r="S430" s="164">
        <f>TABLAINV[[#This Row],[Conteo Físico]]-TABLAINV[[#This Row],[Cant. UND]]</f>
        <v>0</v>
      </c>
      <c r="T430" s="164" t="str">
        <f>IFERROR(IF(TABLAINV[[#This Row],[Conteo Físico]]&gt;TABLAINV[[#This Row],[Cant. UND]],"SOBRANTE",IF(TABLAINV[[#This Row],[Conteo Físico]]&lt;TABLAINV[[#This Row],[Cant. UND]],"FALTANTE","CUADRADO")),"")</f>
        <v>CUADRADO</v>
      </c>
      <c r="U430" s="165" t="str">
        <f>IF(TABLAINV[[#This Row],[Diferencia]]=0,"CUADRADO",IF((SUMIF(TABLAINV[Codigo],TABLAINV[[#This Row],[Codigo]],TABLAINV[Conteo Físico])-SUMIF(TABLAINV[Codigo],TABLAINV[[#This Row],[Codigo]],TABLAINV[Cant. UND]))=0,"MI",IF(TABLAINV[[#This Row],[Diferencia]]&gt;0,"SOBRANTE","FALTANTE")))</f>
        <v>CUADRADO</v>
      </c>
      <c r="V430" s="165" t="str">
        <f>IFERROR(IF(MOD(TABLAINV[[#This Row],[C]],2)=0,"PAR","IMPAR"),"Zona")</f>
        <v>IMPAR</v>
      </c>
      <c r="W430" s="166"/>
      <c r="X430" s="167">
        <f>IFERROR(IF(TABLAINV[[#This Row],[Cant. UND]]=0,TABLAINV[[#This Row],[PMV]]*TABLAINV[[#This Row],[Conteo Físico]],TABLAINV[[#This Row],[PMV]]*TABLAINV[[#This Row],[Cant. UND]]),0)</f>
        <v>0</v>
      </c>
      <c r="Y430" s="167">
        <f>IFERROR(ABS(TABLAINV[[#This Row],[PMV]]*TABLAINV[[#This Row],[Diferencia]]),0)</f>
        <v>0</v>
      </c>
      <c r="Z430" s="168">
        <f>IFERROR(VLOOKUP(TABLAINV[[#This Row],[Codigo Estado]],unds!O:P,2,0),"PEND.")</f>
        <v>2001</v>
      </c>
      <c r="AA430" s="168" t="str">
        <f t="shared" si="22"/>
        <v>CD09</v>
      </c>
      <c r="AB430" s="169">
        <f t="shared" ca="1" si="23"/>
        <v>45827</v>
      </c>
    </row>
  </sheetData>
  <dataConsolidate/>
  <mergeCells count="7">
    <mergeCell ref="M4:N4"/>
    <mergeCell ref="M6:N6"/>
    <mergeCell ref="I2:L2"/>
    <mergeCell ref="F6:I6"/>
    <mergeCell ref="F4:I4"/>
    <mergeCell ref="J4:L4"/>
    <mergeCell ref="J6:L6"/>
  </mergeCells>
  <phoneticPr fontId="0" type="noConversion"/>
  <conditionalFormatting sqref="S1:S7 T8:U8 U9:U430">
    <cfRule type="containsText" dxfId="434" priority="1494" operator="containsText" text="FALTANTE">
      <formula>NOT(ISERROR(SEARCH("FALTANTE",S1)))</formula>
    </cfRule>
  </conditionalFormatting>
  <conditionalFormatting sqref="S8">
    <cfRule type="containsText" dxfId="433" priority="14" operator="containsText" text="FALTANTE">
      <formula>NOT(ISERROR(SEARCH("FALTANTE",S8)))</formula>
    </cfRule>
  </conditionalFormatting>
  <conditionalFormatting sqref="U9:U430">
    <cfRule type="containsText" dxfId="432" priority="4" operator="containsText" text="MI">
      <formula>NOT(ISERROR(SEARCH("MI",U9)))</formula>
    </cfRule>
    <cfRule type="containsText" dxfId="431" priority="5" operator="containsText" text="SOBRANTE">
      <formula>NOT(ISERROR(SEARCH("SOBRANTE",U9)))</formula>
    </cfRule>
    <cfRule type="containsText" dxfId="430" priority="6" operator="containsText" text="FALTANTE">
      <formula>NOT(ISERROR(SEARCH("FALTANTE",U9)))</formula>
    </cfRule>
  </conditionalFormatting>
  <conditionalFormatting sqref="S9:T430">
    <cfRule type="cellIs" dxfId="429" priority="2" operator="greaterThan">
      <formula>0</formula>
    </cfRule>
  </conditionalFormatting>
  <conditionalFormatting sqref="S9:T430">
    <cfRule type="cellIs" dxfId="428" priority="1" operator="lessThan">
      <formula>0</formula>
    </cfRule>
  </conditionalFormatting>
  <pageMargins left="0.27559055118110237" right="0.23622047244094491" top="0.31496062992125984" bottom="0.31496062992125984" header="0.31496062992125984" footer="0.15748031496062992"/>
  <pageSetup paperSize="9" scale="59" firstPageNumber="5" fitToHeight="102" orientation="portrait" useFirstPageNumber="1" r:id="rId2"/>
  <headerFooter scaleWithDoc="0">
    <oddHeader>&amp;R&amp;"Arial"&amp;8 &amp;P</oddHeader>
    <oddFooter>&amp;C&amp;"Arial"&amp;8 &amp;P   de 6</oddFooter>
  </headerFooter>
  <drawing r:id="rId3"/>
  <legacyDrawing r:id="rId4"/>
  <controls>
    <mc:AlternateContent xmlns:mc="http://schemas.openxmlformats.org/markup-compatibility/2006">
      <mc:Choice Requires="x14">
        <control shapeId="4161" r:id="rId5" name="BOTMENU">
          <controlPr defaultSize="0" autoLine="0" r:id="rId6">
            <anchor moveWithCells="1">
              <from>
                <xdr:col>18</xdr:col>
                <xdr:colOff>895350</xdr:colOff>
                <xdr:row>0</xdr:row>
                <xdr:rowOff>114300</xdr:rowOff>
              </from>
              <to>
                <xdr:col>20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4161" r:id="rId5" name="BOTMENU"/>
      </mc:Fallback>
    </mc:AlternateContent>
    <mc:AlternateContent xmlns:mc="http://schemas.openxmlformats.org/markup-compatibility/2006">
      <mc:Choice Requires="x14">
        <control shapeId="4163" r:id="rId7" name="BTNLIMPIAR">
          <controlPr defaultSize="0" autoLine="0" r:id="rId8">
            <anchor moveWithCells="1">
              <from>
                <xdr:col>18</xdr:col>
                <xdr:colOff>866775</xdr:colOff>
                <xdr:row>3</xdr:row>
                <xdr:rowOff>19050</xdr:rowOff>
              </from>
              <to>
                <xdr:col>20</xdr:col>
                <xdr:colOff>47625</xdr:colOff>
                <xdr:row>5</xdr:row>
                <xdr:rowOff>19050</xdr:rowOff>
              </to>
            </anchor>
          </controlPr>
        </control>
      </mc:Choice>
      <mc:Fallback>
        <control shapeId="4163" r:id="rId7" name="BTNLIMPIAR"/>
      </mc:Fallback>
    </mc:AlternateContent>
  </controls>
  <tableParts count="1"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indexed="31"/>
  </sheetPr>
  <dimension ref="A1:AI10"/>
  <sheetViews>
    <sheetView showGridLines="0" zoomScaleNormal="100" workbookViewId="0">
      <selection activeCell="G21" sqref="G21"/>
    </sheetView>
  </sheetViews>
  <sheetFormatPr baseColWidth="10" defaultColWidth="11.42578125" defaultRowHeight="12" x14ac:dyDescent="0.2"/>
  <cols>
    <col min="1" max="1" width="22.140625" style="35" customWidth="1"/>
    <col min="2" max="2" width="11.140625" style="35" customWidth="1"/>
    <col min="3" max="3" width="7.28515625" style="35" customWidth="1"/>
    <col min="4" max="4" width="7" style="35" customWidth="1"/>
    <col min="5" max="5" width="11.5703125" style="35" customWidth="1"/>
    <col min="6" max="6" width="12.5703125" style="35" customWidth="1"/>
    <col min="7" max="7" width="7.7109375" style="35" customWidth="1"/>
    <col min="8" max="8" width="12.85546875" style="37" customWidth="1"/>
    <col min="9" max="9" width="12.42578125" style="35" customWidth="1"/>
    <col min="10" max="10" width="10.42578125" style="38" customWidth="1"/>
    <col min="11" max="11" width="11" style="38" customWidth="1"/>
    <col min="12" max="12" width="8.5703125" style="35" customWidth="1"/>
    <col min="13" max="13" width="10.85546875" style="37" customWidth="1"/>
    <col min="14" max="14" width="12.42578125" style="35" customWidth="1"/>
    <col min="15" max="15" width="13.42578125" style="35" customWidth="1"/>
    <col min="16" max="16" width="8.5703125" style="35" customWidth="1"/>
    <col min="17" max="17" width="9" style="37" customWidth="1"/>
    <col min="18" max="18" width="12.42578125" style="40" customWidth="1"/>
    <col min="19" max="19" width="11.28515625" style="40" customWidth="1"/>
    <col min="20" max="20" width="11.85546875" style="40" customWidth="1"/>
    <col min="21" max="21" width="12.42578125" style="40" bestFit="1" customWidth="1"/>
    <col min="22" max="22" width="7" style="37" bestFit="1" customWidth="1"/>
    <col min="23" max="23" width="11.42578125" style="35"/>
    <col min="24" max="25" width="10.42578125" style="35" bestFit="1" customWidth="1"/>
    <col min="26" max="26" width="8" style="35" customWidth="1"/>
    <col min="27" max="27" width="11.42578125" style="35"/>
    <col min="28" max="28" width="10.42578125" style="35" bestFit="1" customWidth="1"/>
    <col min="29" max="29" width="7.85546875" style="35" bestFit="1" customWidth="1"/>
    <col min="30" max="30" width="10.42578125" style="35" bestFit="1" customWidth="1"/>
    <col min="31" max="31" width="7.42578125" style="35" customWidth="1"/>
    <col min="32" max="32" width="8.7109375" style="35" bestFit="1" customWidth="1"/>
    <col min="33" max="33" width="10.42578125" style="35" bestFit="1" customWidth="1"/>
    <col min="34" max="34" width="7.85546875" style="35" bestFit="1" customWidth="1"/>
    <col min="35" max="35" width="10.42578125" style="35" bestFit="1" customWidth="1"/>
    <col min="36" max="36" width="8" style="35" customWidth="1"/>
    <col min="37" max="16384" width="11.42578125" style="35"/>
  </cols>
  <sheetData>
    <row r="1" spans="1:35" s="36" customFormat="1" ht="66" customHeight="1" x14ac:dyDescent="0.2">
      <c r="M1" s="35"/>
      <c r="N1" s="35"/>
      <c r="O1" s="35"/>
      <c r="P1" s="35"/>
      <c r="Q1" s="35"/>
      <c r="R1" s="35"/>
      <c r="S1" s="35"/>
    </row>
    <row r="2" spans="1:35" ht="15" customHeight="1" x14ac:dyDescent="0.2">
      <c r="H2" s="35"/>
      <c r="J2" s="35"/>
      <c r="K2" s="35"/>
      <c r="M2" s="35"/>
      <c r="Q2" s="35"/>
      <c r="R2" s="35"/>
      <c r="S2" s="35"/>
      <c r="T2" s="35"/>
      <c r="U2" s="35"/>
      <c r="V2" s="35"/>
      <c r="X2" s="144" t="s">
        <v>29</v>
      </c>
      <c r="Y2" s="144"/>
      <c r="Z2" s="62" t="s">
        <v>30</v>
      </c>
      <c r="AB2" s="145" t="s">
        <v>31</v>
      </c>
      <c r="AC2" s="146"/>
      <c r="AD2" s="44" t="s">
        <v>32</v>
      </c>
      <c r="AG2" s="147" t="s">
        <v>33</v>
      </c>
      <c r="AH2" s="148"/>
      <c r="AI2" s="76" t="s">
        <v>34</v>
      </c>
    </row>
    <row r="3" spans="1:35" ht="15" customHeight="1" x14ac:dyDescent="0.2">
      <c r="G3" s="58" t="s">
        <v>35</v>
      </c>
      <c r="H3" s="60" t="str">
        <f>IFERROR(H10,"")</f>
        <v/>
      </c>
      <c r="I3" s="59" t="s">
        <v>36</v>
      </c>
      <c r="J3" s="61" t="str">
        <f>IFERROR(M10,"")</f>
        <v/>
      </c>
      <c r="K3" s="45" t="s">
        <v>37</v>
      </c>
      <c r="L3" s="57" t="str">
        <f>IFERROR(Q10,"")</f>
        <v/>
      </c>
      <c r="N3" s="36"/>
      <c r="Q3" s="35"/>
      <c r="S3" s="55" t="s">
        <v>38</v>
      </c>
      <c r="T3" s="56" t="str">
        <f>IFERROR(V10,"")</f>
        <v/>
      </c>
      <c r="V3" s="35"/>
      <c r="X3" s="62" t="s">
        <v>39</v>
      </c>
      <c r="Y3" s="68" t="str">
        <f>IFERROR(E10,"")</f>
        <v/>
      </c>
      <c r="Z3" s="69">
        <f>IFERROR(Y3/Y5,0)</f>
        <v>0</v>
      </c>
      <c r="AB3" s="44" t="s">
        <v>39</v>
      </c>
      <c r="AC3" s="72" t="str">
        <f>IFERROR(I10,"")</f>
        <v/>
      </c>
      <c r="AD3" s="73">
        <f>IFERROR(AC3/AC5,0)</f>
        <v>0</v>
      </c>
      <c r="AG3" s="76" t="s">
        <v>39</v>
      </c>
      <c r="AH3" s="77" t="str">
        <f>IFERROR(N10,"")</f>
        <v/>
      </c>
      <c r="AI3" s="78">
        <f>IFERROR(AH3/AH5,0)</f>
        <v>0</v>
      </c>
    </row>
    <row r="4" spans="1:35" ht="15" customHeight="1" x14ac:dyDescent="0.2">
      <c r="H4" s="35"/>
      <c r="J4" s="35"/>
      <c r="K4" s="35"/>
      <c r="M4" s="35"/>
      <c r="Q4" s="35"/>
      <c r="R4" s="35"/>
      <c r="S4" s="35"/>
      <c r="T4" s="35"/>
      <c r="U4" s="35"/>
      <c r="V4" s="35"/>
      <c r="X4" s="62" t="s">
        <v>40</v>
      </c>
      <c r="Y4" s="68" t="str">
        <f>IFERROR(F10,"")</f>
        <v/>
      </c>
      <c r="Z4" s="70" t="str">
        <f>IFERROR(Y4/Y5,"0")</f>
        <v>0</v>
      </c>
      <c r="AB4" s="44" t="s">
        <v>40</v>
      </c>
      <c r="AC4" s="72">
        <f>IFERROR(ABS(SUM(J10:K10)),"")</f>
        <v>0</v>
      </c>
      <c r="AD4" s="74">
        <f>IFERROR(AC4/AC5,0)</f>
        <v>0</v>
      </c>
      <c r="AG4" s="76" t="s">
        <v>40</v>
      </c>
      <c r="AH4" s="77" t="str">
        <f>IFERROR(O10,"")</f>
        <v/>
      </c>
      <c r="AI4" s="80">
        <f>IFERROR(AH4/AH5,0)</f>
        <v>0</v>
      </c>
    </row>
    <row r="5" spans="1:35" ht="15" customHeight="1" x14ac:dyDescent="0.2">
      <c r="B5" s="64"/>
      <c r="C5" s="64"/>
      <c r="D5" s="64"/>
      <c r="F5" s="43"/>
      <c r="G5" s="143">
        <f ca="1">LISTADOS!I2</f>
        <v>45827.211385763891</v>
      </c>
      <c r="H5" s="143"/>
      <c r="I5" s="143"/>
      <c r="J5" s="143"/>
      <c r="K5" s="143"/>
      <c r="L5" s="143"/>
      <c r="M5" s="43"/>
      <c r="N5" s="43"/>
      <c r="O5" s="43"/>
      <c r="P5" s="43"/>
      <c r="Q5" s="43"/>
      <c r="R5" s="35"/>
      <c r="S5" s="35"/>
      <c r="T5" s="35"/>
      <c r="U5" s="35"/>
      <c r="V5" s="35"/>
      <c r="X5" s="62" t="s">
        <v>41</v>
      </c>
      <c r="Y5" s="68">
        <f>SUM(Y3:Y4)</f>
        <v>0</v>
      </c>
      <c r="Z5" s="71">
        <f>IFERROR(Z3+Z4,"")</f>
        <v>0</v>
      </c>
      <c r="AB5" s="44" t="s">
        <v>41</v>
      </c>
      <c r="AC5" s="72">
        <f>IFERROR(SUM(AC3:AC4),0)</f>
        <v>0</v>
      </c>
      <c r="AD5" s="75">
        <f>AD3+AD4</f>
        <v>0</v>
      </c>
      <c r="AG5" s="76" t="s">
        <v>41</v>
      </c>
      <c r="AH5" s="77">
        <f>IFERROR(SUM(AH3:AH4),0)</f>
        <v>0</v>
      </c>
      <c r="AI5" s="79">
        <f>SUM(AI3:AI4)</f>
        <v>0</v>
      </c>
    </row>
    <row r="6" spans="1:35" ht="18" hidden="1" customHeight="1" x14ac:dyDescent="0.2">
      <c r="H6" s="35"/>
      <c r="J6" s="35"/>
      <c r="K6" s="35"/>
      <c r="M6" s="35"/>
      <c r="Q6" s="35"/>
      <c r="R6" s="35"/>
      <c r="S6" s="35"/>
      <c r="T6" s="35"/>
      <c r="U6" s="35"/>
      <c r="V6" s="35"/>
    </row>
    <row r="7" spans="1:35" ht="18" customHeight="1" x14ac:dyDescent="0.2">
      <c r="H7" s="35"/>
      <c r="J7" s="35"/>
      <c r="K7" s="35"/>
      <c r="M7" s="35"/>
      <c r="Q7" s="35"/>
      <c r="R7" s="35"/>
      <c r="S7" s="35"/>
      <c r="T7" s="35"/>
      <c r="U7" s="35"/>
      <c r="V7" s="35"/>
    </row>
    <row r="8" spans="1:35" ht="15" customHeight="1" x14ac:dyDescent="0.2">
      <c r="E8" s="152" t="s">
        <v>29</v>
      </c>
      <c r="F8" s="153"/>
      <c r="G8" s="154"/>
      <c r="H8" s="62" t="s">
        <v>30</v>
      </c>
      <c r="I8" s="145" t="s">
        <v>31</v>
      </c>
      <c r="J8" s="151"/>
      <c r="K8" s="151"/>
      <c r="L8" s="146"/>
      <c r="M8" s="44" t="s">
        <v>32</v>
      </c>
      <c r="N8" s="149" t="s">
        <v>37</v>
      </c>
      <c r="O8" s="150"/>
      <c r="P8" s="148"/>
      <c r="Q8" s="45" t="s">
        <v>34</v>
      </c>
      <c r="R8" s="155" t="s">
        <v>42</v>
      </c>
      <c r="S8" s="156"/>
      <c r="T8" s="156"/>
      <c r="U8" s="157"/>
      <c r="V8" s="63" t="s">
        <v>34</v>
      </c>
    </row>
    <row r="9" spans="1:35" ht="15" customHeight="1" x14ac:dyDescent="0.2">
      <c r="A9" s="46" t="s">
        <v>43</v>
      </c>
      <c r="B9" s="46" t="s">
        <v>44</v>
      </c>
      <c r="C9" s="46" t="s">
        <v>45</v>
      </c>
      <c r="D9" s="47" t="s">
        <v>46</v>
      </c>
      <c r="E9" s="48" t="s">
        <v>39</v>
      </c>
      <c r="F9" s="48" t="s">
        <v>40</v>
      </c>
      <c r="G9" s="48" t="s">
        <v>41</v>
      </c>
      <c r="H9" s="49" t="s">
        <v>29</v>
      </c>
      <c r="I9" s="50" t="s">
        <v>39</v>
      </c>
      <c r="J9" s="50" t="s">
        <v>47</v>
      </c>
      <c r="K9" s="50" t="s">
        <v>48</v>
      </c>
      <c r="L9" s="50" t="s">
        <v>41</v>
      </c>
      <c r="M9" s="50" t="s">
        <v>31</v>
      </c>
      <c r="N9" s="51" t="s">
        <v>39</v>
      </c>
      <c r="O9" s="52" t="s">
        <v>40</v>
      </c>
      <c r="P9" s="52" t="s">
        <v>41</v>
      </c>
      <c r="Q9" s="53" t="s">
        <v>33</v>
      </c>
      <c r="R9" s="54" t="s">
        <v>39</v>
      </c>
      <c r="S9" s="54" t="s">
        <v>47</v>
      </c>
      <c r="T9" s="54" t="s">
        <v>48</v>
      </c>
      <c r="U9" s="54" t="s">
        <v>41</v>
      </c>
      <c r="V9" s="65" t="s">
        <v>49</v>
      </c>
    </row>
    <row r="10" spans="1:35" x14ac:dyDescent="0.2">
      <c r="D10" s="108" t="s">
        <v>92</v>
      </c>
      <c r="E10" s="109" t="str">
        <f>IFERROR(ABS(SUM(#REF!)),"")</f>
        <v/>
      </c>
      <c r="F10" s="109" t="str">
        <f>IFERROR(ABS(SUM(#REF!)),"")</f>
        <v/>
      </c>
      <c r="G10" s="109" t="str">
        <f>IFERROR(ABS(SUM(#REF!)),"")</f>
        <v/>
      </c>
      <c r="H10" s="110" t="str">
        <f>IFERROR(E10/G10,"")</f>
        <v/>
      </c>
      <c r="I10" s="111" t="str">
        <f>IFERROR(ABS(SUM(#REF!)),"")</f>
        <v/>
      </c>
      <c r="J10" s="111" t="str">
        <f>IFERROR(ABS(SUM(#REF!)),"")</f>
        <v/>
      </c>
      <c r="K10" s="111" t="str">
        <f>IFERROR(ABS(SUM(#REF!)),"")</f>
        <v/>
      </c>
      <c r="L10" s="111" t="str">
        <f>IFERROR(ABS(SUM(#REF!)),"")</f>
        <v/>
      </c>
      <c r="M10" s="112" t="str">
        <f>IFERROR(I10/L10,"")</f>
        <v/>
      </c>
      <c r="N10" s="113" t="str">
        <f>IFERROR(ABS(SUM(#REF!)),"")</f>
        <v/>
      </c>
      <c r="O10" s="113" t="str">
        <f>IFERROR(ABS(SUM(#REF!)),"")</f>
        <v/>
      </c>
      <c r="P10" s="113" t="str">
        <f>IFERROR(ABS(SUM(#REF!)),"")</f>
        <v/>
      </c>
      <c r="Q10" s="114" t="str">
        <f>IFERROR(N10/P10,"")</f>
        <v/>
      </c>
      <c r="R10" s="117" t="str">
        <f>IFERROR(ABS(SUM(#REF!)),"")</f>
        <v/>
      </c>
      <c r="S10" s="117" t="str">
        <f>IFERROR(ABS(SUM(#REF!)),"")</f>
        <v/>
      </c>
      <c r="T10" s="117" t="str">
        <f>IFERROR(ABS(SUM(#REF!)),"")</f>
        <v/>
      </c>
      <c r="U10" s="117" t="str">
        <f>IFERROR(ABS(SUM(#REF!)),"")</f>
        <v/>
      </c>
      <c r="V10" s="115" t="str">
        <f>IFERROR(R10/U10,"")</f>
        <v/>
      </c>
    </row>
  </sheetData>
  <sortState xmlns:xlrd2="http://schemas.microsoft.com/office/spreadsheetml/2017/richdata2" ref="R10">
    <sortCondition ref="R10"/>
  </sortState>
  <mergeCells count="8">
    <mergeCell ref="G5:L5"/>
    <mergeCell ref="X2:Y2"/>
    <mergeCell ref="AB2:AC2"/>
    <mergeCell ref="AG2:AH2"/>
    <mergeCell ref="N8:P8"/>
    <mergeCell ref="I8:L8"/>
    <mergeCell ref="E8:G8"/>
    <mergeCell ref="R8:U8"/>
  </mergeCells>
  <phoneticPr fontId="0" type="noConversion"/>
  <conditionalFormatting sqref="T3">
    <cfRule type="cellIs" dxfId="377" priority="2504" operator="lessThan">
      <formula>1</formula>
    </cfRule>
    <cfRule type="cellIs" dxfId="376" priority="2505" operator="equal">
      <formula>1</formula>
    </cfRule>
  </conditionalFormatting>
  <conditionalFormatting sqref="H3">
    <cfRule type="cellIs" dxfId="375" priority="1791" operator="lessThan">
      <formula>1</formula>
    </cfRule>
    <cfRule type="cellIs" dxfId="374" priority="1792" operator="equal">
      <formula>1</formula>
    </cfRule>
  </conditionalFormatting>
  <conditionalFormatting sqref="J3 L3">
    <cfRule type="cellIs" dxfId="373" priority="1789" operator="lessThan">
      <formula>1</formula>
    </cfRule>
    <cfRule type="cellIs" dxfId="372" priority="1790" operator="equal">
      <formula>1</formula>
    </cfRule>
  </conditionalFormatting>
  <conditionalFormatting sqref="AI3">
    <cfRule type="cellIs" dxfId="371" priority="830" operator="lessThan">
      <formula>1</formula>
    </cfRule>
    <cfRule type="cellIs" dxfId="370" priority="831" operator="equal">
      <formula>1</formula>
    </cfRule>
  </conditionalFormatting>
  <conditionalFormatting sqref="AC4">
    <cfRule type="cellIs" dxfId="369" priority="846" operator="greaterThan">
      <formula>0</formula>
    </cfRule>
  </conditionalFormatting>
  <conditionalFormatting sqref="Y4 AH4">
    <cfRule type="cellIs" dxfId="368" priority="829" operator="greaterThan">
      <formula>0</formula>
    </cfRule>
  </conditionalFormatting>
  <conditionalFormatting sqref="Z3">
    <cfRule type="cellIs" dxfId="367" priority="834" operator="lessThan">
      <formula>1</formula>
    </cfRule>
    <cfRule type="cellIs" dxfId="366" priority="835" operator="equal">
      <formula>1</formula>
    </cfRule>
  </conditionalFormatting>
  <conditionalFormatting sqref="AD3">
    <cfRule type="cellIs" dxfId="365" priority="832" operator="lessThan">
      <formula>1</formula>
    </cfRule>
    <cfRule type="cellIs" dxfId="364" priority="833" operator="equal">
      <formula>1</formula>
    </cfRule>
  </conditionalFormatting>
  <conditionalFormatting sqref="H10">
    <cfRule type="cellIs" dxfId="363" priority="9" operator="equal">
      <formula>1</formula>
    </cfRule>
  </conditionalFormatting>
  <conditionalFormatting sqref="H10">
    <cfRule type="cellIs" dxfId="362" priority="8" operator="lessThan">
      <formula>1</formula>
    </cfRule>
  </conditionalFormatting>
  <conditionalFormatting sqref="M10">
    <cfRule type="cellIs" dxfId="361" priority="7" operator="equal">
      <formula>1</formula>
    </cfRule>
  </conditionalFormatting>
  <conditionalFormatting sqref="M10">
    <cfRule type="cellIs" dxfId="360" priority="6" operator="lessThan">
      <formula>1</formula>
    </cfRule>
  </conditionalFormatting>
  <conditionalFormatting sqref="Q10">
    <cfRule type="cellIs" dxfId="359" priority="5" operator="equal">
      <formula>1</formula>
    </cfRule>
  </conditionalFormatting>
  <conditionalFormatting sqref="Q10">
    <cfRule type="cellIs" dxfId="358" priority="4" operator="lessThan">
      <formula>1</formula>
    </cfRule>
  </conditionalFormatting>
  <conditionalFormatting sqref="V10">
    <cfRule type="cellIs" dxfId="357" priority="3" operator="equal">
      <formula>1</formula>
    </cfRule>
  </conditionalFormatting>
  <conditionalFormatting sqref="V10">
    <cfRule type="cellIs" dxfId="356" priority="2" operator="lessThan">
      <formula>1</formula>
    </cfRule>
  </conditionalFormatting>
  <conditionalFormatting sqref="F10 J10:K10 O10 S10:T10">
    <cfRule type="cellIs" dxfId="355" priority="1" operator="greaterThan">
      <formula>0</formula>
    </cfRule>
  </conditionalFormatting>
  <pageMargins left="0.75" right="0.75" top="1" bottom="1" header="0" footer="0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nicio2">
                <anchor moveWithCells="1" sizeWithCells="1">
                  <from>
                    <xdr:col>4</xdr:col>
                    <xdr:colOff>342900</xdr:colOff>
                    <xdr:row>0</xdr:row>
                    <xdr:rowOff>190500</xdr:rowOff>
                  </from>
                  <to>
                    <xdr:col>5</xdr:col>
                    <xdr:colOff>542925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exporta2">
                <anchor moveWithCells="1" sizeWithCells="1">
                  <from>
                    <xdr:col>2</xdr:col>
                    <xdr:colOff>19050</xdr:colOff>
                    <xdr:row>0</xdr:row>
                    <xdr:rowOff>171450</xdr:rowOff>
                  </from>
                  <to>
                    <xdr:col>4</xdr:col>
                    <xdr:colOff>66675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XFC7"/>
  <sheetViews>
    <sheetView showGridLines="0" zoomScaleNormal="100" workbookViewId="0">
      <selection activeCell="D21" sqref="D21"/>
    </sheetView>
  </sheetViews>
  <sheetFormatPr baseColWidth="10" defaultRowHeight="12.75" x14ac:dyDescent="0.2"/>
  <cols>
    <col min="1" max="1" width="14.42578125" customWidth="1"/>
    <col min="2" max="2" width="8.140625" customWidth="1"/>
    <col min="3" max="3" width="10.85546875" bestFit="1" customWidth="1"/>
    <col min="4" max="4" width="17" bestFit="1" customWidth="1"/>
    <col min="5" max="5" width="17.7109375" customWidth="1"/>
    <col min="6" max="7" width="19.42578125" customWidth="1"/>
  </cols>
  <sheetData>
    <row r="1" spans="1:16383" ht="18.75" customHeight="1" x14ac:dyDescent="0.2">
      <c r="A1" s="158" t="s">
        <v>81</v>
      </c>
      <c r="B1" s="158"/>
      <c r="C1" s="158"/>
      <c r="D1" s="158"/>
      <c r="E1" s="158"/>
      <c r="F1" s="158"/>
      <c r="G1" s="158"/>
    </row>
    <row r="2" spans="1:16383" x14ac:dyDescent="0.2">
      <c r="A2" s="103" t="s">
        <v>85</v>
      </c>
      <c r="B2" s="104">
        <f ca="1">TODAY()</f>
        <v>45827</v>
      </c>
      <c r="C2" s="103"/>
      <c r="D2" s="104"/>
      <c r="E2" s="103"/>
      <c r="F2" s="104"/>
      <c r="G2" s="103">
        <v>2002</v>
      </c>
      <c r="H2" s="103"/>
      <c r="I2" s="104"/>
      <c r="J2" s="103"/>
      <c r="K2" s="104"/>
      <c r="L2" s="103"/>
      <c r="M2" s="104"/>
      <c r="N2" s="103"/>
      <c r="O2" s="104"/>
      <c r="P2" s="103"/>
      <c r="Q2" s="104"/>
      <c r="R2" s="103"/>
      <c r="S2" s="104"/>
      <c r="T2" s="103"/>
      <c r="U2" s="104"/>
      <c r="V2" s="103"/>
      <c r="W2" s="104"/>
      <c r="X2" s="103"/>
      <c r="Y2" s="104"/>
      <c r="Z2" s="103"/>
      <c r="AA2" s="104"/>
      <c r="AB2" s="103"/>
      <c r="AC2" s="104"/>
      <c r="AD2" s="103"/>
      <c r="AE2" s="104"/>
      <c r="AF2" s="103"/>
      <c r="AG2" s="104"/>
      <c r="AH2" s="103"/>
      <c r="AI2" s="104"/>
      <c r="AJ2" s="103"/>
      <c r="AK2" s="104"/>
      <c r="AL2" s="103"/>
      <c r="AM2" s="104"/>
      <c r="AN2" s="103"/>
      <c r="AO2" s="104"/>
      <c r="AP2" s="103"/>
      <c r="AQ2" s="104"/>
      <c r="AR2" s="103"/>
      <c r="AS2" s="104"/>
      <c r="AT2" s="103"/>
      <c r="AU2" s="104"/>
      <c r="AV2" s="103"/>
      <c r="AW2" s="104"/>
      <c r="AX2" s="103"/>
      <c r="AY2" s="104"/>
      <c r="AZ2" s="103"/>
      <c r="BA2" s="104"/>
      <c r="BB2" s="103"/>
      <c r="BC2" s="104"/>
      <c r="BD2" s="103"/>
      <c r="BE2" s="104"/>
      <c r="BF2" s="103"/>
      <c r="BG2" s="104"/>
      <c r="BH2" s="103"/>
      <c r="BI2" s="104"/>
      <c r="BJ2" s="103"/>
      <c r="BK2" s="104"/>
      <c r="BL2" s="103"/>
      <c r="BM2" s="104"/>
      <c r="BN2" s="103"/>
      <c r="BO2" s="104"/>
      <c r="BP2" s="103"/>
      <c r="BQ2" s="104"/>
      <c r="BR2" s="103"/>
      <c r="BS2" s="104"/>
      <c r="BT2" s="103"/>
      <c r="BU2" s="104"/>
      <c r="BV2" s="103"/>
      <c r="BW2" s="104"/>
      <c r="BX2" s="103"/>
      <c r="BY2" s="104"/>
      <c r="BZ2" s="103"/>
      <c r="CA2" s="104"/>
      <c r="CB2" s="103"/>
      <c r="CC2" s="104"/>
      <c r="CD2" s="103"/>
      <c r="CE2" s="104"/>
      <c r="CF2" s="103"/>
      <c r="CG2" s="104"/>
      <c r="CH2" s="103"/>
      <c r="CI2" s="104"/>
      <c r="CJ2" s="103"/>
      <c r="CK2" s="104"/>
      <c r="CL2" s="103"/>
      <c r="CM2" s="104"/>
      <c r="CN2" s="103"/>
      <c r="CO2" s="104"/>
      <c r="CP2" s="103"/>
      <c r="CQ2" s="104"/>
      <c r="CR2" s="103"/>
      <c r="CS2" s="104"/>
      <c r="CT2" s="103"/>
      <c r="CU2" s="104"/>
      <c r="CV2" s="103"/>
      <c r="CW2" s="104"/>
      <c r="CX2" s="103"/>
      <c r="CY2" s="104"/>
      <c r="CZ2" s="103"/>
      <c r="DA2" s="104"/>
      <c r="DB2" s="103"/>
      <c r="DC2" s="104"/>
      <c r="DD2" s="103"/>
      <c r="DE2" s="104"/>
      <c r="DF2" s="103"/>
      <c r="DG2" s="104"/>
      <c r="DH2" s="103"/>
      <c r="DI2" s="104"/>
      <c r="DJ2" s="103"/>
      <c r="DK2" s="104"/>
      <c r="DL2" s="103"/>
      <c r="DM2" s="104"/>
      <c r="DN2" s="103"/>
      <c r="DO2" s="104"/>
      <c r="DP2" s="103"/>
      <c r="DQ2" s="104"/>
      <c r="DR2" s="103"/>
      <c r="DS2" s="104"/>
      <c r="DT2" s="103"/>
      <c r="DU2" s="104"/>
      <c r="DV2" s="103"/>
      <c r="DW2" s="104"/>
      <c r="DX2" s="103"/>
      <c r="DY2" s="104"/>
      <c r="DZ2" s="103"/>
      <c r="EA2" s="104"/>
      <c r="EB2" s="103"/>
      <c r="EC2" s="104"/>
      <c r="ED2" s="103"/>
      <c r="EE2" s="104"/>
      <c r="EF2" s="103"/>
      <c r="EG2" s="104"/>
      <c r="EH2" s="103"/>
      <c r="EI2" s="104"/>
      <c r="EJ2" s="103"/>
      <c r="EK2" s="104"/>
      <c r="EL2" s="103"/>
      <c r="EM2" s="104"/>
      <c r="EN2" s="103"/>
      <c r="EO2" s="104"/>
      <c r="EP2" s="103"/>
      <c r="EQ2" s="104"/>
      <c r="ER2" s="103"/>
      <c r="ES2" s="104"/>
      <c r="ET2" s="103"/>
      <c r="EU2" s="104"/>
      <c r="EV2" s="103"/>
      <c r="EW2" s="104"/>
      <c r="EX2" s="103"/>
      <c r="EY2" s="104"/>
      <c r="EZ2" s="103"/>
      <c r="FA2" s="104"/>
      <c r="FB2" s="103"/>
      <c r="FC2" s="104"/>
      <c r="FD2" s="103"/>
      <c r="FE2" s="104"/>
      <c r="FF2" s="103"/>
      <c r="FG2" s="104"/>
      <c r="FH2" s="103"/>
      <c r="FI2" s="104"/>
      <c r="FJ2" s="103"/>
      <c r="FK2" s="104"/>
      <c r="FL2" s="103"/>
      <c r="FM2" s="104"/>
      <c r="FN2" s="103"/>
      <c r="FO2" s="104"/>
      <c r="FP2" s="103"/>
      <c r="FQ2" s="104"/>
      <c r="FR2" s="103"/>
      <c r="FS2" s="104"/>
      <c r="FT2" s="103"/>
      <c r="FU2" s="104"/>
      <c r="FV2" s="103"/>
      <c r="FW2" s="104"/>
      <c r="FX2" s="103"/>
      <c r="FY2" s="104"/>
      <c r="FZ2" s="103"/>
      <c r="GA2" s="104"/>
      <c r="GB2" s="103"/>
      <c r="GC2" s="104"/>
      <c r="GD2" s="103"/>
      <c r="GE2" s="104"/>
      <c r="GF2" s="103"/>
      <c r="GG2" s="104"/>
      <c r="GH2" s="103"/>
      <c r="GI2" s="104"/>
      <c r="GJ2" s="103"/>
      <c r="GK2" s="104"/>
      <c r="GL2" s="103"/>
      <c r="GM2" s="104"/>
      <c r="GN2" s="103"/>
      <c r="GO2" s="104"/>
      <c r="GP2" s="103"/>
      <c r="GQ2" s="104"/>
      <c r="GR2" s="103"/>
      <c r="GS2" s="104"/>
      <c r="GT2" s="103"/>
      <c r="GU2" s="104"/>
      <c r="GV2" s="103"/>
      <c r="GW2" s="104"/>
      <c r="GX2" s="103"/>
      <c r="GY2" s="104"/>
      <c r="GZ2" s="103"/>
      <c r="HA2" s="104"/>
      <c r="HB2" s="103"/>
      <c r="HC2" s="104"/>
      <c r="HD2" s="103"/>
      <c r="HE2" s="104"/>
      <c r="HF2" s="103"/>
      <c r="HG2" s="104"/>
      <c r="HH2" s="103"/>
      <c r="HI2" s="104"/>
      <c r="HJ2" s="103"/>
      <c r="HK2" s="104"/>
      <c r="HL2" s="103"/>
      <c r="HM2" s="104"/>
      <c r="HN2" s="103"/>
      <c r="HO2" s="104"/>
      <c r="HP2" s="103"/>
      <c r="HQ2" s="104"/>
      <c r="HR2" s="103"/>
      <c r="HS2" s="104"/>
      <c r="HT2" s="103"/>
      <c r="HU2" s="104"/>
      <c r="HV2" s="103"/>
      <c r="HW2" s="104"/>
      <c r="HX2" s="103"/>
      <c r="HY2" s="104"/>
      <c r="HZ2" s="103"/>
      <c r="IA2" s="104"/>
      <c r="IB2" s="103"/>
      <c r="IC2" s="104"/>
      <c r="ID2" s="103"/>
      <c r="IE2" s="104"/>
      <c r="IF2" s="103"/>
      <c r="IG2" s="104"/>
      <c r="IH2" s="103"/>
      <c r="II2" s="104"/>
      <c r="IJ2" s="103"/>
      <c r="IK2" s="104"/>
      <c r="IL2" s="103"/>
      <c r="IM2" s="104"/>
      <c r="IN2" s="103"/>
      <c r="IO2" s="104"/>
      <c r="IP2" s="103"/>
      <c r="IQ2" s="104"/>
      <c r="IR2" s="103"/>
      <c r="IS2" s="104"/>
      <c r="IT2" s="103"/>
      <c r="IU2" s="104"/>
      <c r="IV2" s="103"/>
      <c r="IW2" s="104"/>
      <c r="IX2" s="103"/>
      <c r="IY2" s="104"/>
      <c r="IZ2" s="103"/>
      <c r="JA2" s="104"/>
      <c r="JB2" s="103"/>
      <c r="JC2" s="104"/>
      <c r="JD2" s="103"/>
      <c r="JE2" s="104"/>
      <c r="JF2" s="103"/>
      <c r="JG2" s="104"/>
      <c r="JH2" s="103"/>
      <c r="JI2" s="104"/>
      <c r="JJ2" s="103"/>
      <c r="JK2" s="104"/>
      <c r="JL2" s="103"/>
      <c r="JM2" s="104"/>
      <c r="JN2" s="103"/>
      <c r="JO2" s="104"/>
      <c r="JP2" s="103"/>
      <c r="JQ2" s="104"/>
      <c r="JR2" s="103"/>
      <c r="JS2" s="104"/>
      <c r="JT2" s="103"/>
      <c r="JU2" s="104"/>
      <c r="JV2" s="103"/>
      <c r="JW2" s="104"/>
      <c r="JX2" s="103"/>
      <c r="JY2" s="104"/>
      <c r="JZ2" s="103"/>
      <c r="KA2" s="104"/>
      <c r="KB2" s="103"/>
      <c r="KC2" s="104"/>
      <c r="KD2" s="103"/>
      <c r="KE2" s="104"/>
      <c r="KF2" s="103"/>
      <c r="KG2" s="104"/>
      <c r="KH2" s="103"/>
      <c r="KI2" s="104"/>
      <c r="KJ2" s="103"/>
      <c r="KK2" s="104"/>
      <c r="KL2" s="103"/>
      <c r="KM2" s="104"/>
      <c r="KN2" s="103"/>
      <c r="KO2" s="104"/>
      <c r="KP2" s="103"/>
      <c r="KQ2" s="104"/>
      <c r="KR2" s="103"/>
      <c r="KS2" s="104"/>
      <c r="KT2" s="103"/>
      <c r="KU2" s="104"/>
      <c r="KV2" s="103"/>
      <c r="KW2" s="104"/>
      <c r="KX2" s="103"/>
      <c r="KY2" s="104"/>
      <c r="KZ2" s="103"/>
      <c r="LA2" s="104"/>
      <c r="LB2" s="103"/>
      <c r="LC2" s="104"/>
      <c r="LD2" s="103"/>
      <c r="LE2" s="104"/>
      <c r="LF2" s="103"/>
      <c r="LG2" s="104"/>
      <c r="LH2" s="103"/>
      <c r="LI2" s="104"/>
      <c r="LJ2" s="103"/>
      <c r="LK2" s="104"/>
      <c r="LL2" s="103"/>
      <c r="LM2" s="104"/>
      <c r="LN2" s="103"/>
      <c r="LO2" s="104"/>
      <c r="LP2" s="103"/>
      <c r="LQ2" s="104"/>
      <c r="LR2" s="103"/>
      <c r="LS2" s="104"/>
      <c r="LT2" s="103"/>
      <c r="LU2" s="104"/>
      <c r="LV2" s="103"/>
      <c r="LW2" s="104"/>
      <c r="LX2" s="103"/>
      <c r="LY2" s="104"/>
      <c r="LZ2" s="103"/>
      <c r="MA2" s="104"/>
      <c r="MB2" s="103"/>
      <c r="MC2" s="104"/>
      <c r="MD2" s="103"/>
      <c r="ME2" s="104"/>
      <c r="MF2" s="103"/>
      <c r="MG2" s="104"/>
      <c r="MH2" s="103"/>
      <c r="MI2" s="104"/>
      <c r="MJ2" s="103"/>
      <c r="MK2" s="104"/>
      <c r="ML2" s="103"/>
      <c r="MM2" s="104"/>
      <c r="MN2" s="103"/>
      <c r="MO2" s="104"/>
      <c r="MP2" s="103"/>
      <c r="MQ2" s="104"/>
      <c r="MR2" s="103"/>
      <c r="MS2" s="104"/>
      <c r="MT2" s="103"/>
      <c r="MU2" s="104"/>
      <c r="MV2" s="103"/>
      <c r="MW2" s="104"/>
      <c r="MX2" s="103"/>
      <c r="MY2" s="104"/>
      <c r="MZ2" s="103"/>
      <c r="NA2" s="104"/>
      <c r="NB2" s="103"/>
      <c r="NC2" s="104"/>
      <c r="ND2" s="103"/>
      <c r="NE2" s="104"/>
      <c r="NF2" s="103"/>
      <c r="NG2" s="104"/>
      <c r="NH2" s="103"/>
      <c r="NI2" s="104"/>
      <c r="NJ2" s="103"/>
      <c r="NK2" s="104"/>
      <c r="NL2" s="103"/>
      <c r="NM2" s="104"/>
      <c r="NN2" s="103"/>
      <c r="NO2" s="104"/>
      <c r="NP2" s="103"/>
      <c r="NQ2" s="104"/>
      <c r="NR2" s="103"/>
      <c r="NS2" s="104"/>
      <c r="NT2" s="103"/>
      <c r="NU2" s="104"/>
      <c r="NV2" s="103"/>
      <c r="NW2" s="104"/>
      <c r="NX2" s="103"/>
      <c r="NY2" s="104"/>
      <c r="NZ2" s="103"/>
      <c r="OA2" s="104"/>
      <c r="OB2" s="103"/>
      <c r="OC2" s="104"/>
      <c r="OD2" s="103"/>
      <c r="OE2" s="104"/>
      <c r="OF2" s="103"/>
      <c r="OG2" s="104"/>
      <c r="OH2" s="103"/>
      <c r="OI2" s="104"/>
      <c r="OJ2" s="103"/>
      <c r="OK2" s="104"/>
      <c r="OL2" s="103"/>
      <c r="OM2" s="104"/>
      <c r="ON2" s="103"/>
      <c r="OO2" s="104"/>
      <c r="OP2" s="103"/>
      <c r="OQ2" s="104"/>
      <c r="OR2" s="103"/>
      <c r="OS2" s="104"/>
      <c r="OT2" s="103"/>
      <c r="OU2" s="104"/>
      <c r="OV2" s="103"/>
      <c r="OW2" s="104"/>
      <c r="OX2" s="103"/>
      <c r="OY2" s="104"/>
      <c r="OZ2" s="103"/>
      <c r="PA2" s="104"/>
      <c r="PB2" s="103"/>
      <c r="PC2" s="104"/>
      <c r="PD2" s="103"/>
      <c r="PE2" s="104"/>
      <c r="PF2" s="103"/>
      <c r="PG2" s="104"/>
      <c r="PH2" s="103"/>
      <c r="PI2" s="104"/>
      <c r="PJ2" s="103"/>
      <c r="PK2" s="104"/>
      <c r="PL2" s="103"/>
      <c r="PM2" s="104"/>
      <c r="PN2" s="103"/>
      <c r="PO2" s="104"/>
      <c r="PP2" s="103"/>
      <c r="PQ2" s="104"/>
      <c r="PR2" s="103"/>
      <c r="PS2" s="104"/>
      <c r="PT2" s="103"/>
      <c r="PU2" s="104"/>
      <c r="PV2" s="103"/>
      <c r="PW2" s="104"/>
      <c r="PX2" s="103"/>
      <c r="PY2" s="104"/>
      <c r="PZ2" s="103"/>
      <c r="QA2" s="104"/>
      <c r="QB2" s="103"/>
      <c r="QC2" s="104"/>
      <c r="QD2" s="103"/>
      <c r="QE2" s="104"/>
      <c r="QF2" s="103"/>
      <c r="QG2" s="104"/>
      <c r="QH2" s="103"/>
      <c r="QI2" s="104"/>
      <c r="QJ2" s="103"/>
      <c r="QK2" s="104"/>
      <c r="QL2" s="103"/>
      <c r="QM2" s="104"/>
      <c r="QN2" s="103"/>
      <c r="QO2" s="104"/>
      <c r="QP2" s="103"/>
      <c r="QQ2" s="104"/>
      <c r="QR2" s="103"/>
      <c r="QS2" s="104"/>
      <c r="QT2" s="103"/>
      <c r="QU2" s="104"/>
      <c r="QV2" s="103"/>
      <c r="QW2" s="104"/>
      <c r="QX2" s="103"/>
      <c r="QY2" s="104"/>
      <c r="QZ2" s="103"/>
      <c r="RA2" s="104"/>
      <c r="RB2" s="103"/>
      <c r="RC2" s="104"/>
      <c r="RD2" s="103"/>
      <c r="RE2" s="104"/>
      <c r="RF2" s="103"/>
      <c r="RG2" s="104"/>
      <c r="RH2" s="103"/>
      <c r="RI2" s="104"/>
      <c r="RJ2" s="103"/>
      <c r="RK2" s="104"/>
      <c r="RL2" s="103"/>
      <c r="RM2" s="104"/>
      <c r="RN2" s="103"/>
      <c r="RO2" s="104"/>
      <c r="RP2" s="103"/>
      <c r="RQ2" s="104"/>
      <c r="RR2" s="103"/>
      <c r="RS2" s="104"/>
      <c r="RT2" s="103"/>
      <c r="RU2" s="104"/>
      <c r="RV2" s="103"/>
      <c r="RW2" s="104"/>
      <c r="RX2" s="103"/>
      <c r="RY2" s="104"/>
      <c r="RZ2" s="103"/>
      <c r="SA2" s="104"/>
      <c r="SB2" s="103"/>
      <c r="SC2" s="104"/>
      <c r="SD2" s="103"/>
      <c r="SE2" s="104"/>
      <c r="SF2" s="103"/>
      <c r="SG2" s="104"/>
      <c r="SH2" s="103"/>
      <c r="SI2" s="104"/>
      <c r="SJ2" s="103"/>
      <c r="SK2" s="104"/>
      <c r="SL2" s="103"/>
      <c r="SM2" s="104"/>
      <c r="SN2" s="103"/>
      <c r="SO2" s="104"/>
      <c r="SP2" s="103"/>
      <c r="SQ2" s="104"/>
      <c r="SR2" s="103"/>
      <c r="SS2" s="104"/>
      <c r="ST2" s="103"/>
      <c r="SU2" s="104"/>
      <c r="SV2" s="103"/>
      <c r="SW2" s="104"/>
      <c r="SX2" s="103"/>
      <c r="SY2" s="104"/>
      <c r="SZ2" s="103"/>
      <c r="TA2" s="104"/>
      <c r="TB2" s="103"/>
      <c r="TC2" s="104"/>
      <c r="TD2" s="103"/>
      <c r="TE2" s="104"/>
      <c r="TF2" s="103"/>
      <c r="TG2" s="104"/>
      <c r="TH2" s="103"/>
      <c r="TI2" s="104"/>
      <c r="TJ2" s="103"/>
      <c r="TK2" s="104"/>
      <c r="TL2" s="103"/>
      <c r="TM2" s="104"/>
      <c r="TN2" s="103"/>
      <c r="TO2" s="104"/>
      <c r="TP2" s="103"/>
      <c r="TQ2" s="104"/>
      <c r="TR2" s="103"/>
      <c r="TS2" s="104"/>
      <c r="TT2" s="103"/>
      <c r="TU2" s="104"/>
      <c r="TV2" s="103"/>
      <c r="TW2" s="104"/>
      <c r="TX2" s="103"/>
      <c r="TY2" s="104"/>
      <c r="TZ2" s="103"/>
      <c r="UA2" s="104"/>
      <c r="UB2" s="103"/>
      <c r="UC2" s="104"/>
      <c r="UD2" s="103"/>
      <c r="UE2" s="104"/>
      <c r="UF2" s="103"/>
      <c r="UG2" s="104"/>
      <c r="UH2" s="103"/>
      <c r="UI2" s="104"/>
      <c r="UJ2" s="103"/>
      <c r="UK2" s="104"/>
      <c r="UL2" s="103"/>
      <c r="UM2" s="104"/>
      <c r="UN2" s="103"/>
      <c r="UO2" s="104"/>
      <c r="UP2" s="103"/>
      <c r="UQ2" s="104"/>
      <c r="UR2" s="103"/>
      <c r="US2" s="104"/>
      <c r="UT2" s="103"/>
      <c r="UU2" s="104"/>
      <c r="UV2" s="103"/>
      <c r="UW2" s="104"/>
      <c r="UX2" s="103"/>
      <c r="UY2" s="104"/>
      <c r="UZ2" s="103"/>
      <c r="VA2" s="104"/>
      <c r="VB2" s="103"/>
      <c r="VC2" s="104"/>
      <c r="VD2" s="103"/>
      <c r="VE2" s="104"/>
      <c r="VF2" s="103"/>
      <c r="VG2" s="104"/>
      <c r="VH2" s="103"/>
      <c r="VI2" s="104"/>
      <c r="VJ2" s="103"/>
      <c r="VK2" s="104"/>
      <c r="VL2" s="103"/>
      <c r="VM2" s="104"/>
      <c r="VN2" s="103"/>
      <c r="VO2" s="104"/>
      <c r="VP2" s="103"/>
      <c r="VQ2" s="104"/>
      <c r="VR2" s="103"/>
      <c r="VS2" s="104"/>
      <c r="VT2" s="103"/>
      <c r="VU2" s="104"/>
      <c r="VV2" s="103"/>
      <c r="VW2" s="104"/>
      <c r="VX2" s="103"/>
      <c r="VY2" s="104"/>
      <c r="VZ2" s="103"/>
      <c r="WA2" s="104"/>
      <c r="WB2" s="103"/>
      <c r="WC2" s="104"/>
      <c r="WD2" s="103"/>
      <c r="WE2" s="104"/>
      <c r="WF2" s="103"/>
      <c r="WG2" s="104"/>
      <c r="WH2" s="103"/>
      <c r="WI2" s="104"/>
      <c r="WJ2" s="103"/>
      <c r="WK2" s="104"/>
      <c r="WL2" s="103"/>
      <c r="WM2" s="104"/>
      <c r="WN2" s="103"/>
      <c r="WO2" s="104"/>
      <c r="WP2" s="103"/>
      <c r="WQ2" s="104"/>
      <c r="WR2" s="103"/>
      <c r="WS2" s="104"/>
      <c r="WT2" s="103"/>
      <c r="WU2" s="104"/>
      <c r="WV2" s="103"/>
      <c r="WW2" s="104"/>
      <c r="WX2" s="103"/>
      <c r="WY2" s="104"/>
      <c r="WZ2" s="103"/>
      <c r="XA2" s="104"/>
      <c r="XB2" s="103"/>
      <c r="XC2" s="104"/>
      <c r="XD2" s="103"/>
      <c r="XE2" s="104"/>
      <c r="XF2" s="103"/>
      <c r="XG2" s="104"/>
      <c r="XH2" s="103"/>
      <c r="XI2" s="104"/>
      <c r="XJ2" s="103"/>
      <c r="XK2" s="104"/>
      <c r="XL2" s="103"/>
      <c r="XM2" s="104"/>
      <c r="XN2" s="103"/>
      <c r="XO2" s="104"/>
      <c r="XP2" s="103"/>
      <c r="XQ2" s="104"/>
      <c r="XR2" s="103"/>
      <c r="XS2" s="104"/>
      <c r="XT2" s="103"/>
      <c r="XU2" s="104"/>
      <c r="XV2" s="103"/>
      <c r="XW2" s="104"/>
      <c r="XX2" s="103"/>
      <c r="XY2" s="104"/>
      <c r="XZ2" s="103"/>
      <c r="YA2" s="104"/>
      <c r="YB2" s="103"/>
      <c r="YC2" s="104"/>
      <c r="YD2" s="103"/>
      <c r="YE2" s="104"/>
      <c r="YF2" s="103"/>
      <c r="YG2" s="104"/>
      <c r="YH2" s="103"/>
      <c r="YI2" s="104"/>
      <c r="YJ2" s="103"/>
      <c r="YK2" s="104"/>
      <c r="YL2" s="103"/>
      <c r="YM2" s="104"/>
      <c r="YN2" s="103"/>
      <c r="YO2" s="104"/>
      <c r="YP2" s="103"/>
      <c r="YQ2" s="104"/>
      <c r="YR2" s="103"/>
      <c r="YS2" s="104"/>
      <c r="YT2" s="103"/>
      <c r="YU2" s="104"/>
      <c r="YV2" s="103"/>
      <c r="YW2" s="104"/>
      <c r="YX2" s="103"/>
      <c r="YY2" s="104"/>
      <c r="YZ2" s="103"/>
      <c r="ZA2" s="104"/>
      <c r="ZB2" s="103"/>
      <c r="ZC2" s="104"/>
      <c r="ZD2" s="103"/>
      <c r="ZE2" s="104"/>
      <c r="ZF2" s="103"/>
      <c r="ZG2" s="104"/>
      <c r="ZH2" s="103"/>
      <c r="ZI2" s="104"/>
      <c r="ZJ2" s="103"/>
      <c r="ZK2" s="104"/>
      <c r="ZL2" s="103"/>
      <c r="ZM2" s="104"/>
      <c r="ZN2" s="103"/>
      <c r="ZO2" s="104"/>
      <c r="ZP2" s="103"/>
      <c r="ZQ2" s="104"/>
      <c r="ZR2" s="103"/>
      <c r="ZS2" s="104"/>
      <c r="ZT2" s="103"/>
      <c r="ZU2" s="104"/>
      <c r="ZV2" s="103"/>
      <c r="ZW2" s="104"/>
      <c r="ZX2" s="103"/>
      <c r="ZY2" s="104"/>
      <c r="ZZ2" s="103"/>
      <c r="AAA2" s="104"/>
      <c r="AAB2" s="103"/>
      <c r="AAC2" s="104"/>
      <c r="AAD2" s="103"/>
      <c r="AAE2" s="104"/>
      <c r="AAF2" s="103"/>
      <c r="AAG2" s="104"/>
      <c r="AAH2" s="103"/>
      <c r="AAI2" s="104"/>
      <c r="AAJ2" s="103"/>
      <c r="AAK2" s="104"/>
      <c r="AAL2" s="103"/>
      <c r="AAM2" s="104"/>
      <c r="AAN2" s="103"/>
      <c r="AAO2" s="104"/>
      <c r="AAP2" s="103"/>
      <c r="AAQ2" s="104"/>
      <c r="AAR2" s="103"/>
      <c r="AAS2" s="104"/>
      <c r="AAT2" s="103"/>
      <c r="AAU2" s="104"/>
      <c r="AAV2" s="103"/>
      <c r="AAW2" s="104"/>
      <c r="AAX2" s="103"/>
      <c r="AAY2" s="104"/>
      <c r="AAZ2" s="103"/>
      <c r="ABA2" s="104"/>
      <c r="ABB2" s="103"/>
      <c r="ABC2" s="104"/>
      <c r="ABD2" s="103"/>
      <c r="ABE2" s="104"/>
      <c r="ABF2" s="103"/>
      <c r="ABG2" s="104"/>
      <c r="ABH2" s="103"/>
      <c r="ABI2" s="104"/>
      <c r="ABJ2" s="103"/>
      <c r="ABK2" s="104"/>
      <c r="ABL2" s="103"/>
      <c r="ABM2" s="104"/>
      <c r="ABN2" s="103"/>
      <c r="ABO2" s="104"/>
      <c r="ABP2" s="103"/>
      <c r="ABQ2" s="104"/>
      <c r="ABR2" s="103"/>
      <c r="ABS2" s="104"/>
      <c r="ABT2" s="103"/>
      <c r="ABU2" s="104"/>
      <c r="ABV2" s="103"/>
      <c r="ABW2" s="104"/>
      <c r="ABX2" s="103"/>
      <c r="ABY2" s="104"/>
      <c r="ABZ2" s="103"/>
      <c r="ACA2" s="104"/>
      <c r="ACB2" s="103"/>
      <c r="ACC2" s="104"/>
      <c r="ACD2" s="103"/>
      <c r="ACE2" s="104"/>
      <c r="ACF2" s="103"/>
      <c r="ACG2" s="104"/>
      <c r="ACH2" s="103"/>
      <c r="ACI2" s="104"/>
      <c r="ACJ2" s="103"/>
      <c r="ACK2" s="104"/>
      <c r="ACL2" s="103"/>
      <c r="ACM2" s="104"/>
      <c r="ACN2" s="103"/>
      <c r="ACO2" s="104"/>
      <c r="ACP2" s="103"/>
      <c r="ACQ2" s="104"/>
      <c r="ACR2" s="103"/>
      <c r="ACS2" s="104"/>
      <c r="ACT2" s="103"/>
      <c r="ACU2" s="104"/>
      <c r="ACV2" s="103"/>
      <c r="ACW2" s="104"/>
      <c r="ACX2" s="103"/>
      <c r="ACY2" s="104"/>
      <c r="ACZ2" s="103"/>
      <c r="ADA2" s="104"/>
      <c r="ADB2" s="103"/>
      <c r="ADC2" s="104"/>
      <c r="ADD2" s="103"/>
      <c r="ADE2" s="104"/>
      <c r="ADF2" s="103"/>
      <c r="ADG2" s="104"/>
      <c r="ADH2" s="103"/>
      <c r="ADI2" s="104"/>
      <c r="ADJ2" s="103"/>
      <c r="ADK2" s="104"/>
      <c r="ADL2" s="103"/>
      <c r="ADM2" s="104"/>
      <c r="ADN2" s="103"/>
      <c r="ADO2" s="104"/>
      <c r="ADP2" s="103"/>
      <c r="ADQ2" s="104"/>
      <c r="ADR2" s="103"/>
      <c r="ADS2" s="104"/>
      <c r="ADT2" s="103"/>
      <c r="ADU2" s="104"/>
      <c r="ADV2" s="103"/>
      <c r="ADW2" s="104"/>
      <c r="ADX2" s="103"/>
      <c r="ADY2" s="104"/>
      <c r="ADZ2" s="103"/>
      <c r="AEA2" s="104"/>
      <c r="AEB2" s="103"/>
      <c r="AEC2" s="104"/>
      <c r="AED2" s="103"/>
      <c r="AEE2" s="104"/>
      <c r="AEF2" s="103"/>
      <c r="AEG2" s="104"/>
      <c r="AEH2" s="103"/>
      <c r="AEI2" s="104"/>
      <c r="AEJ2" s="103"/>
      <c r="AEK2" s="104"/>
      <c r="AEL2" s="103"/>
      <c r="AEM2" s="104"/>
      <c r="AEN2" s="103"/>
      <c r="AEO2" s="104"/>
      <c r="AEP2" s="103"/>
      <c r="AEQ2" s="104"/>
      <c r="AER2" s="103"/>
      <c r="AES2" s="104"/>
      <c r="AET2" s="103"/>
      <c r="AEU2" s="104"/>
      <c r="AEV2" s="103"/>
      <c r="AEW2" s="104"/>
      <c r="AEX2" s="103"/>
      <c r="AEY2" s="104"/>
      <c r="AEZ2" s="103"/>
      <c r="AFA2" s="104"/>
      <c r="AFB2" s="103"/>
      <c r="AFC2" s="104"/>
      <c r="AFD2" s="103"/>
      <c r="AFE2" s="104"/>
      <c r="AFF2" s="103"/>
      <c r="AFG2" s="104"/>
      <c r="AFH2" s="103"/>
      <c r="AFI2" s="104"/>
      <c r="AFJ2" s="103"/>
      <c r="AFK2" s="104"/>
      <c r="AFL2" s="103"/>
      <c r="AFM2" s="104"/>
      <c r="AFN2" s="103"/>
      <c r="AFO2" s="104"/>
      <c r="AFP2" s="103"/>
      <c r="AFQ2" s="104"/>
      <c r="AFR2" s="103"/>
      <c r="AFS2" s="104"/>
      <c r="AFT2" s="103"/>
      <c r="AFU2" s="104"/>
      <c r="AFV2" s="103"/>
      <c r="AFW2" s="104"/>
      <c r="AFX2" s="103"/>
      <c r="AFY2" s="104"/>
      <c r="AFZ2" s="103"/>
      <c r="AGA2" s="104"/>
      <c r="AGB2" s="103"/>
      <c r="AGC2" s="104"/>
      <c r="AGD2" s="103"/>
      <c r="AGE2" s="104"/>
      <c r="AGF2" s="103"/>
      <c r="AGG2" s="104"/>
      <c r="AGH2" s="103"/>
      <c r="AGI2" s="104"/>
      <c r="AGJ2" s="103"/>
      <c r="AGK2" s="104"/>
      <c r="AGL2" s="103"/>
      <c r="AGM2" s="104"/>
      <c r="AGN2" s="103"/>
      <c r="AGO2" s="104"/>
      <c r="AGP2" s="103"/>
      <c r="AGQ2" s="104"/>
      <c r="AGR2" s="103"/>
      <c r="AGS2" s="104"/>
      <c r="AGT2" s="103"/>
      <c r="AGU2" s="104"/>
      <c r="AGV2" s="103"/>
      <c r="AGW2" s="104"/>
      <c r="AGX2" s="103"/>
      <c r="AGY2" s="104"/>
      <c r="AGZ2" s="103"/>
      <c r="AHA2" s="104"/>
      <c r="AHB2" s="103"/>
      <c r="AHC2" s="104"/>
      <c r="AHD2" s="103"/>
      <c r="AHE2" s="104"/>
      <c r="AHF2" s="103"/>
      <c r="AHG2" s="104"/>
      <c r="AHH2" s="103"/>
      <c r="AHI2" s="104"/>
      <c r="AHJ2" s="103"/>
      <c r="AHK2" s="104"/>
      <c r="AHL2" s="103"/>
      <c r="AHM2" s="104"/>
      <c r="AHN2" s="103"/>
      <c r="AHO2" s="104"/>
      <c r="AHP2" s="103"/>
      <c r="AHQ2" s="104"/>
      <c r="AHR2" s="103"/>
      <c r="AHS2" s="104"/>
      <c r="AHT2" s="103"/>
      <c r="AHU2" s="104"/>
      <c r="AHV2" s="103"/>
      <c r="AHW2" s="104"/>
      <c r="AHX2" s="103"/>
      <c r="AHY2" s="104"/>
      <c r="AHZ2" s="103"/>
      <c r="AIA2" s="104"/>
      <c r="AIB2" s="103"/>
      <c r="AIC2" s="104"/>
      <c r="AID2" s="103"/>
      <c r="AIE2" s="104"/>
      <c r="AIF2" s="103"/>
      <c r="AIG2" s="104"/>
      <c r="AIH2" s="103"/>
      <c r="AII2" s="104"/>
      <c r="AIJ2" s="103"/>
      <c r="AIK2" s="104"/>
      <c r="AIL2" s="103"/>
      <c r="AIM2" s="104"/>
      <c r="AIN2" s="103"/>
      <c r="AIO2" s="104"/>
      <c r="AIP2" s="103"/>
      <c r="AIQ2" s="104"/>
      <c r="AIR2" s="103"/>
      <c r="AIS2" s="104"/>
      <c r="AIT2" s="103"/>
      <c r="AIU2" s="104"/>
      <c r="AIV2" s="103"/>
      <c r="AIW2" s="104"/>
      <c r="AIX2" s="103"/>
      <c r="AIY2" s="104"/>
      <c r="AIZ2" s="103"/>
      <c r="AJA2" s="104"/>
      <c r="AJB2" s="103"/>
      <c r="AJC2" s="104"/>
      <c r="AJD2" s="103"/>
      <c r="AJE2" s="104"/>
      <c r="AJF2" s="103"/>
      <c r="AJG2" s="104"/>
      <c r="AJH2" s="103"/>
      <c r="AJI2" s="104"/>
      <c r="AJJ2" s="103"/>
      <c r="AJK2" s="104"/>
      <c r="AJL2" s="103"/>
      <c r="AJM2" s="104"/>
      <c r="AJN2" s="103"/>
      <c r="AJO2" s="104"/>
      <c r="AJP2" s="103"/>
      <c r="AJQ2" s="104"/>
      <c r="AJR2" s="103"/>
      <c r="AJS2" s="104"/>
      <c r="AJT2" s="103"/>
      <c r="AJU2" s="104"/>
      <c r="AJV2" s="103"/>
      <c r="AJW2" s="104"/>
      <c r="AJX2" s="103"/>
      <c r="AJY2" s="104"/>
      <c r="AJZ2" s="103"/>
      <c r="AKA2" s="104"/>
      <c r="AKB2" s="103"/>
      <c r="AKC2" s="104"/>
      <c r="AKD2" s="103"/>
      <c r="AKE2" s="104"/>
      <c r="AKF2" s="103"/>
      <c r="AKG2" s="104"/>
      <c r="AKH2" s="103"/>
      <c r="AKI2" s="104"/>
      <c r="AKJ2" s="103"/>
      <c r="AKK2" s="104"/>
      <c r="AKL2" s="103"/>
      <c r="AKM2" s="104"/>
      <c r="AKN2" s="103"/>
      <c r="AKO2" s="104"/>
      <c r="AKP2" s="103"/>
      <c r="AKQ2" s="104"/>
      <c r="AKR2" s="103"/>
      <c r="AKS2" s="104"/>
      <c r="AKT2" s="103"/>
      <c r="AKU2" s="104"/>
      <c r="AKV2" s="103"/>
      <c r="AKW2" s="104"/>
      <c r="AKX2" s="103"/>
      <c r="AKY2" s="104"/>
      <c r="AKZ2" s="103"/>
      <c r="ALA2" s="104"/>
      <c r="ALB2" s="103"/>
      <c r="ALC2" s="104"/>
      <c r="ALD2" s="103"/>
      <c r="ALE2" s="104"/>
      <c r="ALF2" s="103"/>
      <c r="ALG2" s="104"/>
      <c r="ALH2" s="103"/>
      <c r="ALI2" s="104"/>
      <c r="ALJ2" s="103"/>
      <c r="ALK2" s="104"/>
      <c r="ALL2" s="103"/>
      <c r="ALM2" s="104"/>
      <c r="ALN2" s="103"/>
      <c r="ALO2" s="104"/>
      <c r="ALP2" s="103"/>
      <c r="ALQ2" s="104"/>
      <c r="ALR2" s="103"/>
      <c r="ALS2" s="104"/>
      <c r="ALT2" s="103"/>
      <c r="ALU2" s="104"/>
      <c r="ALV2" s="103"/>
      <c r="ALW2" s="104"/>
      <c r="ALX2" s="103"/>
      <c r="ALY2" s="104"/>
      <c r="ALZ2" s="103"/>
      <c r="AMA2" s="104"/>
      <c r="AMB2" s="103"/>
      <c r="AMC2" s="104"/>
      <c r="AMD2" s="103"/>
      <c r="AME2" s="104"/>
      <c r="AMF2" s="103"/>
      <c r="AMG2" s="104"/>
      <c r="AMH2" s="103"/>
      <c r="AMI2" s="104"/>
      <c r="AMJ2" s="103"/>
      <c r="AMK2" s="104"/>
      <c r="AML2" s="103"/>
      <c r="AMM2" s="104"/>
      <c r="AMN2" s="103"/>
      <c r="AMO2" s="104"/>
      <c r="AMP2" s="103"/>
      <c r="AMQ2" s="104"/>
      <c r="AMR2" s="103"/>
      <c r="AMS2" s="104"/>
      <c r="AMT2" s="103"/>
      <c r="AMU2" s="104"/>
      <c r="AMV2" s="103"/>
      <c r="AMW2" s="104"/>
      <c r="AMX2" s="103"/>
      <c r="AMY2" s="104"/>
      <c r="AMZ2" s="103"/>
      <c r="ANA2" s="104"/>
      <c r="ANB2" s="103"/>
      <c r="ANC2" s="104"/>
      <c r="AND2" s="103"/>
      <c r="ANE2" s="104"/>
      <c r="ANF2" s="103"/>
      <c r="ANG2" s="104"/>
      <c r="ANH2" s="103"/>
      <c r="ANI2" s="104"/>
      <c r="ANJ2" s="103"/>
      <c r="ANK2" s="104"/>
      <c r="ANL2" s="103"/>
      <c r="ANM2" s="104"/>
      <c r="ANN2" s="103"/>
      <c r="ANO2" s="104"/>
      <c r="ANP2" s="103"/>
      <c r="ANQ2" s="104"/>
      <c r="ANR2" s="103"/>
      <c r="ANS2" s="104"/>
      <c r="ANT2" s="103"/>
      <c r="ANU2" s="104"/>
      <c r="ANV2" s="103"/>
      <c r="ANW2" s="104"/>
      <c r="ANX2" s="103"/>
      <c r="ANY2" s="104"/>
      <c r="ANZ2" s="103"/>
      <c r="AOA2" s="104"/>
      <c r="AOB2" s="103"/>
      <c r="AOC2" s="104"/>
      <c r="AOD2" s="103"/>
      <c r="AOE2" s="104"/>
      <c r="AOF2" s="103"/>
      <c r="AOG2" s="104"/>
      <c r="AOH2" s="103"/>
      <c r="AOI2" s="104"/>
      <c r="AOJ2" s="103"/>
      <c r="AOK2" s="104"/>
      <c r="AOL2" s="103"/>
      <c r="AOM2" s="104"/>
      <c r="AON2" s="103"/>
      <c r="AOO2" s="104"/>
      <c r="AOP2" s="103"/>
      <c r="AOQ2" s="104"/>
      <c r="AOR2" s="103"/>
      <c r="AOS2" s="104"/>
      <c r="AOT2" s="103"/>
      <c r="AOU2" s="104"/>
      <c r="AOV2" s="103"/>
      <c r="AOW2" s="104"/>
      <c r="AOX2" s="103"/>
      <c r="AOY2" s="104"/>
      <c r="AOZ2" s="103"/>
      <c r="APA2" s="104"/>
      <c r="APB2" s="103"/>
      <c r="APC2" s="104"/>
      <c r="APD2" s="103"/>
      <c r="APE2" s="104"/>
      <c r="APF2" s="103"/>
      <c r="APG2" s="104"/>
      <c r="APH2" s="103"/>
      <c r="API2" s="104"/>
      <c r="APJ2" s="103"/>
      <c r="APK2" s="104"/>
      <c r="APL2" s="103"/>
      <c r="APM2" s="104"/>
      <c r="APN2" s="103"/>
      <c r="APO2" s="104"/>
      <c r="APP2" s="103"/>
      <c r="APQ2" s="104"/>
      <c r="APR2" s="103"/>
      <c r="APS2" s="104"/>
      <c r="APT2" s="103"/>
      <c r="APU2" s="104"/>
      <c r="APV2" s="103"/>
      <c r="APW2" s="104"/>
      <c r="APX2" s="103"/>
      <c r="APY2" s="104"/>
      <c r="APZ2" s="103"/>
      <c r="AQA2" s="104"/>
      <c r="AQB2" s="103"/>
      <c r="AQC2" s="104"/>
      <c r="AQD2" s="103"/>
      <c r="AQE2" s="104"/>
      <c r="AQF2" s="103"/>
      <c r="AQG2" s="104"/>
      <c r="AQH2" s="103"/>
      <c r="AQI2" s="104"/>
      <c r="AQJ2" s="103"/>
      <c r="AQK2" s="104"/>
      <c r="AQL2" s="103"/>
      <c r="AQM2" s="104"/>
      <c r="AQN2" s="103"/>
      <c r="AQO2" s="104"/>
      <c r="AQP2" s="103"/>
      <c r="AQQ2" s="104"/>
      <c r="AQR2" s="103"/>
      <c r="AQS2" s="104"/>
      <c r="AQT2" s="103"/>
      <c r="AQU2" s="104"/>
      <c r="AQV2" s="103"/>
      <c r="AQW2" s="104"/>
      <c r="AQX2" s="103"/>
      <c r="AQY2" s="104"/>
      <c r="AQZ2" s="103"/>
      <c r="ARA2" s="104"/>
      <c r="ARB2" s="103"/>
      <c r="ARC2" s="104"/>
      <c r="ARD2" s="103"/>
      <c r="ARE2" s="104"/>
      <c r="ARF2" s="103"/>
      <c r="ARG2" s="104"/>
      <c r="ARH2" s="103"/>
      <c r="ARI2" s="104"/>
      <c r="ARJ2" s="103"/>
      <c r="ARK2" s="104"/>
      <c r="ARL2" s="103"/>
      <c r="ARM2" s="104"/>
      <c r="ARN2" s="103"/>
      <c r="ARO2" s="104"/>
      <c r="ARP2" s="103"/>
      <c r="ARQ2" s="104"/>
      <c r="ARR2" s="103"/>
      <c r="ARS2" s="104"/>
      <c r="ART2" s="103"/>
      <c r="ARU2" s="104"/>
      <c r="ARV2" s="103"/>
      <c r="ARW2" s="104"/>
      <c r="ARX2" s="103"/>
      <c r="ARY2" s="104"/>
      <c r="ARZ2" s="103"/>
      <c r="ASA2" s="104"/>
      <c r="ASB2" s="103"/>
      <c r="ASC2" s="104"/>
      <c r="ASD2" s="103"/>
      <c r="ASE2" s="104"/>
      <c r="ASF2" s="103"/>
      <c r="ASG2" s="104"/>
      <c r="ASH2" s="103"/>
      <c r="ASI2" s="104"/>
      <c r="ASJ2" s="103"/>
      <c r="ASK2" s="104"/>
      <c r="ASL2" s="103"/>
      <c r="ASM2" s="104"/>
      <c r="ASN2" s="103"/>
      <c r="ASO2" s="104"/>
      <c r="ASP2" s="103"/>
      <c r="ASQ2" s="104"/>
      <c r="ASR2" s="103"/>
      <c r="ASS2" s="104"/>
      <c r="AST2" s="103"/>
      <c r="ASU2" s="104"/>
      <c r="ASV2" s="103"/>
      <c r="ASW2" s="104"/>
      <c r="ASX2" s="103"/>
      <c r="ASY2" s="104"/>
      <c r="ASZ2" s="103"/>
      <c r="ATA2" s="104"/>
      <c r="ATB2" s="103"/>
      <c r="ATC2" s="104"/>
      <c r="ATD2" s="103"/>
      <c r="ATE2" s="104"/>
      <c r="ATF2" s="103"/>
      <c r="ATG2" s="104"/>
      <c r="ATH2" s="103"/>
      <c r="ATI2" s="104"/>
      <c r="ATJ2" s="103"/>
      <c r="ATK2" s="104"/>
      <c r="ATL2" s="103"/>
      <c r="ATM2" s="104"/>
      <c r="ATN2" s="103"/>
      <c r="ATO2" s="104"/>
      <c r="ATP2" s="103"/>
      <c r="ATQ2" s="104"/>
      <c r="ATR2" s="103"/>
      <c r="ATS2" s="104"/>
      <c r="ATT2" s="103"/>
      <c r="ATU2" s="104"/>
      <c r="ATV2" s="103"/>
      <c r="ATW2" s="104"/>
      <c r="ATX2" s="103"/>
      <c r="ATY2" s="104"/>
      <c r="ATZ2" s="103"/>
      <c r="AUA2" s="104"/>
      <c r="AUB2" s="103"/>
      <c r="AUC2" s="104"/>
      <c r="AUD2" s="103"/>
      <c r="AUE2" s="104"/>
      <c r="AUF2" s="103"/>
      <c r="AUG2" s="104"/>
      <c r="AUH2" s="103"/>
      <c r="AUI2" s="104"/>
      <c r="AUJ2" s="103"/>
      <c r="AUK2" s="104"/>
      <c r="AUL2" s="103"/>
      <c r="AUM2" s="104"/>
      <c r="AUN2" s="103"/>
      <c r="AUO2" s="104"/>
      <c r="AUP2" s="103"/>
      <c r="AUQ2" s="104"/>
      <c r="AUR2" s="103"/>
      <c r="AUS2" s="104"/>
      <c r="AUT2" s="103"/>
      <c r="AUU2" s="104"/>
      <c r="AUV2" s="103"/>
      <c r="AUW2" s="104"/>
      <c r="AUX2" s="103"/>
      <c r="AUY2" s="104"/>
      <c r="AUZ2" s="103"/>
      <c r="AVA2" s="104"/>
      <c r="AVB2" s="103"/>
      <c r="AVC2" s="104"/>
      <c r="AVD2" s="103"/>
      <c r="AVE2" s="104"/>
      <c r="AVF2" s="103"/>
      <c r="AVG2" s="104"/>
      <c r="AVH2" s="103"/>
      <c r="AVI2" s="104"/>
      <c r="AVJ2" s="103"/>
      <c r="AVK2" s="104"/>
      <c r="AVL2" s="103"/>
      <c r="AVM2" s="104"/>
      <c r="AVN2" s="103"/>
      <c r="AVO2" s="104"/>
      <c r="AVP2" s="103"/>
      <c r="AVQ2" s="104"/>
      <c r="AVR2" s="103"/>
      <c r="AVS2" s="104"/>
      <c r="AVT2" s="103"/>
      <c r="AVU2" s="104"/>
      <c r="AVV2" s="103"/>
      <c r="AVW2" s="104"/>
      <c r="AVX2" s="103"/>
      <c r="AVY2" s="104"/>
      <c r="AVZ2" s="103"/>
      <c r="AWA2" s="104"/>
      <c r="AWB2" s="103"/>
      <c r="AWC2" s="104"/>
      <c r="AWD2" s="103"/>
      <c r="AWE2" s="104"/>
      <c r="AWF2" s="103"/>
      <c r="AWG2" s="104"/>
      <c r="AWH2" s="103"/>
      <c r="AWI2" s="104"/>
      <c r="AWJ2" s="103"/>
      <c r="AWK2" s="104"/>
      <c r="AWL2" s="103"/>
      <c r="AWM2" s="104"/>
      <c r="AWN2" s="103"/>
      <c r="AWO2" s="104"/>
      <c r="AWP2" s="103"/>
      <c r="AWQ2" s="104"/>
      <c r="AWR2" s="103"/>
      <c r="AWS2" s="104"/>
      <c r="AWT2" s="103"/>
      <c r="AWU2" s="104"/>
      <c r="AWV2" s="103"/>
      <c r="AWW2" s="104"/>
      <c r="AWX2" s="103"/>
      <c r="AWY2" s="104"/>
      <c r="AWZ2" s="103"/>
      <c r="AXA2" s="104"/>
      <c r="AXB2" s="103"/>
      <c r="AXC2" s="104"/>
      <c r="AXD2" s="103"/>
      <c r="AXE2" s="104"/>
      <c r="AXF2" s="103"/>
      <c r="AXG2" s="104"/>
      <c r="AXH2" s="103"/>
      <c r="AXI2" s="104"/>
      <c r="AXJ2" s="103"/>
      <c r="AXK2" s="104"/>
      <c r="AXL2" s="103"/>
      <c r="AXM2" s="104"/>
      <c r="AXN2" s="103"/>
      <c r="AXO2" s="104"/>
      <c r="AXP2" s="103"/>
      <c r="AXQ2" s="104"/>
      <c r="AXR2" s="103"/>
      <c r="AXS2" s="104"/>
      <c r="AXT2" s="103"/>
      <c r="AXU2" s="104"/>
      <c r="AXV2" s="103"/>
      <c r="AXW2" s="104"/>
      <c r="AXX2" s="103"/>
      <c r="AXY2" s="104"/>
      <c r="AXZ2" s="103"/>
      <c r="AYA2" s="104"/>
      <c r="AYB2" s="103"/>
      <c r="AYC2" s="104"/>
      <c r="AYD2" s="103"/>
      <c r="AYE2" s="104"/>
      <c r="AYF2" s="103"/>
      <c r="AYG2" s="104"/>
      <c r="AYH2" s="103"/>
      <c r="AYI2" s="104"/>
      <c r="AYJ2" s="103"/>
      <c r="AYK2" s="104"/>
      <c r="AYL2" s="103"/>
      <c r="AYM2" s="104"/>
      <c r="AYN2" s="103"/>
      <c r="AYO2" s="104"/>
      <c r="AYP2" s="103"/>
      <c r="AYQ2" s="104"/>
      <c r="AYR2" s="103"/>
      <c r="AYS2" s="104"/>
      <c r="AYT2" s="103"/>
      <c r="AYU2" s="104"/>
      <c r="AYV2" s="103"/>
      <c r="AYW2" s="104"/>
      <c r="AYX2" s="103"/>
      <c r="AYY2" s="104"/>
      <c r="AYZ2" s="103"/>
      <c r="AZA2" s="104"/>
      <c r="AZB2" s="103"/>
      <c r="AZC2" s="104"/>
      <c r="AZD2" s="103"/>
      <c r="AZE2" s="104"/>
      <c r="AZF2" s="103"/>
      <c r="AZG2" s="104"/>
      <c r="AZH2" s="103"/>
      <c r="AZI2" s="104"/>
      <c r="AZJ2" s="103"/>
      <c r="AZK2" s="104"/>
      <c r="AZL2" s="103"/>
      <c r="AZM2" s="104"/>
      <c r="AZN2" s="103"/>
      <c r="AZO2" s="104"/>
      <c r="AZP2" s="103"/>
      <c r="AZQ2" s="104"/>
      <c r="AZR2" s="103"/>
      <c r="AZS2" s="104"/>
      <c r="AZT2" s="103"/>
      <c r="AZU2" s="104"/>
      <c r="AZV2" s="103"/>
      <c r="AZW2" s="104"/>
      <c r="AZX2" s="103"/>
      <c r="AZY2" s="104"/>
      <c r="AZZ2" s="103"/>
      <c r="BAA2" s="104"/>
      <c r="BAB2" s="103"/>
      <c r="BAC2" s="104"/>
      <c r="BAD2" s="103"/>
      <c r="BAE2" s="104"/>
      <c r="BAF2" s="103"/>
      <c r="BAG2" s="104"/>
      <c r="BAH2" s="103"/>
      <c r="BAI2" s="104"/>
      <c r="BAJ2" s="103"/>
      <c r="BAK2" s="104"/>
      <c r="BAL2" s="103"/>
      <c r="BAM2" s="104"/>
      <c r="BAN2" s="103"/>
      <c r="BAO2" s="104"/>
      <c r="BAP2" s="103"/>
      <c r="BAQ2" s="104"/>
      <c r="BAR2" s="103"/>
      <c r="BAS2" s="104"/>
      <c r="BAT2" s="103"/>
      <c r="BAU2" s="104"/>
      <c r="BAV2" s="103"/>
      <c r="BAW2" s="104"/>
      <c r="BAX2" s="103"/>
      <c r="BAY2" s="104"/>
      <c r="BAZ2" s="103"/>
      <c r="BBA2" s="104"/>
      <c r="BBB2" s="103"/>
      <c r="BBC2" s="104"/>
      <c r="BBD2" s="103"/>
      <c r="BBE2" s="104"/>
      <c r="BBF2" s="103"/>
      <c r="BBG2" s="104"/>
      <c r="BBH2" s="103"/>
      <c r="BBI2" s="104"/>
      <c r="BBJ2" s="103"/>
      <c r="BBK2" s="104"/>
      <c r="BBL2" s="103"/>
      <c r="BBM2" s="104"/>
      <c r="BBN2" s="103"/>
      <c r="BBO2" s="104"/>
      <c r="BBP2" s="103"/>
      <c r="BBQ2" s="104"/>
      <c r="BBR2" s="103"/>
      <c r="BBS2" s="104"/>
      <c r="BBT2" s="103"/>
      <c r="BBU2" s="104"/>
      <c r="BBV2" s="103"/>
      <c r="BBW2" s="104"/>
      <c r="BBX2" s="103"/>
      <c r="BBY2" s="104"/>
      <c r="BBZ2" s="103"/>
      <c r="BCA2" s="104"/>
      <c r="BCB2" s="103"/>
      <c r="BCC2" s="104"/>
      <c r="BCD2" s="103"/>
      <c r="BCE2" s="104"/>
      <c r="BCF2" s="103"/>
      <c r="BCG2" s="104"/>
      <c r="BCH2" s="103"/>
      <c r="BCI2" s="104"/>
      <c r="BCJ2" s="103"/>
      <c r="BCK2" s="104"/>
      <c r="BCL2" s="103"/>
      <c r="BCM2" s="104"/>
      <c r="BCN2" s="103"/>
      <c r="BCO2" s="104"/>
      <c r="BCP2" s="103"/>
      <c r="BCQ2" s="104"/>
      <c r="BCR2" s="103"/>
      <c r="BCS2" s="104"/>
      <c r="BCT2" s="103"/>
      <c r="BCU2" s="104"/>
      <c r="BCV2" s="103"/>
      <c r="BCW2" s="104"/>
      <c r="BCX2" s="103"/>
      <c r="BCY2" s="104"/>
      <c r="BCZ2" s="103"/>
      <c r="BDA2" s="104"/>
      <c r="BDB2" s="103"/>
      <c r="BDC2" s="104"/>
      <c r="BDD2" s="103"/>
      <c r="BDE2" s="104"/>
      <c r="BDF2" s="103"/>
      <c r="BDG2" s="104"/>
      <c r="BDH2" s="103"/>
      <c r="BDI2" s="104"/>
      <c r="BDJ2" s="103"/>
      <c r="BDK2" s="104"/>
      <c r="BDL2" s="103"/>
      <c r="BDM2" s="104"/>
      <c r="BDN2" s="103"/>
      <c r="BDO2" s="104"/>
      <c r="BDP2" s="103"/>
      <c r="BDQ2" s="104"/>
      <c r="BDR2" s="103"/>
      <c r="BDS2" s="104"/>
      <c r="BDT2" s="103"/>
      <c r="BDU2" s="104"/>
      <c r="BDV2" s="103"/>
      <c r="BDW2" s="104"/>
      <c r="BDX2" s="103"/>
      <c r="BDY2" s="104"/>
      <c r="BDZ2" s="103"/>
      <c r="BEA2" s="104"/>
      <c r="BEB2" s="103"/>
      <c r="BEC2" s="104"/>
      <c r="BED2" s="103"/>
      <c r="BEE2" s="104"/>
      <c r="BEF2" s="103"/>
      <c r="BEG2" s="104"/>
      <c r="BEH2" s="103"/>
      <c r="BEI2" s="104"/>
      <c r="BEJ2" s="103"/>
      <c r="BEK2" s="104"/>
      <c r="BEL2" s="103"/>
      <c r="BEM2" s="104"/>
      <c r="BEN2" s="103"/>
      <c r="BEO2" s="104"/>
      <c r="BEP2" s="103"/>
      <c r="BEQ2" s="104"/>
      <c r="BER2" s="103"/>
      <c r="BES2" s="104"/>
      <c r="BET2" s="103"/>
      <c r="BEU2" s="104"/>
      <c r="BEV2" s="103"/>
      <c r="BEW2" s="104"/>
      <c r="BEX2" s="103"/>
      <c r="BEY2" s="104"/>
      <c r="BEZ2" s="103"/>
      <c r="BFA2" s="104"/>
      <c r="BFB2" s="103"/>
      <c r="BFC2" s="104"/>
      <c r="BFD2" s="103"/>
      <c r="BFE2" s="104"/>
      <c r="BFF2" s="103"/>
      <c r="BFG2" s="104"/>
      <c r="BFH2" s="103"/>
      <c r="BFI2" s="104"/>
      <c r="BFJ2" s="103"/>
      <c r="BFK2" s="104"/>
      <c r="BFL2" s="103"/>
      <c r="BFM2" s="104"/>
      <c r="BFN2" s="103"/>
      <c r="BFO2" s="104"/>
      <c r="BFP2" s="103"/>
      <c r="BFQ2" s="104"/>
      <c r="BFR2" s="103"/>
      <c r="BFS2" s="104"/>
      <c r="BFT2" s="103"/>
      <c r="BFU2" s="104"/>
      <c r="BFV2" s="103"/>
      <c r="BFW2" s="104"/>
      <c r="BFX2" s="103"/>
      <c r="BFY2" s="104"/>
      <c r="BFZ2" s="103"/>
      <c r="BGA2" s="104"/>
      <c r="BGB2" s="103"/>
      <c r="BGC2" s="104"/>
      <c r="BGD2" s="103"/>
      <c r="BGE2" s="104"/>
      <c r="BGF2" s="103"/>
      <c r="BGG2" s="104"/>
      <c r="BGH2" s="103"/>
      <c r="BGI2" s="104"/>
      <c r="BGJ2" s="103"/>
      <c r="BGK2" s="104"/>
      <c r="BGL2" s="103"/>
      <c r="BGM2" s="104"/>
      <c r="BGN2" s="103"/>
      <c r="BGO2" s="104"/>
      <c r="BGP2" s="103"/>
      <c r="BGQ2" s="104"/>
      <c r="BGR2" s="103"/>
      <c r="BGS2" s="104"/>
      <c r="BGT2" s="103"/>
      <c r="BGU2" s="104"/>
      <c r="BGV2" s="103"/>
      <c r="BGW2" s="104"/>
      <c r="BGX2" s="103"/>
      <c r="BGY2" s="104"/>
      <c r="BGZ2" s="103"/>
      <c r="BHA2" s="104"/>
      <c r="BHB2" s="103"/>
      <c r="BHC2" s="104"/>
      <c r="BHD2" s="103"/>
      <c r="BHE2" s="104"/>
      <c r="BHF2" s="103"/>
      <c r="BHG2" s="104"/>
      <c r="BHH2" s="103"/>
      <c r="BHI2" s="104"/>
      <c r="BHJ2" s="103"/>
      <c r="BHK2" s="104"/>
      <c r="BHL2" s="103"/>
      <c r="BHM2" s="104"/>
      <c r="BHN2" s="103"/>
      <c r="BHO2" s="104"/>
      <c r="BHP2" s="103"/>
      <c r="BHQ2" s="104"/>
      <c r="BHR2" s="103"/>
      <c r="BHS2" s="104"/>
      <c r="BHT2" s="103"/>
      <c r="BHU2" s="104"/>
      <c r="BHV2" s="103"/>
      <c r="BHW2" s="104"/>
      <c r="BHX2" s="103"/>
      <c r="BHY2" s="104"/>
      <c r="BHZ2" s="103"/>
      <c r="BIA2" s="104"/>
      <c r="BIB2" s="103"/>
      <c r="BIC2" s="104"/>
      <c r="BID2" s="103"/>
      <c r="BIE2" s="104"/>
      <c r="BIF2" s="103"/>
      <c r="BIG2" s="104"/>
      <c r="BIH2" s="103"/>
      <c r="BII2" s="104"/>
      <c r="BIJ2" s="103"/>
      <c r="BIK2" s="104"/>
      <c r="BIL2" s="103"/>
      <c r="BIM2" s="104"/>
      <c r="BIN2" s="103"/>
      <c r="BIO2" s="104"/>
      <c r="BIP2" s="103"/>
      <c r="BIQ2" s="104"/>
      <c r="BIR2" s="103"/>
      <c r="BIS2" s="104"/>
      <c r="BIT2" s="103"/>
      <c r="BIU2" s="104"/>
      <c r="BIV2" s="103"/>
      <c r="BIW2" s="104"/>
      <c r="BIX2" s="103"/>
      <c r="BIY2" s="104"/>
      <c r="BIZ2" s="103"/>
      <c r="BJA2" s="104"/>
      <c r="BJB2" s="103"/>
      <c r="BJC2" s="104"/>
      <c r="BJD2" s="103"/>
      <c r="BJE2" s="104"/>
      <c r="BJF2" s="103"/>
      <c r="BJG2" s="104"/>
      <c r="BJH2" s="103"/>
      <c r="BJI2" s="104"/>
      <c r="BJJ2" s="103"/>
      <c r="BJK2" s="104"/>
      <c r="BJL2" s="103"/>
      <c r="BJM2" s="104"/>
      <c r="BJN2" s="103"/>
      <c r="BJO2" s="104"/>
      <c r="BJP2" s="103"/>
      <c r="BJQ2" s="104"/>
      <c r="BJR2" s="103"/>
      <c r="BJS2" s="104"/>
      <c r="BJT2" s="103"/>
      <c r="BJU2" s="104"/>
      <c r="BJV2" s="103"/>
      <c r="BJW2" s="104"/>
      <c r="BJX2" s="103"/>
      <c r="BJY2" s="104"/>
      <c r="BJZ2" s="103"/>
      <c r="BKA2" s="104"/>
      <c r="BKB2" s="103"/>
      <c r="BKC2" s="104"/>
      <c r="BKD2" s="103"/>
      <c r="BKE2" s="104"/>
      <c r="BKF2" s="103"/>
      <c r="BKG2" s="104"/>
      <c r="BKH2" s="103"/>
      <c r="BKI2" s="104"/>
      <c r="BKJ2" s="103"/>
      <c r="BKK2" s="104"/>
      <c r="BKL2" s="103"/>
      <c r="BKM2" s="104"/>
      <c r="BKN2" s="103"/>
      <c r="BKO2" s="104"/>
      <c r="BKP2" s="103"/>
      <c r="BKQ2" s="104"/>
      <c r="BKR2" s="103"/>
      <c r="BKS2" s="104"/>
      <c r="BKT2" s="103"/>
      <c r="BKU2" s="104"/>
      <c r="BKV2" s="103"/>
      <c r="BKW2" s="104"/>
      <c r="BKX2" s="103"/>
      <c r="BKY2" s="104"/>
      <c r="BKZ2" s="103"/>
      <c r="BLA2" s="104"/>
      <c r="BLB2" s="103"/>
      <c r="BLC2" s="104"/>
      <c r="BLD2" s="103"/>
      <c r="BLE2" s="104"/>
      <c r="BLF2" s="103"/>
      <c r="BLG2" s="104"/>
      <c r="BLH2" s="103"/>
      <c r="BLI2" s="104"/>
      <c r="BLJ2" s="103"/>
      <c r="BLK2" s="104"/>
      <c r="BLL2" s="103"/>
      <c r="BLM2" s="104"/>
      <c r="BLN2" s="103"/>
      <c r="BLO2" s="104"/>
      <c r="BLP2" s="103"/>
      <c r="BLQ2" s="104"/>
      <c r="BLR2" s="103"/>
      <c r="BLS2" s="104"/>
      <c r="BLT2" s="103"/>
      <c r="BLU2" s="104"/>
      <c r="BLV2" s="103"/>
      <c r="BLW2" s="104"/>
      <c r="BLX2" s="103"/>
      <c r="BLY2" s="104"/>
      <c r="BLZ2" s="103"/>
      <c r="BMA2" s="104"/>
      <c r="BMB2" s="103"/>
      <c r="BMC2" s="104"/>
      <c r="BMD2" s="103"/>
      <c r="BME2" s="104"/>
      <c r="BMF2" s="103"/>
      <c r="BMG2" s="104"/>
      <c r="BMH2" s="103"/>
      <c r="BMI2" s="104"/>
      <c r="BMJ2" s="103"/>
      <c r="BMK2" s="104"/>
      <c r="BML2" s="103"/>
      <c r="BMM2" s="104"/>
      <c r="BMN2" s="103"/>
      <c r="BMO2" s="104"/>
      <c r="BMP2" s="103"/>
      <c r="BMQ2" s="104"/>
      <c r="BMR2" s="103"/>
      <c r="BMS2" s="104"/>
      <c r="BMT2" s="103"/>
      <c r="BMU2" s="104"/>
      <c r="BMV2" s="103"/>
      <c r="BMW2" s="104"/>
      <c r="BMX2" s="103"/>
      <c r="BMY2" s="104"/>
      <c r="BMZ2" s="103"/>
      <c r="BNA2" s="104"/>
      <c r="BNB2" s="103"/>
      <c r="BNC2" s="104"/>
      <c r="BND2" s="103"/>
      <c r="BNE2" s="104"/>
      <c r="BNF2" s="103"/>
      <c r="BNG2" s="104"/>
      <c r="BNH2" s="103"/>
      <c r="BNI2" s="104"/>
      <c r="BNJ2" s="103"/>
      <c r="BNK2" s="104"/>
      <c r="BNL2" s="103"/>
      <c r="BNM2" s="104"/>
      <c r="BNN2" s="103"/>
      <c r="BNO2" s="104"/>
      <c r="BNP2" s="103"/>
      <c r="BNQ2" s="104"/>
      <c r="BNR2" s="103"/>
      <c r="BNS2" s="104"/>
      <c r="BNT2" s="103"/>
      <c r="BNU2" s="104"/>
      <c r="BNV2" s="103"/>
      <c r="BNW2" s="104"/>
      <c r="BNX2" s="103"/>
      <c r="BNY2" s="104"/>
      <c r="BNZ2" s="103"/>
      <c r="BOA2" s="104"/>
      <c r="BOB2" s="103"/>
      <c r="BOC2" s="104"/>
      <c r="BOD2" s="103"/>
      <c r="BOE2" s="104"/>
      <c r="BOF2" s="103"/>
      <c r="BOG2" s="104"/>
      <c r="BOH2" s="103"/>
      <c r="BOI2" s="104"/>
      <c r="BOJ2" s="103"/>
      <c r="BOK2" s="104"/>
      <c r="BOL2" s="103"/>
      <c r="BOM2" s="104"/>
      <c r="BON2" s="103"/>
      <c r="BOO2" s="104"/>
      <c r="BOP2" s="103"/>
      <c r="BOQ2" s="104"/>
      <c r="BOR2" s="103"/>
      <c r="BOS2" s="104"/>
      <c r="BOT2" s="103"/>
      <c r="BOU2" s="104"/>
      <c r="BOV2" s="103"/>
      <c r="BOW2" s="104"/>
      <c r="BOX2" s="103"/>
      <c r="BOY2" s="104"/>
      <c r="BOZ2" s="103"/>
      <c r="BPA2" s="104"/>
      <c r="BPB2" s="103"/>
      <c r="BPC2" s="104"/>
      <c r="BPD2" s="103"/>
      <c r="BPE2" s="104"/>
      <c r="BPF2" s="103"/>
      <c r="BPG2" s="104"/>
      <c r="BPH2" s="103"/>
      <c r="BPI2" s="104"/>
      <c r="BPJ2" s="103"/>
      <c r="BPK2" s="104"/>
      <c r="BPL2" s="103"/>
      <c r="BPM2" s="104"/>
      <c r="BPN2" s="103"/>
      <c r="BPO2" s="104"/>
      <c r="BPP2" s="103"/>
      <c r="BPQ2" s="104"/>
      <c r="BPR2" s="103"/>
      <c r="BPS2" s="104"/>
      <c r="BPT2" s="103"/>
      <c r="BPU2" s="104"/>
      <c r="BPV2" s="103"/>
      <c r="BPW2" s="104"/>
      <c r="BPX2" s="103"/>
      <c r="BPY2" s="104"/>
      <c r="BPZ2" s="103"/>
      <c r="BQA2" s="104"/>
      <c r="BQB2" s="103"/>
      <c r="BQC2" s="104"/>
      <c r="BQD2" s="103"/>
      <c r="BQE2" s="104"/>
      <c r="BQF2" s="103"/>
      <c r="BQG2" s="104"/>
      <c r="BQH2" s="103"/>
      <c r="BQI2" s="104"/>
      <c r="BQJ2" s="103"/>
      <c r="BQK2" s="104"/>
      <c r="BQL2" s="103"/>
      <c r="BQM2" s="104"/>
      <c r="BQN2" s="103"/>
      <c r="BQO2" s="104"/>
      <c r="BQP2" s="103"/>
      <c r="BQQ2" s="104"/>
      <c r="BQR2" s="103"/>
      <c r="BQS2" s="104"/>
      <c r="BQT2" s="103"/>
      <c r="BQU2" s="104"/>
      <c r="BQV2" s="103"/>
      <c r="BQW2" s="104"/>
      <c r="BQX2" s="103"/>
      <c r="BQY2" s="104"/>
      <c r="BQZ2" s="103"/>
      <c r="BRA2" s="104"/>
      <c r="BRB2" s="103"/>
      <c r="BRC2" s="104"/>
      <c r="BRD2" s="103"/>
      <c r="BRE2" s="104"/>
      <c r="BRF2" s="103"/>
      <c r="BRG2" s="104"/>
      <c r="BRH2" s="103"/>
      <c r="BRI2" s="104"/>
      <c r="BRJ2" s="103"/>
      <c r="BRK2" s="104"/>
      <c r="BRL2" s="103"/>
      <c r="BRM2" s="104"/>
      <c r="BRN2" s="103"/>
      <c r="BRO2" s="104"/>
      <c r="BRP2" s="103"/>
      <c r="BRQ2" s="104"/>
      <c r="BRR2" s="103"/>
      <c r="BRS2" s="104"/>
      <c r="BRT2" s="103"/>
      <c r="BRU2" s="104"/>
      <c r="BRV2" s="103"/>
      <c r="BRW2" s="104"/>
      <c r="BRX2" s="103"/>
      <c r="BRY2" s="104"/>
      <c r="BRZ2" s="103"/>
      <c r="BSA2" s="104"/>
      <c r="BSB2" s="103"/>
      <c r="BSC2" s="104"/>
      <c r="BSD2" s="103"/>
      <c r="BSE2" s="104"/>
      <c r="BSF2" s="103"/>
      <c r="BSG2" s="104"/>
      <c r="BSH2" s="103"/>
      <c r="BSI2" s="104"/>
      <c r="BSJ2" s="103"/>
      <c r="BSK2" s="104"/>
      <c r="BSL2" s="103"/>
      <c r="BSM2" s="104"/>
      <c r="BSN2" s="103"/>
      <c r="BSO2" s="104"/>
      <c r="BSP2" s="103"/>
      <c r="BSQ2" s="104"/>
      <c r="BSR2" s="103"/>
      <c r="BSS2" s="104"/>
      <c r="BST2" s="103"/>
      <c r="BSU2" s="104"/>
      <c r="BSV2" s="103"/>
      <c r="BSW2" s="104"/>
      <c r="BSX2" s="103"/>
      <c r="BSY2" s="104"/>
      <c r="BSZ2" s="103"/>
      <c r="BTA2" s="104"/>
      <c r="BTB2" s="103"/>
      <c r="BTC2" s="104"/>
      <c r="BTD2" s="103"/>
      <c r="BTE2" s="104"/>
      <c r="BTF2" s="103"/>
      <c r="BTG2" s="104"/>
      <c r="BTH2" s="103"/>
      <c r="BTI2" s="104"/>
      <c r="BTJ2" s="103"/>
      <c r="BTK2" s="104"/>
      <c r="BTL2" s="103"/>
      <c r="BTM2" s="104"/>
      <c r="BTN2" s="103"/>
      <c r="BTO2" s="104"/>
      <c r="BTP2" s="103"/>
      <c r="BTQ2" s="104"/>
      <c r="BTR2" s="103"/>
      <c r="BTS2" s="104"/>
      <c r="BTT2" s="103"/>
      <c r="BTU2" s="104"/>
      <c r="BTV2" s="103"/>
      <c r="BTW2" s="104"/>
      <c r="BTX2" s="103"/>
      <c r="BTY2" s="104"/>
      <c r="BTZ2" s="103"/>
      <c r="BUA2" s="104"/>
      <c r="BUB2" s="103"/>
      <c r="BUC2" s="104"/>
      <c r="BUD2" s="103"/>
      <c r="BUE2" s="104"/>
      <c r="BUF2" s="103"/>
      <c r="BUG2" s="104"/>
      <c r="BUH2" s="103"/>
      <c r="BUI2" s="104"/>
      <c r="BUJ2" s="103"/>
      <c r="BUK2" s="104"/>
      <c r="BUL2" s="103"/>
      <c r="BUM2" s="104"/>
      <c r="BUN2" s="103"/>
      <c r="BUO2" s="104"/>
      <c r="BUP2" s="103"/>
      <c r="BUQ2" s="104"/>
      <c r="BUR2" s="103"/>
      <c r="BUS2" s="104"/>
      <c r="BUT2" s="103"/>
      <c r="BUU2" s="104"/>
      <c r="BUV2" s="103"/>
      <c r="BUW2" s="104"/>
      <c r="BUX2" s="103"/>
      <c r="BUY2" s="104"/>
      <c r="BUZ2" s="103"/>
      <c r="BVA2" s="104"/>
      <c r="BVB2" s="103"/>
      <c r="BVC2" s="104"/>
      <c r="BVD2" s="103"/>
      <c r="BVE2" s="104"/>
      <c r="BVF2" s="103"/>
      <c r="BVG2" s="104"/>
      <c r="BVH2" s="103"/>
      <c r="BVI2" s="104"/>
      <c r="BVJ2" s="103"/>
      <c r="BVK2" s="104"/>
      <c r="BVL2" s="103"/>
      <c r="BVM2" s="104"/>
      <c r="BVN2" s="103"/>
      <c r="BVO2" s="104"/>
      <c r="BVP2" s="103"/>
      <c r="BVQ2" s="104"/>
      <c r="BVR2" s="103"/>
      <c r="BVS2" s="104"/>
      <c r="BVT2" s="103"/>
      <c r="BVU2" s="104"/>
      <c r="BVV2" s="103"/>
      <c r="BVW2" s="104"/>
      <c r="BVX2" s="103"/>
      <c r="BVY2" s="104"/>
      <c r="BVZ2" s="103"/>
      <c r="BWA2" s="104"/>
      <c r="BWB2" s="103"/>
      <c r="BWC2" s="104"/>
      <c r="BWD2" s="103"/>
      <c r="BWE2" s="104"/>
      <c r="BWF2" s="103"/>
      <c r="BWG2" s="104"/>
      <c r="BWH2" s="103"/>
      <c r="BWI2" s="104"/>
      <c r="BWJ2" s="103"/>
      <c r="BWK2" s="104"/>
      <c r="BWL2" s="103"/>
      <c r="BWM2" s="104"/>
      <c r="BWN2" s="103"/>
      <c r="BWO2" s="104"/>
      <c r="BWP2" s="103"/>
      <c r="BWQ2" s="104"/>
      <c r="BWR2" s="103"/>
      <c r="BWS2" s="104"/>
      <c r="BWT2" s="103"/>
      <c r="BWU2" s="104"/>
      <c r="BWV2" s="103"/>
      <c r="BWW2" s="104"/>
      <c r="BWX2" s="103"/>
      <c r="BWY2" s="104"/>
      <c r="BWZ2" s="103"/>
      <c r="BXA2" s="104"/>
      <c r="BXB2" s="103"/>
      <c r="BXC2" s="104"/>
      <c r="BXD2" s="103"/>
      <c r="BXE2" s="104"/>
      <c r="BXF2" s="103"/>
      <c r="BXG2" s="104"/>
      <c r="BXH2" s="103"/>
      <c r="BXI2" s="104"/>
      <c r="BXJ2" s="103"/>
      <c r="BXK2" s="104"/>
      <c r="BXL2" s="103"/>
      <c r="BXM2" s="104"/>
      <c r="BXN2" s="103"/>
      <c r="BXO2" s="104"/>
      <c r="BXP2" s="103"/>
      <c r="BXQ2" s="104"/>
      <c r="BXR2" s="103"/>
      <c r="BXS2" s="104"/>
      <c r="BXT2" s="103"/>
      <c r="BXU2" s="104"/>
      <c r="BXV2" s="103"/>
      <c r="BXW2" s="104"/>
      <c r="BXX2" s="103"/>
      <c r="BXY2" s="104"/>
      <c r="BXZ2" s="103"/>
      <c r="BYA2" s="104"/>
      <c r="BYB2" s="103"/>
      <c r="BYC2" s="104"/>
      <c r="BYD2" s="103"/>
      <c r="BYE2" s="104"/>
      <c r="BYF2" s="103"/>
      <c r="BYG2" s="104"/>
      <c r="BYH2" s="103"/>
      <c r="BYI2" s="104"/>
      <c r="BYJ2" s="103"/>
      <c r="BYK2" s="104"/>
      <c r="BYL2" s="103"/>
      <c r="BYM2" s="104"/>
      <c r="BYN2" s="103"/>
      <c r="BYO2" s="104"/>
      <c r="BYP2" s="103"/>
      <c r="BYQ2" s="104"/>
      <c r="BYR2" s="103"/>
      <c r="BYS2" s="104"/>
      <c r="BYT2" s="103"/>
      <c r="BYU2" s="104"/>
      <c r="BYV2" s="103"/>
      <c r="BYW2" s="104"/>
      <c r="BYX2" s="103"/>
      <c r="BYY2" s="104"/>
      <c r="BYZ2" s="103"/>
      <c r="BZA2" s="104"/>
      <c r="BZB2" s="103"/>
      <c r="BZC2" s="104"/>
      <c r="BZD2" s="103"/>
      <c r="BZE2" s="104"/>
      <c r="BZF2" s="103"/>
      <c r="BZG2" s="104"/>
      <c r="BZH2" s="103"/>
      <c r="BZI2" s="104"/>
      <c r="BZJ2" s="103"/>
      <c r="BZK2" s="104"/>
      <c r="BZL2" s="103"/>
      <c r="BZM2" s="104"/>
      <c r="BZN2" s="103"/>
      <c r="BZO2" s="104"/>
      <c r="BZP2" s="103"/>
      <c r="BZQ2" s="104"/>
      <c r="BZR2" s="103"/>
      <c r="BZS2" s="104"/>
      <c r="BZT2" s="103"/>
      <c r="BZU2" s="104"/>
      <c r="BZV2" s="103"/>
      <c r="BZW2" s="104"/>
      <c r="BZX2" s="103"/>
      <c r="BZY2" s="104"/>
      <c r="BZZ2" s="103"/>
      <c r="CAA2" s="104"/>
      <c r="CAB2" s="103"/>
      <c r="CAC2" s="104"/>
      <c r="CAD2" s="103"/>
      <c r="CAE2" s="104"/>
      <c r="CAF2" s="103"/>
      <c r="CAG2" s="104"/>
      <c r="CAH2" s="103"/>
      <c r="CAI2" s="104"/>
      <c r="CAJ2" s="103"/>
      <c r="CAK2" s="104"/>
      <c r="CAL2" s="103"/>
      <c r="CAM2" s="104"/>
      <c r="CAN2" s="103"/>
      <c r="CAO2" s="104"/>
      <c r="CAP2" s="103"/>
      <c r="CAQ2" s="104"/>
      <c r="CAR2" s="103"/>
      <c r="CAS2" s="104"/>
      <c r="CAT2" s="103"/>
      <c r="CAU2" s="104"/>
      <c r="CAV2" s="103"/>
      <c r="CAW2" s="104"/>
      <c r="CAX2" s="103"/>
      <c r="CAY2" s="104"/>
      <c r="CAZ2" s="103"/>
      <c r="CBA2" s="104"/>
      <c r="CBB2" s="103"/>
      <c r="CBC2" s="104"/>
      <c r="CBD2" s="103"/>
      <c r="CBE2" s="104"/>
      <c r="CBF2" s="103"/>
      <c r="CBG2" s="104"/>
      <c r="CBH2" s="103"/>
      <c r="CBI2" s="104"/>
      <c r="CBJ2" s="103"/>
      <c r="CBK2" s="104"/>
      <c r="CBL2" s="103"/>
      <c r="CBM2" s="104"/>
      <c r="CBN2" s="103"/>
      <c r="CBO2" s="104"/>
      <c r="CBP2" s="103"/>
      <c r="CBQ2" s="104"/>
      <c r="CBR2" s="103"/>
      <c r="CBS2" s="104"/>
      <c r="CBT2" s="103"/>
      <c r="CBU2" s="104"/>
      <c r="CBV2" s="103"/>
      <c r="CBW2" s="104"/>
      <c r="CBX2" s="103"/>
      <c r="CBY2" s="104"/>
      <c r="CBZ2" s="103"/>
      <c r="CCA2" s="104"/>
      <c r="CCB2" s="103"/>
      <c r="CCC2" s="104"/>
      <c r="CCD2" s="103"/>
      <c r="CCE2" s="104"/>
      <c r="CCF2" s="103"/>
      <c r="CCG2" s="104"/>
      <c r="CCH2" s="103"/>
      <c r="CCI2" s="104"/>
      <c r="CCJ2" s="103"/>
      <c r="CCK2" s="104"/>
      <c r="CCL2" s="103"/>
      <c r="CCM2" s="104"/>
      <c r="CCN2" s="103"/>
      <c r="CCO2" s="104"/>
      <c r="CCP2" s="103"/>
      <c r="CCQ2" s="104"/>
      <c r="CCR2" s="103"/>
      <c r="CCS2" s="104"/>
      <c r="CCT2" s="103"/>
      <c r="CCU2" s="104"/>
      <c r="CCV2" s="103"/>
      <c r="CCW2" s="104"/>
      <c r="CCX2" s="103"/>
      <c r="CCY2" s="104"/>
      <c r="CCZ2" s="103"/>
      <c r="CDA2" s="104"/>
      <c r="CDB2" s="103"/>
      <c r="CDC2" s="104"/>
      <c r="CDD2" s="103"/>
      <c r="CDE2" s="104"/>
      <c r="CDF2" s="103"/>
      <c r="CDG2" s="104"/>
      <c r="CDH2" s="103"/>
      <c r="CDI2" s="104"/>
      <c r="CDJ2" s="103"/>
      <c r="CDK2" s="104"/>
      <c r="CDL2" s="103"/>
      <c r="CDM2" s="104"/>
      <c r="CDN2" s="103"/>
      <c r="CDO2" s="104"/>
      <c r="CDP2" s="103"/>
      <c r="CDQ2" s="104"/>
      <c r="CDR2" s="103"/>
      <c r="CDS2" s="104"/>
      <c r="CDT2" s="103"/>
      <c r="CDU2" s="104"/>
      <c r="CDV2" s="103"/>
      <c r="CDW2" s="104"/>
      <c r="CDX2" s="103"/>
      <c r="CDY2" s="104"/>
      <c r="CDZ2" s="103"/>
      <c r="CEA2" s="104"/>
      <c r="CEB2" s="103"/>
      <c r="CEC2" s="104"/>
      <c r="CED2" s="103"/>
      <c r="CEE2" s="104"/>
      <c r="CEF2" s="103"/>
      <c r="CEG2" s="104"/>
      <c r="CEH2" s="103"/>
      <c r="CEI2" s="104"/>
      <c r="CEJ2" s="103"/>
      <c r="CEK2" s="104"/>
      <c r="CEL2" s="103"/>
      <c r="CEM2" s="104"/>
      <c r="CEN2" s="103"/>
      <c r="CEO2" s="104"/>
      <c r="CEP2" s="103"/>
      <c r="CEQ2" s="104"/>
      <c r="CER2" s="103"/>
      <c r="CES2" s="104"/>
      <c r="CET2" s="103"/>
      <c r="CEU2" s="104"/>
      <c r="CEV2" s="103"/>
      <c r="CEW2" s="104"/>
      <c r="CEX2" s="103"/>
      <c r="CEY2" s="104"/>
      <c r="CEZ2" s="103"/>
      <c r="CFA2" s="104"/>
      <c r="CFB2" s="103"/>
      <c r="CFC2" s="104"/>
      <c r="CFD2" s="103"/>
      <c r="CFE2" s="104"/>
      <c r="CFF2" s="103"/>
      <c r="CFG2" s="104"/>
      <c r="CFH2" s="103"/>
      <c r="CFI2" s="104"/>
      <c r="CFJ2" s="103"/>
      <c r="CFK2" s="104"/>
      <c r="CFL2" s="103"/>
      <c r="CFM2" s="104"/>
      <c r="CFN2" s="103"/>
      <c r="CFO2" s="104"/>
      <c r="CFP2" s="103"/>
      <c r="CFQ2" s="104"/>
      <c r="CFR2" s="103"/>
      <c r="CFS2" s="104"/>
      <c r="CFT2" s="103"/>
      <c r="CFU2" s="104"/>
      <c r="CFV2" s="103"/>
      <c r="CFW2" s="104"/>
      <c r="CFX2" s="103"/>
      <c r="CFY2" s="104"/>
      <c r="CFZ2" s="103"/>
      <c r="CGA2" s="104"/>
      <c r="CGB2" s="103"/>
      <c r="CGC2" s="104"/>
      <c r="CGD2" s="103"/>
      <c r="CGE2" s="104"/>
      <c r="CGF2" s="103"/>
      <c r="CGG2" s="104"/>
      <c r="CGH2" s="103"/>
      <c r="CGI2" s="104"/>
      <c r="CGJ2" s="103"/>
      <c r="CGK2" s="104"/>
      <c r="CGL2" s="103"/>
      <c r="CGM2" s="104"/>
      <c r="CGN2" s="103"/>
      <c r="CGO2" s="104"/>
      <c r="CGP2" s="103"/>
      <c r="CGQ2" s="104"/>
      <c r="CGR2" s="103"/>
      <c r="CGS2" s="104"/>
      <c r="CGT2" s="103"/>
      <c r="CGU2" s="104"/>
      <c r="CGV2" s="103"/>
      <c r="CGW2" s="104"/>
      <c r="CGX2" s="103"/>
      <c r="CGY2" s="104"/>
      <c r="CGZ2" s="103"/>
      <c r="CHA2" s="104"/>
      <c r="CHB2" s="103"/>
      <c r="CHC2" s="104"/>
      <c r="CHD2" s="103"/>
      <c r="CHE2" s="104"/>
      <c r="CHF2" s="103"/>
      <c r="CHG2" s="104"/>
      <c r="CHH2" s="103"/>
      <c r="CHI2" s="104"/>
      <c r="CHJ2" s="103"/>
      <c r="CHK2" s="104"/>
      <c r="CHL2" s="103"/>
      <c r="CHM2" s="104"/>
      <c r="CHN2" s="103"/>
      <c r="CHO2" s="104"/>
      <c r="CHP2" s="103"/>
      <c r="CHQ2" s="104"/>
      <c r="CHR2" s="103"/>
      <c r="CHS2" s="104"/>
      <c r="CHT2" s="103"/>
      <c r="CHU2" s="104"/>
      <c r="CHV2" s="103"/>
      <c r="CHW2" s="104"/>
      <c r="CHX2" s="103"/>
      <c r="CHY2" s="104"/>
      <c r="CHZ2" s="103"/>
      <c r="CIA2" s="104"/>
      <c r="CIB2" s="103"/>
      <c r="CIC2" s="104"/>
      <c r="CID2" s="103"/>
      <c r="CIE2" s="104"/>
      <c r="CIF2" s="103"/>
      <c r="CIG2" s="104"/>
      <c r="CIH2" s="103"/>
      <c r="CII2" s="104"/>
      <c r="CIJ2" s="103"/>
      <c r="CIK2" s="104"/>
      <c r="CIL2" s="103"/>
      <c r="CIM2" s="104"/>
      <c r="CIN2" s="103"/>
      <c r="CIO2" s="104"/>
      <c r="CIP2" s="103"/>
      <c r="CIQ2" s="104"/>
      <c r="CIR2" s="103"/>
      <c r="CIS2" s="104"/>
      <c r="CIT2" s="103"/>
      <c r="CIU2" s="104"/>
      <c r="CIV2" s="103"/>
      <c r="CIW2" s="104"/>
      <c r="CIX2" s="103"/>
      <c r="CIY2" s="104"/>
      <c r="CIZ2" s="103"/>
      <c r="CJA2" s="104"/>
      <c r="CJB2" s="103"/>
      <c r="CJC2" s="104"/>
      <c r="CJD2" s="103"/>
      <c r="CJE2" s="104"/>
      <c r="CJF2" s="103"/>
      <c r="CJG2" s="104"/>
      <c r="CJH2" s="103"/>
      <c r="CJI2" s="104"/>
      <c r="CJJ2" s="103"/>
      <c r="CJK2" s="104"/>
      <c r="CJL2" s="103"/>
      <c r="CJM2" s="104"/>
      <c r="CJN2" s="103"/>
      <c r="CJO2" s="104"/>
      <c r="CJP2" s="103"/>
      <c r="CJQ2" s="104"/>
      <c r="CJR2" s="103"/>
      <c r="CJS2" s="104"/>
      <c r="CJT2" s="103"/>
      <c r="CJU2" s="104"/>
      <c r="CJV2" s="103"/>
      <c r="CJW2" s="104"/>
      <c r="CJX2" s="103"/>
      <c r="CJY2" s="104"/>
      <c r="CJZ2" s="103"/>
      <c r="CKA2" s="104"/>
      <c r="CKB2" s="103"/>
      <c r="CKC2" s="104"/>
      <c r="CKD2" s="103"/>
      <c r="CKE2" s="104"/>
      <c r="CKF2" s="103"/>
      <c r="CKG2" s="104"/>
      <c r="CKH2" s="103"/>
      <c r="CKI2" s="104"/>
      <c r="CKJ2" s="103"/>
      <c r="CKK2" s="104"/>
      <c r="CKL2" s="103"/>
      <c r="CKM2" s="104"/>
      <c r="CKN2" s="103"/>
      <c r="CKO2" s="104"/>
      <c r="CKP2" s="103"/>
      <c r="CKQ2" s="104"/>
      <c r="CKR2" s="103"/>
      <c r="CKS2" s="104"/>
      <c r="CKT2" s="103"/>
      <c r="CKU2" s="104"/>
      <c r="CKV2" s="103"/>
      <c r="CKW2" s="104"/>
      <c r="CKX2" s="103"/>
      <c r="CKY2" s="104"/>
      <c r="CKZ2" s="103"/>
      <c r="CLA2" s="104"/>
      <c r="CLB2" s="103"/>
      <c r="CLC2" s="104"/>
      <c r="CLD2" s="103"/>
      <c r="CLE2" s="104"/>
      <c r="CLF2" s="103"/>
      <c r="CLG2" s="104"/>
      <c r="CLH2" s="103"/>
      <c r="CLI2" s="104"/>
      <c r="CLJ2" s="103"/>
      <c r="CLK2" s="104"/>
      <c r="CLL2" s="103"/>
      <c r="CLM2" s="104"/>
      <c r="CLN2" s="103"/>
      <c r="CLO2" s="104"/>
      <c r="CLP2" s="103"/>
      <c r="CLQ2" s="104"/>
      <c r="CLR2" s="103"/>
      <c r="CLS2" s="104"/>
      <c r="CLT2" s="103"/>
      <c r="CLU2" s="104"/>
      <c r="CLV2" s="103"/>
      <c r="CLW2" s="104"/>
      <c r="CLX2" s="103"/>
      <c r="CLY2" s="104"/>
      <c r="CLZ2" s="103"/>
      <c r="CMA2" s="104"/>
      <c r="CMB2" s="103"/>
      <c r="CMC2" s="104"/>
      <c r="CMD2" s="103"/>
      <c r="CME2" s="104"/>
      <c r="CMF2" s="103"/>
      <c r="CMG2" s="104"/>
      <c r="CMH2" s="103"/>
      <c r="CMI2" s="104"/>
      <c r="CMJ2" s="103"/>
      <c r="CMK2" s="104"/>
      <c r="CML2" s="103"/>
      <c r="CMM2" s="104"/>
      <c r="CMN2" s="103"/>
      <c r="CMO2" s="104"/>
      <c r="CMP2" s="103"/>
      <c r="CMQ2" s="104"/>
      <c r="CMR2" s="103"/>
      <c r="CMS2" s="104"/>
      <c r="CMT2" s="103"/>
      <c r="CMU2" s="104"/>
      <c r="CMV2" s="103"/>
      <c r="CMW2" s="104"/>
      <c r="CMX2" s="103"/>
      <c r="CMY2" s="104"/>
      <c r="CMZ2" s="103"/>
      <c r="CNA2" s="104"/>
      <c r="CNB2" s="103"/>
      <c r="CNC2" s="104"/>
      <c r="CND2" s="103"/>
      <c r="CNE2" s="104"/>
      <c r="CNF2" s="103"/>
      <c r="CNG2" s="104"/>
      <c r="CNH2" s="103"/>
      <c r="CNI2" s="104"/>
      <c r="CNJ2" s="103"/>
      <c r="CNK2" s="104"/>
      <c r="CNL2" s="103"/>
      <c r="CNM2" s="104"/>
      <c r="CNN2" s="103"/>
      <c r="CNO2" s="104"/>
      <c r="CNP2" s="103"/>
      <c r="CNQ2" s="104"/>
      <c r="CNR2" s="103"/>
      <c r="CNS2" s="104"/>
      <c r="CNT2" s="103"/>
      <c r="CNU2" s="104"/>
      <c r="CNV2" s="103"/>
      <c r="CNW2" s="104"/>
      <c r="CNX2" s="103"/>
      <c r="CNY2" s="104"/>
      <c r="CNZ2" s="103"/>
      <c r="COA2" s="104"/>
      <c r="COB2" s="103"/>
      <c r="COC2" s="104"/>
      <c r="COD2" s="103"/>
      <c r="COE2" s="104"/>
      <c r="COF2" s="103"/>
      <c r="COG2" s="104"/>
      <c r="COH2" s="103"/>
      <c r="COI2" s="104"/>
      <c r="COJ2" s="103"/>
      <c r="COK2" s="104"/>
      <c r="COL2" s="103"/>
      <c r="COM2" s="104"/>
      <c r="CON2" s="103"/>
      <c r="COO2" s="104"/>
      <c r="COP2" s="103"/>
      <c r="COQ2" s="104"/>
      <c r="COR2" s="103"/>
      <c r="COS2" s="104"/>
      <c r="COT2" s="103"/>
      <c r="COU2" s="104"/>
      <c r="COV2" s="103"/>
      <c r="COW2" s="104"/>
      <c r="COX2" s="103"/>
      <c r="COY2" s="104"/>
      <c r="COZ2" s="103"/>
      <c r="CPA2" s="104"/>
      <c r="CPB2" s="103"/>
      <c r="CPC2" s="104"/>
      <c r="CPD2" s="103"/>
      <c r="CPE2" s="104"/>
      <c r="CPF2" s="103"/>
      <c r="CPG2" s="104"/>
      <c r="CPH2" s="103"/>
      <c r="CPI2" s="104"/>
      <c r="CPJ2" s="103"/>
      <c r="CPK2" s="104"/>
      <c r="CPL2" s="103"/>
      <c r="CPM2" s="104"/>
      <c r="CPN2" s="103"/>
      <c r="CPO2" s="104"/>
      <c r="CPP2" s="103"/>
      <c r="CPQ2" s="104"/>
      <c r="CPR2" s="103"/>
      <c r="CPS2" s="104"/>
      <c r="CPT2" s="103"/>
      <c r="CPU2" s="104"/>
      <c r="CPV2" s="103"/>
      <c r="CPW2" s="104"/>
      <c r="CPX2" s="103"/>
      <c r="CPY2" s="104"/>
      <c r="CPZ2" s="103"/>
      <c r="CQA2" s="104"/>
      <c r="CQB2" s="103"/>
      <c r="CQC2" s="104"/>
      <c r="CQD2" s="103"/>
      <c r="CQE2" s="104"/>
      <c r="CQF2" s="103"/>
      <c r="CQG2" s="104"/>
      <c r="CQH2" s="103"/>
      <c r="CQI2" s="104"/>
      <c r="CQJ2" s="103"/>
      <c r="CQK2" s="104"/>
      <c r="CQL2" s="103"/>
      <c r="CQM2" s="104"/>
      <c r="CQN2" s="103"/>
      <c r="CQO2" s="104"/>
      <c r="CQP2" s="103"/>
      <c r="CQQ2" s="104"/>
      <c r="CQR2" s="103"/>
      <c r="CQS2" s="104"/>
      <c r="CQT2" s="103"/>
      <c r="CQU2" s="104"/>
      <c r="CQV2" s="103"/>
      <c r="CQW2" s="104"/>
      <c r="CQX2" s="103"/>
      <c r="CQY2" s="104"/>
      <c r="CQZ2" s="103"/>
      <c r="CRA2" s="104"/>
      <c r="CRB2" s="103"/>
      <c r="CRC2" s="104"/>
      <c r="CRD2" s="103"/>
      <c r="CRE2" s="104"/>
      <c r="CRF2" s="103"/>
      <c r="CRG2" s="104"/>
      <c r="CRH2" s="103"/>
      <c r="CRI2" s="104"/>
      <c r="CRJ2" s="103"/>
      <c r="CRK2" s="104"/>
      <c r="CRL2" s="103"/>
      <c r="CRM2" s="104"/>
      <c r="CRN2" s="103"/>
      <c r="CRO2" s="104"/>
      <c r="CRP2" s="103"/>
      <c r="CRQ2" s="104"/>
      <c r="CRR2" s="103"/>
      <c r="CRS2" s="104"/>
      <c r="CRT2" s="103"/>
      <c r="CRU2" s="104"/>
      <c r="CRV2" s="103"/>
      <c r="CRW2" s="104"/>
      <c r="CRX2" s="103"/>
      <c r="CRY2" s="104"/>
      <c r="CRZ2" s="103"/>
      <c r="CSA2" s="104"/>
      <c r="CSB2" s="103"/>
      <c r="CSC2" s="104"/>
      <c r="CSD2" s="103"/>
      <c r="CSE2" s="104"/>
      <c r="CSF2" s="103"/>
      <c r="CSG2" s="104"/>
      <c r="CSH2" s="103"/>
      <c r="CSI2" s="104"/>
      <c r="CSJ2" s="103"/>
      <c r="CSK2" s="104"/>
      <c r="CSL2" s="103"/>
      <c r="CSM2" s="104"/>
      <c r="CSN2" s="103"/>
      <c r="CSO2" s="104"/>
      <c r="CSP2" s="103"/>
      <c r="CSQ2" s="104"/>
      <c r="CSR2" s="103"/>
      <c r="CSS2" s="104"/>
      <c r="CST2" s="103"/>
      <c r="CSU2" s="104"/>
      <c r="CSV2" s="103"/>
      <c r="CSW2" s="104"/>
      <c r="CSX2" s="103"/>
      <c r="CSY2" s="104"/>
      <c r="CSZ2" s="103"/>
      <c r="CTA2" s="104"/>
      <c r="CTB2" s="103"/>
      <c r="CTC2" s="104"/>
      <c r="CTD2" s="103"/>
      <c r="CTE2" s="104"/>
      <c r="CTF2" s="103"/>
      <c r="CTG2" s="104"/>
      <c r="CTH2" s="103"/>
      <c r="CTI2" s="104"/>
      <c r="CTJ2" s="103"/>
      <c r="CTK2" s="104"/>
      <c r="CTL2" s="103"/>
      <c r="CTM2" s="104"/>
      <c r="CTN2" s="103"/>
      <c r="CTO2" s="104"/>
      <c r="CTP2" s="103"/>
      <c r="CTQ2" s="104"/>
      <c r="CTR2" s="103"/>
      <c r="CTS2" s="104"/>
      <c r="CTT2" s="103"/>
      <c r="CTU2" s="104"/>
      <c r="CTV2" s="103"/>
      <c r="CTW2" s="104"/>
      <c r="CTX2" s="103"/>
      <c r="CTY2" s="104"/>
      <c r="CTZ2" s="103"/>
      <c r="CUA2" s="104"/>
      <c r="CUB2" s="103"/>
      <c r="CUC2" s="104"/>
      <c r="CUD2" s="103"/>
      <c r="CUE2" s="104"/>
      <c r="CUF2" s="103"/>
      <c r="CUG2" s="104"/>
      <c r="CUH2" s="103"/>
      <c r="CUI2" s="104"/>
      <c r="CUJ2" s="103"/>
      <c r="CUK2" s="104"/>
      <c r="CUL2" s="103"/>
      <c r="CUM2" s="104"/>
      <c r="CUN2" s="103"/>
      <c r="CUO2" s="104"/>
      <c r="CUP2" s="103"/>
      <c r="CUQ2" s="104"/>
      <c r="CUR2" s="103"/>
      <c r="CUS2" s="104"/>
      <c r="CUT2" s="103"/>
      <c r="CUU2" s="104"/>
      <c r="CUV2" s="103"/>
      <c r="CUW2" s="104"/>
      <c r="CUX2" s="103"/>
      <c r="CUY2" s="104"/>
      <c r="CUZ2" s="103"/>
      <c r="CVA2" s="104"/>
      <c r="CVB2" s="103"/>
      <c r="CVC2" s="104"/>
      <c r="CVD2" s="103"/>
      <c r="CVE2" s="104"/>
      <c r="CVF2" s="103"/>
      <c r="CVG2" s="104"/>
      <c r="CVH2" s="103"/>
      <c r="CVI2" s="104"/>
      <c r="CVJ2" s="103"/>
      <c r="CVK2" s="104"/>
      <c r="CVL2" s="103"/>
      <c r="CVM2" s="104"/>
      <c r="CVN2" s="103"/>
      <c r="CVO2" s="104"/>
      <c r="CVP2" s="103"/>
      <c r="CVQ2" s="104"/>
      <c r="CVR2" s="103"/>
      <c r="CVS2" s="104"/>
      <c r="CVT2" s="103"/>
      <c r="CVU2" s="104"/>
      <c r="CVV2" s="103"/>
      <c r="CVW2" s="104"/>
      <c r="CVX2" s="103"/>
      <c r="CVY2" s="104"/>
      <c r="CVZ2" s="103"/>
      <c r="CWA2" s="104"/>
      <c r="CWB2" s="103"/>
      <c r="CWC2" s="104"/>
      <c r="CWD2" s="103"/>
      <c r="CWE2" s="104"/>
      <c r="CWF2" s="103"/>
      <c r="CWG2" s="104"/>
      <c r="CWH2" s="103"/>
      <c r="CWI2" s="104"/>
      <c r="CWJ2" s="103"/>
      <c r="CWK2" s="104"/>
      <c r="CWL2" s="103"/>
      <c r="CWM2" s="104"/>
      <c r="CWN2" s="103"/>
      <c r="CWO2" s="104"/>
      <c r="CWP2" s="103"/>
      <c r="CWQ2" s="104"/>
      <c r="CWR2" s="103"/>
      <c r="CWS2" s="104"/>
      <c r="CWT2" s="103"/>
      <c r="CWU2" s="104"/>
      <c r="CWV2" s="103"/>
      <c r="CWW2" s="104"/>
      <c r="CWX2" s="103"/>
      <c r="CWY2" s="104"/>
      <c r="CWZ2" s="103"/>
      <c r="CXA2" s="104"/>
      <c r="CXB2" s="103"/>
      <c r="CXC2" s="104"/>
      <c r="CXD2" s="103"/>
      <c r="CXE2" s="104"/>
      <c r="CXF2" s="103"/>
      <c r="CXG2" s="104"/>
      <c r="CXH2" s="103"/>
      <c r="CXI2" s="104"/>
      <c r="CXJ2" s="103"/>
      <c r="CXK2" s="104"/>
      <c r="CXL2" s="103"/>
      <c r="CXM2" s="104"/>
      <c r="CXN2" s="103"/>
      <c r="CXO2" s="104"/>
      <c r="CXP2" s="103"/>
      <c r="CXQ2" s="104"/>
      <c r="CXR2" s="103"/>
      <c r="CXS2" s="104"/>
      <c r="CXT2" s="103"/>
      <c r="CXU2" s="104"/>
      <c r="CXV2" s="103"/>
      <c r="CXW2" s="104"/>
      <c r="CXX2" s="103"/>
      <c r="CXY2" s="104"/>
      <c r="CXZ2" s="103"/>
      <c r="CYA2" s="104"/>
      <c r="CYB2" s="103"/>
      <c r="CYC2" s="104"/>
      <c r="CYD2" s="103"/>
      <c r="CYE2" s="104"/>
      <c r="CYF2" s="103"/>
      <c r="CYG2" s="104"/>
      <c r="CYH2" s="103"/>
      <c r="CYI2" s="104"/>
      <c r="CYJ2" s="103"/>
      <c r="CYK2" s="104"/>
      <c r="CYL2" s="103"/>
      <c r="CYM2" s="104"/>
      <c r="CYN2" s="103"/>
      <c r="CYO2" s="104"/>
      <c r="CYP2" s="103"/>
      <c r="CYQ2" s="104"/>
      <c r="CYR2" s="103"/>
      <c r="CYS2" s="104"/>
      <c r="CYT2" s="103"/>
      <c r="CYU2" s="104"/>
      <c r="CYV2" s="103"/>
      <c r="CYW2" s="104"/>
      <c r="CYX2" s="103"/>
      <c r="CYY2" s="104"/>
      <c r="CYZ2" s="103"/>
      <c r="CZA2" s="104"/>
      <c r="CZB2" s="103"/>
      <c r="CZC2" s="104"/>
      <c r="CZD2" s="103"/>
      <c r="CZE2" s="104"/>
      <c r="CZF2" s="103"/>
      <c r="CZG2" s="104"/>
      <c r="CZH2" s="103"/>
      <c r="CZI2" s="104"/>
      <c r="CZJ2" s="103"/>
      <c r="CZK2" s="104"/>
      <c r="CZL2" s="103"/>
      <c r="CZM2" s="104"/>
      <c r="CZN2" s="103"/>
      <c r="CZO2" s="104"/>
      <c r="CZP2" s="103"/>
      <c r="CZQ2" s="104"/>
      <c r="CZR2" s="103"/>
      <c r="CZS2" s="104"/>
      <c r="CZT2" s="103"/>
      <c r="CZU2" s="104"/>
      <c r="CZV2" s="103"/>
      <c r="CZW2" s="104"/>
      <c r="CZX2" s="103"/>
      <c r="CZY2" s="104"/>
      <c r="CZZ2" s="103"/>
      <c r="DAA2" s="104"/>
      <c r="DAB2" s="103"/>
      <c r="DAC2" s="104"/>
      <c r="DAD2" s="103"/>
      <c r="DAE2" s="104"/>
      <c r="DAF2" s="103"/>
      <c r="DAG2" s="104"/>
      <c r="DAH2" s="103"/>
      <c r="DAI2" s="104"/>
      <c r="DAJ2" s="103"/>
      <c r="DAK2" s="104"/>
      <c r="DAL2" s="103"/>
      <c r="DAM2" s="104"/>
      <c r="DAN2" s="103"/>
      <c r="DAO2" s="104"/>
      <c r="DAP2" s="103"/>
      <c r="DAQ2" s="104"/>
      <c r="DAR2" s="103"/>
      <c r="DAS2" s="104"/>
      <c r="DAT2" s="103"/>
      <c r="DAU2" s="104"/>
      <c r="DAV2" s="103"/>
      <c r="DAW2" s="104"/>
      <c r="DAX2" s="103"/>
      <c r="DAY2" s="104"/>
      <c r="DAZ2" s="103"/>
      <c r="DBA2" s="104"/>
      <c r="DBB2" s="103"/>
      <c r="DBC2" s="104"/>
      <c r="DBD2" s="103"/>
      <c r="DBE2" s="104"/>
      <c r="DBF2" s="103"/>
      <c r="DBG2" s="104"/>
      <c r="DBH2" s="103"/>
      <c r="DBI2" s="104"/>
      <c r="DBJ2" s="103"/>
      <c r="DBK2" s="104"/>
      <c r="DBL2" s="103"/>
      <c r="DBM2" s="104"/>
      <c r="DBN2" s="103"/>
      <c r="DBO2" s="104"/>
      <c r="DBP2" s="103"/>
      <c r="DBQ2" s="104"/>
      <c r="DBR2" s="103"/>
      <c r="DBS2" s="104"/>
      <c r="DBT2" s="103"/>
      <c r="DBU2" s="104"/>
      <c r="DBV2" s="103"/>
      <c r="DBW2" s="104"/>
      <c r="DBX2" s="103"/>
      <c r="DBY2" s="104"/>
      <c r="DBZ2" s="103"/>
      <c r="DCA2" s="104"/>
      <c r="DCB2" s="103"/>
      <c r="DCC2" s="104"/>
      <c r="DCD2" s="103"/>
      <c r="DCE2" s="104"/>
      <c r="DCF2" s="103"/>
      <c r="DCG2" s="104"/>
      <c r="DCH2" s="103"/>
      <c r="DCI2" s="104"/>
      <c r="DCJ2" s="103"/>
      <c r="DCK2" s="104"/>
      <c r="DCL2" s="103"/>
      <c r="DCM2" s="104"/>
      <c r="DCN2" s="103"/>
      <c r="DCO2" s="104"/>
      <c r="DCP2" s="103"/>
      <c r="DCQ2" s="104"/>
      <c r="DCR2" s="103"/>
      <c r="DCS2" s="104"/>
      <c r="DCT2" s="103"/>
      <c r="DCU2" s="104"/>
      <c r="DCV2" s="103"/>
      <c r="DCW2" s="104"/>
      <c r="DCX2" s="103"/>
      <c r="DCY2" s="104"/>
      <c r="DCZ2" s="103"/>
      <c r="DDA2" s="104"/>
      <c r="DDB2" s="103"/>
      <c r="DDC2" s="104"/>
      <c r="DDD2" s="103"/>
      <c r="DDE2" s="104"/>
      <c r="DDF2" s="103"/>
      <c r="DDG2" s="104"/>
      <c r="DDH2" s="103"/>
      <c r="DDI2" s="104"/>
      <c r="DDJ2" s="103"/>
      <c r="DDK2" s="104"/>
      <c r="DDL2" s="103"/>
      <c r="DDM2" s="104"/>
      <c r="DDN2" s="103"/>
      <c r="DDO2" s="104"/>
      <c r="DDP2" s="103"/>
      <c r="DDQ2" s="104"/>
      <c r="DDR2" s="103"/>
      <c r="DDS2" s="104"/>
      <c r="DDT2" s="103"/>
      <c r="DDU2" s="104"/>
      <c r="DDV2" s="103"/>
      <c r="DDW2" s="104"/>
      <c r="DDX2" s="103"/>
      <c r="DDY2" s="104"/>
      <c r="DDZ2" s="103"/>
      <c r="DEA2" s="104"/>
      <c r="DEB2" s="103"/>
      <c r="DEC2" s="104"/>
      <c r="DED2" s="103"/>
      <c r="DEE2" s="104"/>
      <c r="DEF2" s="103"/>
      <c r="DEG2" s="104"/>
      <c r="DEH2" s="103"/>
      <c r="DEI2" s="104"/>
      <c r="DEJ2" s="103"/>
      <c r="DEK2" s="104"/>
      <c r="DEL2" s="103"/>
      <c r="DEM2" s="104"/>
      <c r="DEN2" s="103"/>
      <c r="DEO2" s="104"/>
      <c r="DEP2" s="103"/>
      <c r="DEQ2" s="104"/>
      <c r="DER2" s="103"/>
      <c r="DES2" s="104"/>
      <c r="DET2" s="103"/>
      <c r="DEU2" s="104"/>
      <c r="DEV2" s="103"/>
      <c r="DEW2" s="104"/>
      <c r="DEX2" s="103"/>
      <c r="DEY2" s="104"/>
      <c r="DEZ2" s="103"/>
      <c r="DFA2" s="104"/>
      <c r="DFB2" s="103"/>
      <c r="DFC2" s="104"/>
      <c r="DFD2" s="103"/>
      <c r="DFE2" s="104"/>
      <c r="DFF2" s="103"/>
      <c r="DFG2" s="104"/>
      <c r="DFH2" s="103"/>
      <c r="DFI2" s="104"/>
      <c r="DFJ2" s="103"/>
      <c r="DFK2" s="104"/>
      <c r="DFL2" s="103"/>
      <c r="DFM2" s="104"/>
      <c r="DFN2" s="103"/>
      <c r="DFO2" s="104"/>
      <c r="DFP2" s="103"/>
      <c r="DFQ2" s="104"/>
      <c r="DFR2" s="103"/>
      <c r="DFS2" s="104"/>
      <c r="DFT2" s="103"/>
      <c r="DFU2" s="104"/>
      <c r="DFV2" s="103"/>
      <c r="DFW2" s="104"/>
      <c r="DFX2" s="103"/>
      <c r="DFY2" s="104"/>
      <c r="DFZ2" s="103"/>
      <c r="DGA2" s="104"/>
      <c r="DGB2" s="103"/>
      <c r="DGC2" s="104"/>
      <c r="DGD2" s="103"/>
      <c r="DGE2" s="104"/>
      <c r="DGF2" s="103"/>
      <c r="DGG2" s="104"/>
      <c r="DGH2" s="103"/>
      <c r="DGI2" s="104"/>
      <c r="DGJ2" s="103"/>
      <c r="DGK2" s="104"/>
      <c r="DGL2" s="103"/>
      <c r="DGM2" s="104"/>
      <c r="DGN2" s="103"/>
      <c r="DGO2" s="104"/>
      <c r="DGP2" s="103"/>
      <c r="DGQ2" s="104"/>
      <c r="DGR2" s="103"/>
      <c r="DGS2" s="104"/>
      <c r="DGT2" s="103"/>
      <c r="DGU2" s="104"/>
      <c r="DGV2" s="103"/>
      <c r="DGW2" s="104"/>
      <c r="DGX2" s="103"/>
      <c r="DGY2" s="104"/>
      <c r="DGZ2" s="103"/>
      <c r="DHA2" s="104"/>
      <c r="DHB2" s="103"/>
      <c r="DHC2" s="104"/>
      <c r="DHD2" s="103"/>
      <c r="DHE2" s="104"/>
      <c r="DHF2" s="103"/>
      <c r="DHG2" s="104"/>
      <c r="DHH2" s="103"/>
      <c r="DHI2" s="104"/>
      <c r="DHJ2" s="103"/>
      <c r="DHK2" s="104"/>
      <c r="DHL2" s="103"/>
      <c r="DHM2" s="104"/>
      <c r="DHN2" s="103"/>
      <c r="DHO2" s="104"/>
      <c r="DHP2" s="103"/>
      <c r="DHQ2" s="104"/>
      <c r="DHR2" s="103"/>
      <c r="DHS2" s="104"/>
      <c r="DHT2" s="103"/>
      <c r="DHU2" s="104"/>
      <c r="DHV2" s="103"/>
      <c r="DHW2" s="104"/>
      <c r="DHX2" s="103"/>
      <c r="DHY2" s="104"/>
      <c r="DHZ2" s="103"/>
      <c r="DIA2" s="104"/>
      <c r="DIB2" s="103"/>
      <c r="DIC2" s="104"/>
      <c r="DID2" s="103"/>
      <c r="DIE2" s="104"/>
      <c r="DIF2" s="103"/>
      <c r="DIG2" s="104"/>
      <c r="DIH2" s="103"/>
      <c r="DII2" s="104"/>
      <c r="DIJ2" s="103"/>
      <c r="DIK2" s="104"/>
      <c r="DIL2" s="103"/>
      <c r="DIM2" s="104"/>
      <c r="DIN2" s="103"/>
      <c r="DIO2" s="104"/>
      <c r="DIP2" s="103"/>
      <c r="DIQ2" s="104"/>
      <c r="DIR2" s="103"/>
      <c r="DIS2" s="104"/>
      <c r="DIT2" s="103"/>
      <c r="DIU2" s="104"/>
      <c r="DIV2" s="103"/>
      <c r="DIW2" s="104"/>
      <c r="DIX2" s="103"/>
      <c r="DIY2" s="104"/>
      <c r="DIZ2" s="103"/>
      <c r="DJA2" s="104"/>
      <c r="DJB2" s="103"/>
      <c r="DJC2" s="104"/>
      <c r="DJD2" s="103"/>
      <c r="DJE2" s="104"/>
      <c r="DJF2" s="103"/>
      <c r="DJG2" s="104"/>
      <c r="DJH2" s="103"/>
      <c r="DJI2" s="104"/>
      <c r="DJJ2" s="103"/>
      <c r="DJK2" s="104"/>
      <c r="DJL2" s="103"/>
      <c r="DJM2" s="104"/>
      <c r="DJN2" s="103"/>
      <c r="DJO2" s="104"/>
      <c r="DJP2" s="103"/>
      <c r="DJQ2" s="104"/>
      <c r="DJR2" s="103"/>
      <c r="DJS2" s="104"/>
      <c r="DJT2" s="103"/>
      <c r="DJU2" s="104"/>
      <c r="DJV2" s="103"/>
      <c r="DJW2" s="104"/>
      <c r="DJX2" s="103"/>
      <c r="DJY2" s="104"/>
      <c r="DJZ2" s="103"/>
      <c r="DKA2" s="104"/>
      <c r="DKB2" s="103"/>
      <c r="DKC2" s="104"/>
      <c r="DKD2" s="103"/>
      <c r="DKE2" s="104"/>
      <c r="DKF2" s="103"/>
      <c r="DKG2" s="104"/>
      <c r="DKH2" s="103"/>
      <c r="DKI2" s="104"/>
      <c r="DKJ2" s="103"/>
      <c r="DKK2" s="104"/>
      <c r="DKL2" s="103"/>
      <c r="DKM2" s="104"/>
      <c r="DKN2" s="103"/>
      <c r="DKO2" s="104"/>
      <c r="DKP2" s="103"/>
      <c r="DKQ2" s="104"/>
      <c r="DKR2" s="103"/>
      <c r="DKS2" s="104"/>
      <c r="DKT2" s="103"/>
      <c r="DKU2" s="104"/>
      <c r="DKV2" s="103"/>
      <c r="DKW2" s="104"/>
      <c r="DKX2" s="103"/>
      <c r="DKY2" s="104"/>
      <c r="DKZ2" s="103"/>
      <c r="DLA2" s="104"/>
      <c r="DLB2" s="103"/>
      <c r="DLC2" s="104"/>
      <c r="DLD2" s="103"/>
      <c r="DLE2" s="104"/>
      <c r="DLF2" s="103"/>
      <c r="DLG2" s="104"/>
      <c r="DLH2" s="103"/>
      <c r="DLI2" s="104"/>
      <c r="DLJ2" s="103"/>
      <c r="DLK2" s="104"/>
      <c r="DLL2" s="103"/>
      <c r="DLM2" s="104"/>
      <c r="DLN2" s="103"/>
      <c r="DLO2" s="104"/>
      <c r="DLP2" s="103"/>
      <c r="DLQ2" s="104"/>
      <c r="DLR2" s="103"/>
      <c r="DLS2" s="104"/>
      <c r="DLT2" s="103"/>
      <c r="DLU2" s="104"/>
      <c r="DLV2" s="103"/>
      <c r="DLW2" s="104"/>
      <c r="DLX2" s="103"/>
      <c r="DLY2" s="104"/>
      <c r="DLZ2" s="103"/>
      <c r="DMA2" s="104"/>
      <c r="DMB2" s="103"/>
      <c r="DMC2" s="104"/>
      <c r="DMD2" s="103"/>
      <c r="DME2" s="104"/>
      <c r="DMF2" s="103"/>
      <c r="DMG2" s="104"/>
      <c r="DMH2" s="103"/>
      <c r="DMI2" s="104"/>
      <c r="DMJ2" s="103"/>
      <c r="DMK2" s="104"/>
      <c r="DML2" s="103"/>
      <c r="DMM2" s="104"/>
      <c r="DMN2" s="103"/>
      <c r="DMO2" s="104"/>
      <c r="DMP2" s="103"/>
      <c r="DMQ2" s="104"/>
      <c r="DMR2" s="103"/>
      <c r="DMS2" s="104"/>
      <c r="DMT2" s="103"/>
      <c r="DMU2" s="104"/>
      <c r="DMV2" s="103"/>
      <c r="DMW2" s="104"/>
      <c r="DMX2" s="103"/>
      <c r="DMY2" s="104"/>
      <c r="DMZ2" s="103"/>
      <c r="DNA2" s="104"/>
      <c r="DNB2" s="103"/>
      <c r="DNC2" s="104"/>
      <c r="DND2" s="103"/>
      <c r="DNE2" s="104"/>
      <c r="DNF2" s="103"/>
      <c r="DNG2" s="104"/>
      <c r="DNH2" s="103"/>
      <c r="DNI2" s="104"/>
      <c r="DNJ2" s="103"/>
      <c r="DNK2" s="104"/>
      <c r="DNL2" s="103"/>
      <c r="DNM2" s="104"/>
      <c r="DNN2" s="103"/>
      <c r="DNO2" s="104"/>
      <c r="DNP2" s="103"/>
      <c r="DNQ2" s="104"/>
      <c r="DNR2" s="103"/>
      <c r="DNS2" s="104"/>
      <c r="DNT2" s="103"/>
      <c r="DNU2" s="104"/>
      <c r="DNV2" s="103"/>
      <c r="DNW2" s="104"/>
      <c r="DNX2" s="103"/>
      <c r="DNY2" s="104"/>
      <c r="DNZ2" s="103"/>
      <c r="DOA2" s="104"/>
      <c r="DOB2" s="103"/>
      <c r="DOC2" s="104"/>
      <c r="DOD2" s="103"/>
      <c r="DOE2" s="104"/>
      <c r="DOF2" s="103"/>
      <c r="DOG2" s="104"/>
      <c r="DOH2" s="103"/>
      <c r="DOI2" s="104"/>
      <c r="DOJ2" s="103"/>
      <c r="DOK2" s="104"/>
      <c r="DOL2" s="103"/>
      <c r="DOM2" s="104"/>
      <c r="DON2" s="103"/>
      <c r="DOO2" s="104"/>
      <c r="DOP2" s="103"/>
      <c r="DOQ2" s="104"/>
      <c r="DOR2" s="103"/>
      <c r="DOS2" s="104"/>
      <c r="DOT2" s="103"/>
      <c r="DOU2" s="104"/>
      <c r="DOV2" s="103"/>
      <c r="DOW2" s="104"/>
      <c r="DOX2" s="103"/>
      <c r="DOY2" s="104"/>
      <c r="DOZ2" s="103"/>
      <c r="DPA2" s="104"/>
      <c r="DPB2" s="103"/>
      <c r="DPC2" s="104"/>
      <c r="DPD2" s="103"/>
      <c r="DPE2" s="104"/>
      <c r="DPF2" s="103"/>
      <c r="DPG2" s="104"/>
      <c r="DPH2" s="103"/>
      <c r="DPI2" s="104"/>
      <c r="DPJ2" s="103"/>
      <c r="DPK2" s="104"/>
      <c r="DPL2" s="103"/>
      <c r="DPM2" s="104"/>
      <c r="DPN2" s="103"/>
      <c r="DPO2" s="104"/>
      <c r="DPP2" s="103"/>
      <c r="DPQ2" s="104"/>
      <c r="DPR2" s="103"/>
      <c r="DPS2" s="104"/>
      <c r="DPT2" s="103"/>
      <c r="DPU2" s="104"/>
      <c r="DPV2" s="103"/>
      <c r="DPW2" s="104"/>
      <c r="DPX2" s="103"/>
      <c r="DPY2" s="104"/>
      <c r="DPZ2" s="103"/>
      <c r="DQA2" s="104"/>
      <c r="DQB2" s="103"/>
      <c r="DQC2" s="104"/>
      <c r="DQD2" s="103"/>
      <c r="DQE2" s="104"/>
      <c r="DQF2" s="103"/>
      <c r="DQG2" s="104"/>
      <c r="DQH2" s="103"/>
      <c r="DQI2" s="104"/>
      <c r="DQJ2" s="103"/>
      <c r="DQK2" s="104"/>
      <c r="DQL2" s="103"/>
      <c r="DQM2" s="104"/>
      <c r="DQN2" s="103"/>
      <c r="DQO2" s="104"/>
      <c r="DQP2" s="103"/>
      <c r="DQQ2" s="104"/>
      <c r="DQR2" s="103"/>
      <c r="DQS2" s="104"/>
      <c r="DQT2" s="103"/>
      <c r="DQU2" s="104"/>
      <c r="DQV2" s="103"/>
      <c r="DQW2" s="104"/>
      <c r="DQX2" s="103"/>
      <c r="DQY2" s="104"/>
      <c r="DQZ2" s="103"/>
      <c r="DRA2" s="104"/>
      <c r="DRB2" s="103"/>
      <c r="DRC2" s="104"/>
      <c r="DRD2" s="103"/>
      <c r="DRE2" s="104"/>
      <c r="DRF2" s="103"/>
      <c r="DRG2" s="104"/>
      <c r="DRH2" s="103"/>
      <c r="DRI2" s="104"/>
      <c r="DRJ2" s="103"/>
      <c r="DRK2" s="104"/>
      <c r="DRL2" s="103"/>
      <c r="DRM2" s="104"/>
      <c r="DRN2" s="103"/>
      <c r="DRO2" s="104"/>
      <c r="DRP2" s="103"/>
      <c r="DRQ2" s="104"/>
      <c r="DRR2" s="103"/>
      <c r="DRS2" s="104"/>
      <c r="DRT2" s="103"/>
      <c r="DRU2" s="104"/>
      <c r="DRV2" s="103"/>
      <c r="DRW2" s="104"/>
      <c r="DRX2" s="103"/>
      <c r="DRY2" s="104"/>
      <c r="DRZ2" s="103"/>
      <c r="DSA2" s="104"/>
      <c r="DSB2" s="103"/>
      <c r="DSC2" s="104"/>
      <c r="DSD2" s="103"/>
      <c r="DSE2" s="104"/>
      <c r="DSF2" s="103"/>
      <c r="DSG2" s="104"/>
      <c r="DSH2" s="103"/>
      <c r="DSI2" s="104"/>
      <c r="DSJ2" s="103"/>
      <c r="DSK2" s="104"/>
      <c r="DSL2" s="103"/>
      <c r="DSM2" s="104"/>
      <c r="DSN2" s="103"/>
      <c r="DSO2" s="104"/>
      <c r="DSP2" s="103"/>
      <c r="DSQ2" s="104"/>
      <c r="DSR2" s="103"/>
      <c r="DSS2" s="104"/>
      <c r="DST2" s="103"/>
      <c r="DSU2" s="104"/>
      <c r="DSV2" s="103"/>
      <c r="DSW2" s="104"/>
      <c r="DSX2" s="103"/>
      <c r="DSY2" s="104"/>
      <c r="DSZ2" s="103"/>
      <c r="DTA2" s="104"/>
      <c r="DTB2" s="103"/>
      <c r="DTC2" s="104"/>
      <c r="DTD2" s="103"/>
      <c r="DTE2" s="104"/>
      <c r="DTF2" s="103"/>
      <c r="DTG2" s="104"/>
      <c r="DTH2" s="103"/>
      <c r="DTI2" s="104"/>
      <c r="DTJ2" s="103"/>
      <c r="DTK2" s="104"/>
      <c r="DTL2" s="103"/>
      <c r="DTM2" s="104"/>
      <c r="DTN2" s="103"/>
      <c r="DTO2" s="104"/>
      <c r="DTP2" s="103"/>
      <c r="DTQ2" s="104"/>
      <c r="DTR2" s="103"/>
      <c r="DTS2" s="104"/>
      <c r="DTT2" s="103"/>
      <c r="DTU2" s="104"/>
      <c r="DTV2" s="103"/>
      <c r="DTW2" s="104"/>
      <c r="DTX2" s="103"/>
      <c r="DTY2" s="104"/>
      <c r="DTZ2" s="103"/>
      <c r="DUA2" s="104"/>
      <c r="DUB2" s="103"/>
      <c r="DUC2" s="104"/>
      <c r="DUD2" s="103"/>
      <c r="DUE2" s="104"/>
      <c r="DUF2" s="103"/>
      <c r="DUG2" s="104"/>
      <c r="DUH2" s="103"/>
      <c r="DUI2" s="104"/>
      <c r="DUJ2" s="103"/>
      <c r="DUK2" s="104"/>
      <c r="DUL2" s="103"/>
      <c r="DUM2" s="104"/>
      <c r="DUN2" s="103"/>
      <c r="DUO2" s="104"/>
      <c r="DUP2" s="103"/>
      <c r="DUQ2" s="104"/>
      <c r="DUR2" s="103"/>
      <c r="DUS2" s="104"/>
      <c r="DUT2" s="103"/>
      <c r="DUU2" s="104"/>
      <c r="DUV2" s="103"/>
      <c r="DUW2" s="104"/>
      <c r="DUX2" s="103"/>
      <c r="DUY2" s="104"/>
      <c r="DUZ2" s="103"/>
      <c r="DVA2" s="104"/>
      <c r="DVB2" s="103"/>
      <c r="DVC2" s="104"/>
      <c r="DVD2" s="103"/>
      <c r="DVE2" s="104"/>
      <c r="DVF2" s="103"/>
      <c r="DVG2" s="104"/>
      <c r="DVH2" s="103"/>
      <c r="DVI2" s="104"/>
      <c r="DVJ2" s="103"/>
      <c r="DVK2" s="104"/>
      <c r="DVL2" s="103"/>
      <c r="DVM2" s="104"/>
      <c r="DVN2" s="103"/>
      <c r="DVO2" s="104"/>
      <c r="DVP2" s="103"/>
      <c r="DVQ2" s="104"/>
      <c r="DVR2" s="103"/>
      <c r="DVS2" s="104"/>
      <c r="DVT2" s="103"/>
      <c r="DVU2" s="104"/>
      <c r="DVV2" s="103"/>
      <c r="DVW2" s="104"/>
      <c r="DVX2" s="103"/>
      <c r="DVY2" s="104"/>
      <c r="DVZ2" s="103"/>
      <c r="DWA2" s="104"/>
      <c r="DWB2" s="103"/>
      <c r="DWC2" s="104"/>
      <c r="DWD2" s="103"/>
      <c r="DWE2" s="104"/>
      <c r="DWF2" s="103"/>
      <c r="DWG2" s="104"/>
      <c r="DWH2" s="103"/>
      <c r="DWI2" s="104"/>
      <c r="DWJ2" s="103"/>
      <c r="DWK2" s="104"/>
      <c r="DWL2" s="103"/>
      <c r="DWM2" s="104"/>
      <c r="DWN2" s="103"/>
      <c r="DWO2" s="104"/>
      <c r="DWP2" s="103"/>
      <c r="DWQ2" s="104"/>
      <c r="DWR2" s="103"/>
      <c r="DWS2" s="104"/>
      <c r="DWT2" s="103"/>
      <c r="DWU2" s="104"/>
      <c r="DWV2" s="103"/>
      <c r="DWW2" s="104"/>
      <c r="DWX2" s="103"/>
      <c r="DWY2" s="104"/>
      <c r="DWZ2" s="103"/>
      <c r="DXA2" s="104"/>
      <c r="DXB2" s="103"/>
      <c r="DXC2" s="104"/>
      <c r="DXD2" s="103"/>
      <c r="DXE2" s="104"/>
      <c r="DXF2" s="103"/>
      <c r="DXG2" s="104"/>
      <c r="DXH2" s="103"/>
      <c r="DXI2" s="104"/>
      <c r="DXJ2" s="103"/>
      <c r="DXK2" s="104"/>
      <c r="DXL2" s="103"/>
      <c r="DXM2" s="104"/>
      <c r="DXN2" s="103"/>
      <c r="DXO2" s="104"/>
      <c r="DXP2" s="103"/>
      <c r="DXQ2" s="104"/>
      <c r="DXR2" s="103"/>
      <c r="DXS2" s="104"/>
      <c r="DXT2" s="103"/>
      <c r="DXU2" s="104"/>
      <c r="DXV2" s="103"/>
      <c r="DXW2" s="104"/>
      <c r="DXX2" s="103"/>
      <c r="DXY2" s="104"/>
      <c r="DXZ2" s="103"/>
      <c r="DYA2" s="104"/>
      <c r="DYB2" s="103"/>
      <c r="DYC2" s="104"/>
      <c r="DYD2" s="103"/>
      <c r="DYE2" s="104"/>
      <c r="DYF2" s="103"/>
      <c r="DYG2" s="104"/>
      <c r="DYH2" s="103"/>
      <c r="DYI2" s="104"/>
      <c r="DYJ2" s="103"/>
      <c r="DYK2" s="104"/>
      <c r="DYL2" s="103"/>
      <c r="DYM2" s="104"/>
      <c r="DYN2" s="103"/>
      <c r="DYO2" s="104"/>
      <c r="DYP2" s="103"/>
      <c r="DYQ2" s="104"/>
      <c r="DYR2" s="103"/>
      <c r="DYS2" s="104"/>
      <c r="DYT2" s="103"/>
      <c r="DYU2" s="104"/>
      <c r="DYV2" s="103"/>
      <c r="DYW2" s="104"/>
      <c r="DYX2" s="103"/>
      <c r="DYY2" s="104"/>
      <c r="DYZ2" s="103"/>
      <c r="DZA2" s="104"/>
      <c r="DZB2" s="103"/>
      <c r="DZC2" s="104"/>
      <c r="DZD2" s="103"/>
      <c r="DZE2" s="104"/>
      <c r="DZF2" s="103"/>
      <c r="DZG2" s="104"/>
      <c r="DZH2" s="103"/>
      <c r="DZI2" s="104"/>
      <c r="DZJ2" s="103"/>
      <c r="DZK2" s="104"/>
      <c r="DZL2" s="103"/>
      <c r="DZM2" s="104"/>
      <c r="DZN2" s="103"/>
      <c r="DZO2" s="104"/>
      <c r="DZP2" s="103"/>
      <c r="DZQ2" s="104"/>
      <c r="DZR2" s="103"/>
      <c r="DZS2" s="104"/>
      <c r="DZT2" s="103"/>
      <c r="DZU2" s="104"/>
      <c r="DZV2" s="103"/>
      <c r="DZW2" s="104"/>
      <c r="DZX2" s="103"/>
      <c r="DZY2" s="104"/>
      <c r="DZZ2" s="103"/>
      <c r="EAA2" s="104"/>
      <c r="EAB2" s="103"/>
      <c r="EAC2" s="104"/>
      <c r="EAD2" s="103"/>
      <c r="EAE2" s="104"/>
      <c r="EAF2" s="103"/>
      <c r="EAG2" s="104"/>
      <c r="EAH2" s="103"/>
      <c r="EAI2" s="104"/>
      <c r="EAJ2" s="103"/>
      <c r="EAK2" s="104"/>
      <c r="EAL2" s="103"/>
      <c r="EAM2" s="104"/>
      <c r="EAN2" s="103"/>
      <c r="EAO2" s="104"/>
      <c r="EAP2" s="103"/>
      <c r="EAQ2" s="104"/>
      <c r="EAR2" s="103"/>
      <c r="EAS2" s="104"/>
      <c r="EAT2" s="103"/>
      <c r="EAU2" s="104"/>
      <c r="EAV2" s="103"/>
      <c r="EAW2" s="104"/>
      <c r="EAX2" s="103"/>
      <c r="EAY2" s="104"/>
      <c r="EAZ2" s="103"/>
      <c r="EBA2" s="104"/>
      <c r="EBB2" s="103"/>
      <c r="EBC2" s="104"/>
      <c r="EBD2" s="103"/>
      <c r="EBE2" s="104"/>
      <c r="EBF2" s="103"/>
      <c r="EBG2" s="104"/>
      <c r="EBH2" s="103"/>
      <c r="EBI2" s="104"/>
      <c r="EBJ2" s="103"/>
      <c r="EBK2" s="104"/>
      <c r="EBL2" s="103"/>
      <c r="EBM2" s="104"/>
      <c r="EBN2" s="103"/>
      <c r="EBO2" s="104"/>
      <c r="EBP2" s="103"/>
      <c r="EBQ2" s="104"/>
      <c r="EBR2" s="103"/>
      <c r="EBS2" s="104"/>
      <c r="EBT2" s="103"/>
      <c r="EBU2" s="104"/>
      <c r="EBV2" s="103"/>
      <c r="EBW2" s="104"/>
      <c r="EBX2" s="103"/>
      <c r="EBY2" s="104"/>
      <c r="EBZ2" s="103"/>
      <c r="ECA2" s="104"/>
      <c r="ECB2" s="103"/>
      <c r="ECC2" s="104"/>
      <c r="ECD2" s="103"/>
      <c r="ECE2" s="104"/>
      <c r="ECF2" s="103"/>
      <c r="ECG2" s="104"/>
      <c r="ECH2" s="103"/>
      <c r="ECI2" s="104"/>
      <c r="ECJ2" s="103"/>
      <c r="ECK2" s="104"/>
      <c r="ECL2" s="103"/>
      <c r="ECM2" s="104"/>
      <c r="ECN2" s="103"/>
      <c r="ECO2" s="104"/>
      <c r="ECP2" s="103"/>
      <c r="ECQ2" s="104"/>
      <c r="ECR2" s="103"/>
      <c r="ECS2" s="104"/>
      <c r="ECT2" s="103"/>
      <c r="ECU2" s="104"/>
      <c r="ECV2" s="103"/>
      <c r="ECW2" s="104"/>
      <c r="ECX2" s="103"/>
      <c r="ECY2" s="104"/>
      <c r="ECZ2" s="103"/>
      <c r="EDA2" s="104"/>
      <c r="EDB2" s="103"/>
      <c r="EDC2" s="104"/>
      <c r="EDD2" s="103"/>
      <c r="EDE2" s="104"/>
      <c r="EDF2" s="103"/>
      <c r="EDG2" s="104"/>
      <c r="EDH2" s="103"/>
      <c r="EDI2" s="104"/>
      <c r="EDJ2" s="103"/>
      <c r="EDK2" s="104"/>
      <c r="EDL2" s="103"/>
      <c r="EDM2" s="104"/>
      <c r="EDN2" s="103"/>
      <c r="EDO2" s="104"/>
      <c r="EDP2" s="103"/>
      <c r="EDQ2" s="104"/>
      <c r="EDR2" s="103"/>
      <c r="EDS2" s="104"/>
      <c r="EDT2" s="103"/>
      <c r="EDU2" s="104"/>
      <c r="EDV2" s="103"/>
      <c r="EDW2" s="104"/>
      <c r="EDX2" s="103"/>
      <c r="EDY2" s="104"/>
      <c r="EDZ2" s="103"/>
      <c r="EEA2" s="104"/>
      <c r="EEB2" s="103"/>
      <c r="EEC2" s="104"/>
      <c r="EED2" s="103"/>
      <c r="EEE2" s="104"/>
      <c r="EEF2" s="103"/>
      <c r="EEG2" s="104"/>
      <c r="EEH2" s="103"/>
      <c r="EEI2" s="104"/>
      <c r="EEJ2" s="103"/>
      <c r="EEK2" s="104"/>
      <c r="EEL2" s="103"/>
      <c r="EEM2" s="104"/>
      <c r="EEN2" s="103"/>
      <c r="EEO2" s="104"/>
      <c r="EEP2" s="103"/>
      <c r="EEQ2" s="104"/>
      <c r="EER2" s="103"/>
      <c r="EES2" s="104"/>
      <c r="EET2" s="103"/>
      <c r="EEU2" s="104"/>
      <c r="EEV2" s="103"/>
      <c r="EEW2" s="104"/>
      <c r="EEX2" s="103"/>
      <c r="EEY2" s="104"/>
      <c r="EEZ2" s="103"/>
      <c r="EFA2" s="104"/>
      <c r="EFB2" s="103"/>
      <c r="EFC2" s="104"/>
      <c r="EFD2" s="103"/>
      <c r="EFE2" s="104"/>
      <c r="EFF2" s="103"/>
      <c r="EFG2" s="104"/>
      <c r="EFH2" s="103"/>
      <c r="EFI2" s="104"/>
      <c r="EFJ2" s="103"/>
      <c r="EFK2" s="104"/>
      <c r="EFL2" s="103"/>
      <c r="EFM2" s="104"/>
      <c r="EFN2" s="103"/>
      <c r="EFO2" s="104"/>
      <c r="EFP2" s="103"/>
      <c r="EFQ2" s="104"/>
      <c r="EFR2" s="103"/>
      <c r="EFS2" s="104"/>
      <c r="EFT2" s="103"/>
      <c r="EFU2" s="104"/>
      <c r="EFV2" s="103"/>
      <c r="EFW2" s="104"/>
      <c r="EFX2" s="103"/>
      <c r="EFY2" s="104"/>
      <c r="EFZ2" s="103"/>
      <c r="EGA2" s="104"/>
      <c r="EGB2" s="103"/>
      <c r="EGC2" s="104"/>
      <c r="EGD2" s="103"/>
      <c r="EGE2" s="104"/>
      <c r="EGF2" s="103"/>
      <c r="EGG2" s="104"/>
      <c r="EGH2" s="103"/>
      <c r="EGI2" s="104"/>
      <c r="EGJ2" s="103"/>
      <c r="EGK2" s="104"/>
      <c r="EGL2" s="103"/>
      <c r="EGM2" s="104"/>
      <c r="EGN2" s="103"/>
      <c r="EGO2" s="104"/>
      <c r="EGP2" s="103"/>
      <c r="EGQ2" s="104"/>
      <c r="EGR2" s="103"/>
      <c r="EGS2" s="104"/>
      <c r="EGT2" s="103"/>
      <c r="EGU2" s="104"/>
      <c r="EGV2" s="103"/>
      <c r="EGW2" s="104"/>
      <c r="EGX2" s="103"/>
      <c r="EGY2" s="104"/>
      <c r="EGZ2" s="103"/>
      <c r="EHA2" s="104"/>
      <c r="EHB2" s="103"/>
      <c r="EHC2" s="104"/>
      <c r="EHD2" s="103"/>
      <c r="EHE2" s="104"/>
      <c r="EHF2" s="103"/>
      <c r="EHG2" s="104"/>
      <c r="EHH2" s="103"/>
      <c r="EHI2" s="104"/>
      <c r="EHJ2" s="103"/>
      <c r="EHK2" s="104"/>
      <c r="EHL2" s="103"/>
      <c r="EHM2" s="104"/>
      <c r="EHN2" s="103"/>
      <c r="EHO2" s="104"/>
      <c r="EHP2" s="103"/>
      <c r="EHQ2" s="104"/>
      <c r="EHR2" s="103"/>
      <c r="EHS2" s="104"/>
      <c r="EHT2" s="103"/>
      <c r="EHU2" s="104"/>
      <c r="EHV2" s="103"/>
      <c r="EHW2" s="104"/>
      <c r="EHX2" s="103"/>
      <c r="EHY2" s="104"/>
      <c r="EHZ2" s="103"/>
      <c r="EIA2" s="104"/>
      <c r="EIB2" s="103"/>
      <c r="EIC2" s="104"/>
      <c r="EID2" s="103"/>
      <c r="EIE2" s="104"/>
      <c r="EIF2" s="103"/>
      <c r="EIG2" s="104"/>
      <c r="EIH2" s="103"/>
      <c r="EII2" s="104"/>
      <c r="EIJ2" s="103"/>
      <c r="EIK2" s="104"/>
      <c r="EIL2" s="103"/>
      <c r="EIM2" s="104"/>
      <c r="EIN2" s="103"/>
      <c r="EIO2" s="104"/>
      <c r="EIP2" s="103"/>
      <c r="EIQ2" s="104"/>
      <c r="EIR2" s="103"/>
      <c r="EIS2" s="104"/>
      <c r="EIT2" s="103"/>
      <c r="EIU2" s="104"/>
      <c r="EIV2" s="103"/>
      <c r="EIW2" s="104"/>
      <c r="EIX2" s="103"/>
      <c r="EIY2" s="104"/>
      <c r="EIZ2" s="103"/>
      <c r="EJA2" s="104"/>
      <c r="EJB2" s="103"/>
      <c r="EJC2" s="104"/>
      <c r="EJD2" s="103"/>
      <c r="EJE2" s="104"/>
      <c r="EJF2" s="103"/>
      <c r="EJG2" s="104"/>
      <c r="EJH2" s="103"/>
      <c r="EJI2" s="104"/>
      <c r="EJJ2" s="103"/>
      <c r="EJK2" s="104"/>
      <c r="EJL2" s="103"/>
      <c r="EJM2" s="104"/>
      <c r="EJN2" s="103"/>
      <c r="EJO2" s="104"/>
      <c r="EJP2" s="103"/>
      <c r="EJQ2" s="104"/>
      <c r="EJR2" s="103"/>
      <c r="EJS2" s="104"/>
      <c r="EJT2" s="103"/>
      <c r="EJU2" s="104"/>
      <c r="EJV2" s="103"/>
      <c r="EJW2" s="104"/>
      <c r="EJX2" s="103"/>
      <c r="EJY2" s="104"/>
      <c r="EJZ2" s="103"/>
      <c r="EKA2" s="104"/>
      <c r="EKB2" s="103"/>
      <c r="EKC2" s="104"/>
      <c r="EKD2" s="103"/>
      <c r="EKE2" s="104"/>
      <c r="EKF2" s="103"/>
      <c r="EKG2" s="104"/>
      <c r="EKH2" s="103"/>
      <c r="EKI2" s="104"/>
      <c r="EKJ2" s="103"/>
      <c r="EKK2" s="104"/>
      <c r="EKL2" s="103"/>
      <c r="EKM2" s="104"/>
      <c r="EKN2" s="103"/>
      <c r="EKO2" s="104"/>
      <c r="EKP2" s="103"/>
      <c r="EKQ2" s="104"/>
      <c r="EKR2" s="103"/>
      <c r="EKS2" s="104"/>
      <c r="EKT2" s="103"/>
      <c r="EKU2" s="104"/>
      <c r="EKV2" s="103"/>
      <c r="EKW2" s="104"/>
      <c r="EKX2" s="103"/>
      <c r="EKY2" s="104"/>
      <c r="EKZ2" s="103"/>
      <c r="ELA2" s="104"/>
      <c r="ELB2" s="103"/>
      <c r="ELC2" s="104"/>
      <c r="ELD2" s="103"/>
      <c r="ELE2" s="104"/>
      <c r="ELF2" s="103"/>
      <c r="ELG2" s="104"/>
      <c r="ELH2" s="103"/>
      <c r="ELI2" s="104"/>
      <c r="ELJ2" s="103"/>
      <c r="ELK2" s="104"/>
      <c r="ELL2" s="103"/>
      <c r="ELM2" s="104"/>
      <c r="ELN2" s="103"/>
      <c r="ELO2" s="104"/>
      <c r="ELP2" s="103"/>
      <c r="ELQ2" s="104"/>
      <c r="ELR2" s="103"/>
      <c r="ELS2" s="104"/>
      <c r="ELT2" s="103"/>
      <c r="ELU2" s="104"/>
      <c r="ELV2" s="103"/>
      <c r="ELW2" s="104"/>
      <c r="ELX2" s="103"/>
      <c r="ELY2" s="104"/>
      <c r="ELZ2" s="103"/>
      <c r="EMA2" s="104"/>
      <c r="EMB2" s="103"/>
      <c r="EMC2" s="104"/>
      <c r="EMD2" s="103"/>
      <c r="EME2" s="104"/>
      <c r="EMF2" s="103"/>
      <c r="EMG2" s="104"/>
      <c r="EMH2" s="103"/>
      <c r="EMI2" s="104"/>
      <c r="EMJ2" s="103"/>
      <c r="EMK2" s="104"/>
      <c r="EML2" s="103"/>
      <c r="EMM2" s="104"/>
      <c r="EMN2" s="103"/>
      <c r="EMO2" s="104"/>
      <c r="EMP2" s="103"/>
      <c r="EMQ2" s="104"/>
      <c r="EMR2" s="103"/>
      <c r="EMS2" s="104"/>
      <c r="EMT2" s="103"/>
      <c r="EMU2" s="104"/>
      <c r="EMV2" s="103"/>
      <c r="EMW2" s="104"/>
      <c r="EMX2" s="103"/>
      <c r="EMY2" s="104"/>
      <c r="EMZ2" s="103"/>
      <c r="ENA2" s="104"/>
      <c r="ENB2" s="103"/>
      <c r="ENC2" s="104"/>
      <c r="END2" s="103"/>
      <c r="ENE2" s="104"/>
      <c r="ENF2" s="103"/>
      <c r="ENG2" s="104"/>
      <c r="ENH2" s="103"/>
      <c r="ENI2" s="104"/>
      <c r="ENJ2" s="103"/>
      <c r="ENK2" s="104"/>
      <c r="ENL2" s="103"/>
      <c r="ENM2" s="104"/>
      <c r="ENN2" s="103"/>
      <c r="ENO2" s="104"/>
      <c r="ENP2" s="103"/>
      <c r="ENQ2" s="104"/>
      <c r="ENR2" s="103"/>
      <c r="ENS2" s="104"/>
      <c r="ENT2" s="103"/>
      <c r="ENU2" s="104"/>
      <c r="ENV2" s="103"/>
      <c r="ENW2" s="104"/>
      <c r="ENX2" s="103"/>
      <c r="ENY2" s="104"/>
      <c r="ENZ2" s="103"/>
      <c r="EOA2" s="104"/>
      <c r="EOB2" s="103"/>
      <c r="EOC2" s="104"/>
      <c r="EOD2" s="103"/>
      <c r="EOE2" s="104"/>
      <c r="EOF2" s="103"/>
      <c r="EOG2" s="104"/>
      <c r="EOH2" s="103"/>
      <c r="EOI2" s="104"/>
      <c r="EOJ2" s="103"/>
      <c r="EOK2" s="104"/>
      <c r="EOL2" s="103"/>
      <c r="EOM2" s="104"/>
      <c r="EON2" s="103"/>
      <c r="EOO2" s="104"/>
      <c r="EOP2" s="103"/>
      <c r="EOQ2" s="104"/>
      <c r="EOR2" s="103"/>
      <c r="EOS2" s="104"/>
      <c r="EOT2" s="103"/>
      <c r="EOU2" s="104"/>
      <c r="EOV2" s="103"/>
      <c r="EOW2" s="104"/>
      <c r="EOX2" s="103"/>
      <c r="EOY2" s="104"/>
      <c r="EOZ2" s="103"/>
      <c r="EPA2" s="104"/>
      <c r="EPB2" s="103"/>
      <c r="EPC2" s="104"/>
      <c r="EPD2" s="103"/>
      <c r="EPE2" s="104"/>
      <c r="EPF2" s="103"/>
      <c r="EPG2" s="104"/>
      <c r="EPH2" s="103"/>
      <c r="EPI2" s="104"/>
      <c r="EPJ2" s="103"/>
      <c r="EPK2" s="104"/>
      <c r="EPL2" s="103"/>
      <c r="EPM2" s="104"/>
      <c r="EPN2" s="103"/>
      <c r="EPO2" s="104"/>
      <c r="EPP2" s="103"/>
      <c r="EPQ2" s="104"/>
      <c r="EPR2" s="103"/>
      <c r="EPS2" s="104"/>
      <c r="EPT2" s="103"/>
      <c r="EPU2" s="104"/>
      <c r="EPV2" s="103"/>
      <c r="EPW2" s="104"/>
      <c r="EPX2" s="103"/>
      <c r="EPY2" s="104"/>
      <c r="EPZ2" s="103"/>
      <c r="EQA2" s="104"/>
      <c r="EQB2" s="103"/>
      <c r="EQC2" s="104"/>
      <c r="EQD2" s="103"/>
      <c r="EQE2" s="104"/>
      <c r="EQF2" s="103"/>
      <c r="EQG2" s="104"/>
      <c r="EQH2" s="103"/>
      <c r="EQI2" s="104"/>
      <c r="EQJ2" s="103"/>
      <c r="EQK2" s="104"/>
      <c r="EQL2" s="103"/>
      <c r="EQM2" s="104"/>
      <c r="EQN2" s="103"/>
      <c r="EQO2" s="104"/>
      <c r="EQP2" s="103"/>
      <c r="EQQ2" s="104"/>
      <c r="EQR2" s="103"/>
      <c r="EQS2" s="104"/>
      <c r="EQT2" s="103"/>
      <c r="EQU2" s="104"/>
      <c r="EQV2" s="103"/>
      <c r="EQW2" s="104"/>
      <c r="EQX2" s="103"/>
      <c r="EQY2" s="104"/>
      <c r="EQZ2" s="103"/>
      <c r="ERA2" s="104"/>
      <c r="ERB2" s="103"/>
      <c r="ERC2" s="104"/>
      <c r="ERD2" s="103"/>
      <c r="ERE2" s="104"/>
      <c r="ERF2" s="103"/>
      <c r="ERG2" s="104"/>
      <c r="ERH2" s="103"/>
      <c r="ERI2" s="104"/>
      <c r="ERJ2" s="103"/>
      <c r="ERK2" s="104"/>
      <c r="ERL2" s="103"/>
      <c r="ERM2" s="104"/>
      <c r="ERN2" s="103"/>
      <c r="ERO2" s="104"/>
      <c r="ERP2" s="103"/>
      <c r="ERQ2" s="104"/>
      <c r="ERR2" s="103"/>
      <c r="ERS2" s="104"/>
      <c r="ERT2" s="103"/>
      <c r="ERU2" s="104"/>
      <c r="ERV2" s="103"/>
      <c r="ERW2" s="104"/>
      <c r="ERX2" s="103"/>
      <c r="ERY2" s="104"/>
      <c r="ERZ2" s="103"/>
      <c r="ESA2" s="104"/>
      <c r="ESB2" s="103"/>
      <c r="ESC2" s="104"/>
      <c r="ESD2" s="103"/>
      <c r="ESE2" s="104"/>
      <c r="ESF2" s="103"/>
      <c r="ESG2" s="104"/>
      <c r="ESH2" s="103"/>
      <c r="ESI2" s="104"/>
      <c r="ESJ2" s="103"/>
      <c r="ESK2" s="104"/>
      <c r="ESL2" s="103"/>
      <c r="ESM2" s="104"/>
      <c r="ESN2" s="103"/>
      <c r="ESO2" s="104"/>
      <c r="ESP2" s="103"/>
      <c r="ESQ2" s="104"/>
      <c r="ESR2" s="103"/>
      <c r="ESS2" s="104"/>
      <c r="EST2" s="103"/>
      <c r="ESU2" s="104"/>
      <c r="ESV2" s="103"/>
      <c r="ESW2" s="104"/>
      <c r="ESX2" s="103"/>
      <c r="ESY2" s="104"/>
      <c r="ESZ2" s="103"/>
      <c r="ETA2" s="104"/>
      <c r="ETB2" s="103"/>
      <c r="ETC2" s="104"/>
      <c r="ETD2" s="103"/>
      <c r="ETE2" s="104"/>
      <c r="ETF2" s="103"/>
      <c r="ETG2" s="104"/>
      <c r="ETH2" s="103"/>
      <c r="ETI2" s="104"/>
      <c r="ETJ2" s="103"/>
      <c r="ETK2" s="104"/>
      <c r="ETL2" s="103"/>
      <c r="ETM2" s="104"/>
      <c r="ETN2" s="103"/>
      <c r="ETO2" s="104"/>
      <c r="ETP2" s="103"/>
      <c r="ETQ2" s="104"/>
      <c r="ETR2" s="103"/>
      <c r="ETS2" s="104"/>
      <c r="ETT2" s="103"/>
      <c r="ETU2" s="104"/>
      <c r="ETV2" s="103"/>
      <c r="ETW2" s="104"/>
      <c r="ETX2" s="103"/>
      <c r="ETY2" s="104"/>
      <c r="ETZ2" s="103"/>
      <c r="EUA2" s="104"/>
      <c r="EUB2" s="103"/>
      <c r="EUC2" s="104"/>
      <c r="EUD2" s="103"/>
      <c r="EUE2" s="104"/>
      <c r="EUF2" s="103"/>
      <c r="EUG2" s="104"/>
      <c r="EUH2" s="103"/>
      <c r="EUI2" s="104"/>
      <c r="EUJ2" s="103"/>
      <c r="EUK2" s="104"/>
      <c r="EUL2" s="103"/>
      <c r="EUM2" s="104"/>
      <c r="EUN2" s="103"/>
      <c r="EUO2" s="104"/>
      <c r="EUP2" s="103"/>
      <c r="EUQ2" s="104"/>
      <c r="EUR2" s="103"/>
      <c r="EUS2" s="104"/>
      <c r="EUT2" s="103"/>
      <c r="EUU2" s="104"/>
      <c r="EUV2" s="103"/>
      <c r="EUW2" s="104"/>
      <c r="EUX2" s="103"/>
      <c r="EUY2" s="104"/>
      <c r="EUZ2" s="103"/>
      <c r="EVA2" s="104"/>
      <c r="EVB2" s="103"/>
      <c r="EVC2" s="104"/>
      <c r="EVD2" s="103"/>
      <c r="EVE2" s="104"/>
      <c r="EVF2" s="103"/>
      <c r="EVG2" s="104"/>
      <c r="EVH2" s="103"/>
      <c r="EVI2" s="104"/>
      <c r="EVJ2" s="103"/>
      <c r="EVK2" s="104"/>
      <c r="EVL2" s="103"/>
      <c r="EVM2" s="104"/>
      <c r="EVN2" s="103"/>
      <c r="EVO2" s="104"/>
      <c r="EVP2" s="103"/>
      <c r="EVQ2" s="104"/>
      <c r="EVR2" s="103"/>
      <c r="EVS2" s="104"/>
      <c r="EVT2" s="103"/>
      <c r="EVU2" s="104"/>
      <c r="EVV2" s="103"/>
      <c r="EVW2" s="104"/>
      <c r="EVX2" s="103"/>
      <c r="EVY2" s="104"/>
      <c r="EVZ2" s="103"/>
      <c r="EWA2" s="104"/>
      <c r="EWB2" s="103"/>
      <c r="EWC2" s="104"/>
      <c r="EWD2" s="103"/>
      <c r="EWE2" s="104"/>
      <c r="EWF2" s="103"/>
      <c r="EWG2" s="104"/>
      <c r="EWH2" s="103"/>
      <c r="EWI2" s="104"/>
      <c r="EWJ2" s="103"/>
      <c r="EWK2" s="104"/>
      <c r="EWL2" s="103"/>
      <c r="EWM2" s="104"/>
      <c r="EWN2" s="103"/>
      <c r="EWO2" s="104"/>
      <c r="EWP2" s="103"/>
      <c r="EWQ2" s="104"/>
      <c r="EWR2" s="103"/>
      <c r="EWS2" s="104"/>
      <c r="EWT2" s="103"/>
      <c r="EWU2" s="104"/>
      <c r="EWV2" s="103"/>
      <c r="EWW2" s="104"/>
      <c r="EWX2" s="103"/>
      <c r="EWY2" s="104"/>
      <c r="EWZ2" s="103"/>
      <c r="EXA2" s="104"/>
      <c r="EXB2" s="103"/>
      <c r="EXC2" s="104"/>
      <c r="EXD2" s="103"/>
      <c r="EXE2" s="104"/>
      <c r="EXF2" s="103"/>
      <c r="EXG2" s="104"/>
      <c r="EXH2" s="103"/>
      <c r="EXI2" s="104"/>
      <c r="EXJ2" s="103"/>
      <c r="EXK2" s="104"/>
      <c r="EXL2" s="103"/>
      <c r="EXM2" s="104"/>
      <c r="EXN2" s="103"/>
      <c r="EXO2" s="104"/>
      <c r="EXP2" s="103"/>
      <c r="EXQ2" s="104"/>
      <c r="EXR2" s="103"/>
      <c r="EXS2" s="104"/>
      <c r="EXT2" s="103"/>
      <c r="EXU2" s="104"/>
      <c r="EXV2" s="103"/>
      <c r="EXW2" s="104"/>
      <c r="EXX2" s="103"/>
      <c r="EXY2" s="104"/>
      <c r="EXZ2" s="103"/>
      <c r="EYA2" s="104"/>
      <c r="EYB2" s="103"/>
      <c r="EYC2" s="104"/>
      <c r="EYD2" s="103"/>
      <c r="EYE2" s="104"/>
      <c r="EYF2" s="103"/>
      <c r="EYG2" s="104"/>
      <c r="EYH2" s="103"/>
      <c r="EYI2" s="104"/>
      <c r="EYJ2" s="103"/>
      <c r="EYK2" s="104"/>
      <c r="EYL2" s="103"/>
      <c r="EYM2" s="104"/>
      <c r="EYN2" s="103"/>
      <c r="EYO2" s="104"/>
      <c r="EYP2" s="103"/>
      <c r="EYQ2" s="104"/>
      <c r="EYR2" s="103"/>
      <c r="EYS2" s="104"/>
      <c r="EYT2" s="103"/>
      <c r="EYU2" s="104"/>
      <c r="EYV2" s="103"/>
      <c r="EYW2" s="104"/>
      <c r="EYX2" s="103"/>
      <c r="EYY2" s="104"/>
      <c r="EYZ2" s="103"/>
      <c r="EZA2" s="104"/>
      <c r="EZB2" s="103"/>
      <c r="EZC2" s="104"/>
      <c r="EZD2" s="103"/>
      <c r="EZE2" s="104"/>
      <c r="EZF2" s="103"/>
      <c r="EZG2" s="104"/>
      <c r="EZH2" s="103"/>
      <c r="EZI2" s="104"/>
      <c r="EZJ2" s="103"/>
      <c r="EZK2" s="104"/>
      <c r="EZL2" s="103"/>
      <c r="EZM2" s="104"/>
      <c r="EZN2" s="103"/>
      <c r="EZO2" s="104"/>
      <c r="EZP2" s="103"/>
      <c r="EZQ2" s="104"/>
      <c r="EZR2" s="103"/>
      <c r="EZS2" s="104"/>
      <c r="EZT2" s="103"/>
      <c r="EZU2" s="104"/>
      <c r="EZV2" s="103"/>
      <c r="EZW2" s="104"/>
      <c r="EZX2" s="103"/>
      <c r="EZY2" s="104"/>
      <c r="EZZ2" s="103"/>
      <c r="FAA2" s="104"/>
      <c r="FAB2" s="103"/>
      <c r="FAC2" s="104"/>
      <c r="FAD2" s="103"/>
      <c r="FAE2" s="104"/>
      <c r="FAF2" s="103"/>
      <c r="FAG2" s="104"/>
      <c r="FAH2" s="103"/>
      <c r="FAI2" s="104"/>
      <c r="FAJ2" s="103"/>
      <c r="FAK2" s="104"/>
      <c r="FAL2" s="103"/>
      <c r="FAM2" s="104"/>
      <c r="FAN2" s="103"/>
      <c r="FAO2" s="104"/>
      <c r="FAP2" s="103"/>
      <c r="FAQ2" s="104"/>
      <c r="FAR2" s="103"/>
      <c r="FAS2" s="104"/>
      <c r="FAT2" s="103"/>
      <c r="FAU2" s="104"/>
      <c r="FAV2" s="103"/>
      <c r="FAW2" s="104"/>
      <c r="FAX2" s="103"/>
      <c r="FAY2" s="104"/>
      <c r="FAZ2" s="103"/>
      <c r="FBA2" s="104"/>
      <c r="FBB2" s="103"/>
      <c r="FBC2" s="104"/>
      <c r="FBD2" s="103"/>
      <c r="FBE2" s="104"/>
      <c r="FBF2" s="103"/>
      <c r="FBG2" s="104"/>
      <c r="FBH2" s="103"/>
      <c r="FBI2" s="104"/>
      <c r="FBJ2" s="103"/>
      <c r="FBK2" s="104"/>
      <c r="FBL2" s="103"/>
      <c r="FBM2" s="104"/>
      <c r="FBN2" s="103"/>
      <c r="FBO2" s="104"/>
      <c r="FBP2" s="103"/>
      <c r="FBQ2" s="104"/>
      <c r="FBR2" s="103"/>
      <c r="FBS2" s="104"/>
      <c r="FBT2" s="103"/>
      <c r="FBU2" s="104"/>
      <c r="FBV2" s="103"/>
      <c r="FBW2" s="104"/>
      <c r="FBX2" s="103"/>
      <c r="FBY2" s="104"/>
      <c r="FBZ2" s="103"/>
      <c r="FCA2" s="104"/>
      <c r="FCB2" s="103"/>
      <c r="FCC2" s="104"/>
      <c r="FCD2" s="103"/>
      <c r="FCE2" s="104"/>
      <c r="FCF2" s="103"/>
      <c r="FCG2" s="104"/>
      <c r="FCH2" s="103"/>
      <c r="FCI2" s="104"/>
      <c r="FCJ2" s="103"/>
      <c r="FCK2" s="104"/>
      <c r="FCL2" s="103"/>
      <c r="FCM2" s="104"/>
      <c r="FCN2" s="103"/>
      <c r="FCO2" s="104"/>
      <c r="FCP2" s="103"/>
      <c r="FCQ2" s="104"/>
      <c r="FCR2" s="103"/>
      <c r="FCS2" s="104"/>
      <c r="FCT2" s="103"/>
      <c r="FCU2" s="104"/>
      <c r="FCV2" s="103"/>
      <c r="FCW2" s="104"/>
      <c r="FCX2" s="103"/>
      <c r="FCY2" s="104"/>
      <c r="FCZ2" s="103"/>
      <c r="FDA2" s="104"/>
      <c r="FDB2" s="103"/>
      <c r="FDC2" s="104"/>
      <c r="FDD2" s="103"/>
      <c r="FDE2" s="104"/>
      <c r="FDF2" s="103"/>
      <c r="FDG2" s="104"/>
      <c r="FDH2" s="103"/>
      <c r="FDI2" s="104"/>
      <c r="FDJ2" s="103"/>
      <c r="FDK2" s="104"/>
      <c r="FDL2" s="103"/>
      <c r="FDM2" s="104"/>
      <c r="FDN2" s="103"/>
      <c r="FDO2" s="104"/>
      <c r="FDP2" s="103"/>
      <c r="FDQ2" s="104"/>
      <c r="FDR2" s="103"/>
      <c r="FDS2" s="104"/>
      <c r="FDT2" s="103"/>
      <c r="FDU2" s="104"/>
      <c r="FDV2" s="103"/>
      <c r="FDW2" s="104"/>
      <c r="FDX2" s="103"/>
      <c r="FDY2" s="104"/>
      <c r="FDZ2" s="103"/>
      <c r="FEA2" s="104"/>
      <c r="FEB2" s="103"/>
      <c r="FEC2" s="104"/>
      <c r="FED2" s="103"/>
      <c r="FEE2" s="104"/>
      <c r="FEF2" s="103"/>
      <c r="FEG2" s="104"/>
      <c r="FEH2" s="103"/>
      <c r="FEI2" s="104"/>
      <c r="FEJ2" s="103"/>
      <c r="FEK2" s="104"/>
      <c r="FEL2" s="103"/>
      <c r="FEM2" s="104"/>
      <c r="FEN2" s="103"/>
      <c r="FEO2" s="104"/>
      <c r="FEP2" s="103"/>
      <c r="FEQ2" s="104"/>
      <c r="FER2" s="103"/>
      <c r="FES2" s="104"/>
      <c r="FET2" s="103"/>
      <c r="FEU2" s="104"/>
      <c r="FEV2" s="103"/>
      <c r="FEW2" s="104"/>
      <c r="FEX2" s="103"/>
      <c r="FEY2" s="104"/>
      <c r="FEZ2" s="103"/>
      <c r="FFA2" s="104"/>
      <c r="FFB2" s="103"/>
      <c r="FFC2" s="104"/>
      <c r="FFD2" s="103"/>
      <c r="FFE2" s="104"/>
      <c r="FFF2" s="103"/>
      <c r="FFG2" s="104"/>
      <c r="FFH2" s="103"/>
      <c r="FFI2" s="104"/>
      <c r="FFJ2" s="103"/>
      <c r="FFK2" s="104"/>
      <c r="FFL2" s="103"/>
      <c r="FFM2" s="104"/>
      <c r="FFN2" s="103"/>
      <c r="FFO2" s="104"/>
      <c r="FFP2" s="103"/>
      <c r="FFQ2" s="104"/>
      <c r="FFR2" s="103"/>
      <c r="FFS2" s="104"/>
      <c r="FFT2" s="103"/>
      <c r="FFU2" s="104"/>
      <c r="FFV2" s="103"/>
      <c r="FFW2" s="104"/>
      <c r="FFX2" s="103"/>
      <c r="FFY2" s="104"/>
      <c r="FFZ2" s="103"/>
      <c r="FGA2" s="104"/>
      <c r="FGB2" s="103"/>
      <c r="FGC2" s="104"/>
      <c r="FGD2" s="103"/>
      <c r="FGE2" s="104"/>
      <c r="FGF2" s="103"/>
      <c r="FGG2" s="104"/>
      <c r="FGH2" s="103"/>
      <c r="FGI2" s="104"/>
      <c r="FGJ2" s="103"/>
      <c r="FGK2" s="104"/>
      <c r="FGL2" s="103"/>
      <c r="FGM2" s="104"/>
      <c r="FGN2" s="103"/>
      <c r="FGO2" s="104"/>
      <c r="FGP2" s="103"/>
      <c r="FGQ2" s="104"/>
      <c r="FGR2" s="103"/>
      <c r="FGS2" s="104"/>
      <c r="FGT2" s="103"/>
      <c r="FGU2" s="104"/>
      <c r="FGV2" s="103"/>
      <c r="FGW2" s="104"/>
      <c r="FGX2" s="103"/>
      <c r="FGY2" s="104"/>
      <c r="FGZ2" s="103"/>
      <c r="FHA2" s="104"/>
      <c r="FHB2" s="103"/>
      <c r="FHC2" s="104"/>
      <c r="FHD2" s="103"/>
      <c r="FHE2" s="104"/>
      <c r="FHF2" s="103"/>
      <c r="FHG2" s="104"/>
      <c r="FHH2" s="103"/>
      <c r="FHI2" s="104"/>
      <c r="FHJ2" s="103"/>
      <c r="FHK2" s="104"/>
      <c r="FHL2" s="103"/>
      <c r="FHM2" s="104"/>
      <c r="FHN2" s="103"/>
      <c r="FHO2" s="104"/>
      <c r="FHP2" s="103"/>
      <c r="FHQ2" s="104"/>
      <c r="FHR2" s="103"/>
      <c r="FHS2" s="104"/>
      <c r="FHT2" s="103"/>
      <c r="FHU2" s="104"/>
      <c r="FHV2" s="103"/>
      <c r="FHW2" s="104"/>
      <c r="FHX2" s="103"/>
      <c r="FHY2" s="104"/>
      <c r="FHZ2" s="103"/>
      <c r="FIA2" s="104"/>
      <c r="FIB2" s="103"/>
      <c r="FIC2" s="104"/>
      <c r="FID2" s="103"/>
      <c r="FIE2" s="104"/>
      <c r="FIF2" s="103"/>
      <c r="FIG2" s="104"/>
      <c r="FIH2" s="103"/>
      <c r="FII2" s="104"/>
      <c r="FIJ2" s="103"/>
      <c r="FIK2" s="104"/>
      <c r="FIL2" s="103"/>
      <c r="FIM2" s="104"/>
      <c r="FIN2" s="103"/>
      <c r="FIO2" s="104"/>
      <c r="FIP2" s="103"/>
      <c r="FIQ2" s="104"/>
      <c r="FIR2" s="103"/>
      <c r="FIS2" s="104"/>
      <c r="FIT2" s="103"/>
      <c r="FIU2" s="104"/>
      <c r="FIV2" s="103"/>
      <c r="FIW2" s="104"/>
      <c r="FIX2" s="103"/>
      <c r="FIY2" s="104"/>
      <c r="FIZ2" s="103"/>
      <c r="FJA2" s="104"/>
      <c r="FJB2" s="103"/>
      <c r="FJC2" s="104"/>
      <c r="FJD2" s="103"/>
      <c r="FJE2" s="104"/>
      <c r="FJF2" s="103"/>
      <c r="FJG2" s="104"/>
      <c r="FJH2" s="103"/>
      <c r="FJI2" s="104"/>
      <c r="FJJ2" s="103"/>
      <c r="FJK2" s="104"/>
      <c r="FJL2" s="103"/>
      <c r="FJM2" s="104"/>
      <c r="FJN2" s="103"/>
      <c r="FJO2" s="104"/>
      <c r="FJP2" s="103"/>
      <c r="FJQ2" s="104"/>
      <c r="FJR2" s="103"/>
      <c r="FJS2" s="104"/>
      <c r="FJT2" s="103"/>
      <c r="FJU2" s="104"/>
      <c r="FJV2" s="103"/>
      <c r="FJW2" s="104"/>
      <c r="FJX2" s="103"/>
      <c r="FJY2" s="104"/>
      <c r="FJZ2" s="103"/>
      <c r="FKA2" s="104"/>
      <c r="FKB2" s="103"/>
      <c r="FKC2" s="104"/>
      <c r="FKD2" s="103"/>
      <c r="FKE2" s="104"/>
      <c r="FKF2" s="103"/>
      <c r="FKG2" s="104"/>
      <c r="FKH2" s="103"/>
      <c r="FKI2" s="104"/>
      <c r="FKJ2" s="103"/>
      <c r="FKK2" s="104"/>
      <c r="FKL2" s="103"/>
      <c r="FKM2" s="104"/>
      <c r="FKN2" s="103"/>
      <c r="FKO2" s="104"/>
      <c r="FKP2" s="103"/>
      <c r="FKQ2" s="104"/>
      <c r="FKR2" s="103"/>
      <c r="FKS2" s="104"/>
      <c r="FKT2" s="103"/>
      <c r="FKU2" s="104"/>
      <c r="FKV2" s="103"/>
      <c r="FKW2" s="104"/>
      <c r="FKX2" s="103"/>
      <c r="FKY2" s="104"/>
      <c r="FKZ2" s="103"/>
      <c r="FLA2" s="104"/>
      <c r="FLB2" s="103"/>
      <c r="FLC2" s="104"/>
      <c r="FLD2" s="103"/>
      <c r="FLE2" s="104"/>
      <c r="FLF2" s="103"/>
      <c r="FLG2" s="104"/>
      <c r="FLH2" s="103"/>
      <c r="FLI2" s="104"/>
      <c r="FLJ2" s="103"/>
      <c r="FLK2" s="104"/>
      <c r="FLL2" s="103"/>
      <c r="FLM2" s="104"/>
      <c r="FLN2" s="103"/>
      <c r="FLO2" s="104"/>
      <c r="FLP2" s="103"/>
      <c r="FLQ2" s="104"/>
      <c r="FLR2" s="103"/>
      <c r="FLS2" s="104"/>
      <c r="FLT2" s="103"/>
      <c r="FLU2" s="104"/>
      <c r="FLV2" s="103"/>
      <c r="FLW2" s="104"/>
      <c r="FLX2" s="103"/>
      <c r="FLY2" s="104"/>
      <c r="FLZ2" s="103"/>
      <c r="FMA2" s="104"/>
      <c r="FMB2" s="103"/>
      <c r="FMC2" s="104"/>
      <c r="FMD2" s="103"/>
      <c r="FME2" s="104"/>
      <c r="FMF2" s="103"/>
      <c r="FMG2" s="104"/>
      <c r="FMH2" s="103"/>
      <c r="FMI2" s="104"/>
      <c r="FMJ2" s="103"/>
      <c r="FMK2" s="104"/>
      <c r="FML2" s="103"/>
      <c r="FMM2" s="104"/>
      <c r="FMN2" s="103"/>
      <c r="FMO2" s="104"/>
      <c r="FMP2" s="103"/>
      <c r="FMQ2" s="104"/>
      <c r="FMR2" s="103"/>
      <c r="FMS2" s="104"/>
      <c r="FMT2" s="103"/>
      <c r="FMU2" s="104"/>
      <c r="FMV2" s="103"/>
      <c r="FMW2" s="104"/>
      <c r="FMX2" s="103"/>
      <c r="FMY2" s="104"/>
      <c r="FMZ2" s="103"/>
      <c r="FNA2" s="104"/>
      <c r="FNB2" s="103"/>
      <c r="FNC2" s="104"/>
      <c r="FND2" s="103"/>
      <c r="FNE2" s="104"/>
      <c r="FNF2" s="103"/>
      <c r="FNG2" s="104"/>
      <c r="FNH2" s="103"/>
      <c r="FNI2" s="104"/>
      <c r="FNJ2" s="103"/>
      <c r="FNK2" s="104"/>
      <c r="FNL2" s="103"/>
      <c r="FNM2" s="104"/>
      <c r="FNN2" s="103"/>
      <c r="FNO2" s="104"/>
      <c r="FNP2" s="103"/>
      <c r="FNQ2" s="104"/>
      <c r="FNR2" s="103"/>
      <c r="FNS2" s="104"/>
      <c r="FNT2" s="103"/>
      <c r="FNU2" s="104"/>
      <c r="FNV2" s="103"/>
      <c r="FNW2" s="104"/>
      <c r="FNX2" s="103"/>
      <c r="FNY2" s="104"/>
      <c r="FNZ2" s="103"/>
      <c r="FOA2" s="104"/>
      <c r="FOB2" s="103"/>
      <c r="FOC2" s="104"/>
      <c r="FOD2" s="103"/>
      <c r="FOE2" s="104"/>
      <c r="FOF2" s="103"/>
      <c r="FOG2" s="104"/>
      <c r="FOH2" s="103"/>
      <c r="FOI2" s="104"/>
      <c r="FOJ2" s="103"/>
      <c r="FOK2" s="104"/>
      <c r="FOL2" s="103"/>
      <c r="FOM2" s="104"/>
      <c r="FON2" s="103"/>
      <c r="FOO2" s="104"/>
      <c r="FOP2" s="103"/>
      <c r="FOQ2" s="104"/>
      <c r="FOR2" s="103"/>
      <c r="FOS2" s="104"/>
      <c r="FOT2" s="103"/>
      <c r="FOU2" s="104"/>
      <c r="FOV2" s="103"/>
      <c r="FOW2" s="104"/>
      <c r="FOX2" s="103"/>
      <c r="FOY2" s="104"/>
      <c r="FOZ2" s="103"/>
      <c r="FPA2" s="104"/>
      <c r="FPB2" s="103"/>
      <c r="FPC2" s="104"/>
      <c r="FPD2" s="103"/>
      <c r="FPE2" s="104"/>
      <c r="FPF2" s="103"/>
      <c r="FPG2" s="104"/>
      <c r="FPH2" s="103"/>
      <c r="FPI2" s="104"/>
      <c r="FPJ2" s="103"/>
      <c r="FPK2" s="104"/>
      <c r="FPL2" s="103"/>
      <c r="FPM2" s="104"/>
      <c r="FPN2" s="103"/>
      <c r="FPO2" s="104"/>
      <c r="FPP2" s="103"/>
      <c r="FPQ2" s="104"/>
      <c r="FPR2" s="103"/>
      <c r="FPS2" s="104"/>
      <c r="FPT2" s="103"/>
      <c r="FPU2" s="104"/>
      <c r="FPV2" s="103"/>
      <c r="FPW2" s="104"/>
      <c r="FPX2" s="103"/>
      <c r="FPY2" s="104"/>
      <c r="FPZ2" s="103"/>
      <c r="FQA2" s="104"/>
      <c r="FQB2" s="103"/>
      <c r="FQC2" s="104"/>
      <c r="FQD2" s="103"/>
      <c r="FQE2" s="104"/>
      <c r="FQF2" s="103"/>
      <c r="FQG2" s="104"/>
      <c r="FQH2" s="103"/>
      <c r="FQI2" s="104"/>
      <c r="FQJ2" s="103"/>
      <c r="FQK2" s="104"/>
      <c r="FQL2" s="103"/>
      <c r="FQM2" s="104"/>
      <c r="FQN2" s="103"/>
      <c r="FQO2" s="104"/>
      <c r="FQP2" s="103"/>
      <c r="FQQ2" s="104"/>
      <c r="FQR2" s="103"/>
      <c r="FQS2" s="104"/>
      <c r="FQT2" s="103"/>
      <c r="FQU2" s="104"/>
      <c r="FQV2" s="103"/>
      <c r="FQW2" s="104"/>
      <c r="FQX2" s="103"/>
      <c r="FQY2" s="104"/>
      <c r="FQZ2" s="103"/>
      <c r="FRA2" s="104"/>
      <c r="FRB2" s="103"/>
      <c r="FRC2" s="104"/>
      <c r="FRD2" s="103"/>
      <c r="FRE2" s="104"/>
      <c r="FRF2" s="103"/>
      <c r="FRG2" s="104"/>
      <c r="FRH2" s="103"/>
      <c r="FRI2" s="104"/>
      <c r="FRJ2" s="103"/>
      <c r="FRK2" s="104"/>
      <c r="FRL2" s="103"/>
      <c r="FRM2" s="104"/>
      <c r="FRN2" s="103"/>
      <c r="FRO2" s="104"/>
      <c r="FRP2" s="103"/>
      <c r="FRQ2" s="104"/>
      <c r="FRR2" s="103"/>
      <c r="FRS2" s="104"/>
      <c r="FRT2" s="103"/>
      <c r="FRU2" s="104"/>
      <c r="FRV2" s="103"/>
      <c r="FRW2" s="104"/>
      <c r="FRX2" s="103"/>
      <c r="FRY2" s="104"/>
      <c r="FRZ2" s="103"/>
      <c r="FSA2" s="104"/>
      <c r="FSB2" s="103"/>
      <c r="FSC2" s="104"/>
      <c r="FSD2" s="103"/>
      <c r="FSE2" s="104"/>
      <c r="FSF2" s="103"/>
      <c r="FSG2" s="104"/>
      <c r="FSH2" s="103"/>
      <c r="FSI2" s="104"/>
      <c r="FSJ2" s="103"/>
      <c r="FSK2" s="104"/>
      <c r="FSL2" s="103"/>
      <c r="FSM2" s="104"/>
      <c r="FSN2" s="103"/>
      <c r="FSO2" s="104"/>
      <c r="FSP2" s="103"/>
      <c r="FSQ2" s="104"/>
      <c r="FSR2" s="103"/>
      <c r="FSS2" s="104"/>
      <c r="FST2" s="103"/>
      <c r="FSU2" s="104"/>
      <c r="FSV2" s="103"/>
      <c r="FSW2" s="104"/>
      <c r="FSX2" s="103"/>
      <c r="FSY2" s="104"/>
      <c r="FSZ2" s="103"/>
      <c r="FTA2" s="104"/>
      <c r="FTB2" s="103"/>
      <c r="FTC2" s="104"/>
      <c r="FTD2" s="103"/>
      <c r="FTE2" s="104"/>
      <c r="FTF2" s="103"/>
      <c r="FTG2" s="104"/>
      <c r="FTH2" s="103"/>
      <c r="FTI2" s="104"/>
      <c r="FTJ2" s="103"/>
      <c r="FTK2" s="104"/>
      <c r="FTL2" s="103"/>
      <c r="FTM2" s="104"/>
      <c r="FTN2" s="103"/>
      <c r="FTO2" s="104"/>
      <c r="FTP2" s="103"/>
      <c r="FTQ2" s="104"/>
      <c r="FTR2" s="103"/>
      <c r="FTS2" s="104"/>
      <c r="FTT2" s="103"/>
      <c r="FTU2" s="104"/>
      <c r="FTV2" s="103"/>
      <c r="FTW2" s="104"/>
      <c r="FTX2" s="103"/>
      <c r="FTY2" s="104"/>
      <c r="FTZ2" s="103"/>
      <c r="FUA2" s="104"/>
      <c r="FUB2" s="103"/>
      <c r="FUC2" s="104"/>
      <c r="FUD2" s="103"/>
      <c r="FUE2" s="104"/>
      <c r="FUF2" s="103"/>
      <c r="FUG2" s="104"/>
      <c r="FUH2" s="103"/>
      <c r="FUI2" s="104"/>
      <c r="FUJ2" s="103"/>
      <c r="FUK2" s="104"/>
      <c r="FUL2" s="103"/>
      <c r="FUM2" s="104"/>
      <c r="FUN2" s="103"/>
      <c r="FUO2" s="104"/>
      <c r="FUP2" s="103"/>
      <c r="FUQ2" s="104"/>
      <c r="FUR2" s="103"/>
      <c r="FUS2" s="104"/>
      <c r="FUT2" s="103"/>
      <c r="FUU2" s="104"/>
      <c r="FUV2" s="103"/>
      <c r="FUW2" s="104"/>
      <c r="FUX2" s="103"/>
      <c r="FUY2" s="104"/>
      <c r="FUZ2" s="103"/>
      <c r="FVA2" s="104"/>
      <c r="FVB2" s="103"/>
      <c r="FVC2" s="104"/>
      <c r="FVD2" s="103"/>
      <c r="FVE2" s="104"/>
      <c r="FVF2" s="103"/>
      <c r="FVG2" s="104"/>
      <c r="FVH2" s="103"/>
      <c r="FVI2" s="104"/>
      <c r="FVJ2" s="103"/>
      <c r="FVK2" s="104"/>
      <c r="FVL2" s="103"/>
      <c r="FVM2" s="104"/>
      <c r="FVN2" s="103"/>
      <c r="FVO2" s="104"/>
      <c r="FVP2" s="103"/>
      <c r="FVQ2" s="104"/>
      <c r="FVR2" s="103"/>
      <c r="FVS2" s="104"/>
      <c r="FVT2" s="103"/>
      <c r="FVU2" s="104"/>
      <c r="FVV2" s="103"/>
      <c r="FVW2" s="104"/>
      <c r="FVX2" s="103"/>
      <c r="FVY2" s="104"/>
      <c r="FVZ2" s="103"/>
      <c r="FWA2" s="104"/>
      <c r="FWB2" s="103"/>
      <c r="FWC2" s="104"/>
      <c r="FWD2" s="103"/>
      <c r="FWE2" s="104"/>
      <c r="FWF2" s="103"/>
      <c r="FWG2" s="104"/>
      <c r="FWH2" s="103"/>
      <c r="FWI2" s="104"/>
      <c r="FWJ2" s="103"/>
      <c r="FWK2" s="104"/>
      <c r="FWL2" s="103"/>
      <c r="FWM2" s="104"/>
      <c r="FWN2" s="103"/>
      <c r="FWO2" s="104"/>
      <c r="FWP2" s="103"/>
      <c r="FWQ2" s="104"/>
      <c r="FWR2" s="103"/>
      <c r="FWS2" s="104"/>
      <c r="FWT2" s="103"/>
      <c r="FWU2" s="104"/>
      <c r="FWV2" s="103"/>
      <c r="FWW2" s="104"/>
      <c r="FWX2" s="103"/>
      <c r="FWY2" s="104"/>
      <c r="FWZ2" s="103"/>
      <c r="FXA2" s="104"/>
      <c r="FXB2" s="103"/>
      <c r="FXC2" s="104"/>
      <c r="FXD2" s="103"/>
      <c r="FXE2" s="104"/>
      <c r="FXF2" s="103"/>
      <c r="FXG2" s="104"/>
      <c r="FXH2" s="103"/>
      <c r="FXI2" s="104"/>
      <c r="FXJ2" s="103"/>
      <c r="FXK2" s="104"/>
      <c r="FXL2" s="103"/>
      <c r="FXM2" s="104"/>
      <c r="FXN2" s="103"/>
      <c r="FXO2" s="104"/>
      <c r="FXP2" s="103"/>
      <c r="FXQ2" s="104"/>
      <c r="FXR2" s="103"/>
      <c r="FXS2" s="104"/>
      <c r="FXT2" s="103"/>
      <c r="FXU2" s="104"/>
      <c r="FXV2" s="103"/>
      <c r="FXW2" s="104"/>
      <c r="FXX2" s="103"/>
      <c r="FXY2" s="104"/>
      <c r="FXZ2" s="103"/>
      <c r="FYA2" s="104"/>
      <c r="FYB2" s="103"/>
      <c r="FYC2" s="104"/>
      <c r="FYD2" s="103"/>
      <c r="FYE2" s="104"/>
      <c r="FYF2" s="103"/>
      <c r="FYG2" s="104"/>
      <c r="FYH2" s="103"/>
      <c r="FYI2" s="104"/>
      <c r="FYJ2" s="103"/>
      <c r="FYK2" s="104"/>
      <c r="FYL2" s="103"/>
      <c r="FYM2" s="104"/>
      <c r="FYN2" s="103"/>
      <c r="FYO2" s="104"/>
      <c r="FYP2" s="103"/>
      <c r="FYQ2" s="104"/>
      <c r="FYR2" s="103"/>
      <c r="FYS2" s="104"/>
      <c r="FYT2" s="103"/>
      <c r="FYU2" s="104"/>
      <c r="FYV2" s="103"/>
      <c r="FYW2" s="104"/>
      <c r="FYX2" s="103"/>
      <c r="FYY2" s="104"/>
      <c r="FYZ2" s="103"/>
      <c r="FZA2" s="104"/>
      <c r="FZB2" s="103"/>
      <c r="FZC2" s="104"/>
      <c r="FZD2" s="103"/>
      <c r="FZE2" s="104"/>
      <c r="FZF2" s="103"/>
      <c r="FZG2" s="104"/>
      <c r="FZH2" s="103"/>
      <c r="FZI2" s="104"/>
      <c r="FZJ2" s="103"/>
      <c r="FZK2" s="104"/>
      <c r="FZL2" s="103"/>
      <c r="FZM2" s="104"/>
      <c r="FZN2" s="103"/>
      <c r="FZO2" s="104"/>
      <c r="FZP2" s="103"/>
      <c r="FZQ2" s="104"/>
      <c r="FZR2" s="103"/>
      <c r="FZS2" s="104"/>
      <c r="FZT2" s="103"/>
      <c r="FZU2" s="104"/>
      <c r="FZV2" s="103"/>
      <c r="FZW2" s="104"/>
      <c r="FZX2" s="103"/>
      <c r="FZY2" s="104"/>
      <c r="FZZ2" s="103"/>
      <c r="GAA2" s="104"/>
      <c r="GAB2" s="103"/>
      <c r="GAC2" s="104"/>
      <c r="GAD2" s="103"/>
      <c r="GAE2" s="104"/>
      <c r="GAF2" s="103"/>
      <c r="GAG2" s="104"/>
      <c r="GAH2" s="103"/>
      <c r="GAI2" s="104"/>
      <c r="GAJ2" s="103"/>
      <c r="GAK2" s="104"/>
      <c r="GAL2" s="103"/>
      <c r="GAM2" s="104"/>
      <c r="GAN2" s="103"/>
      <c r="GAO2" s="104"/>
      <c r="GAP2" s="103"/>
      <c r="GAQ2" s="104"/>
      <c r="GAR2" s="103"/>
      <c r="GAS2" s="104"/>
      <c r="GAT2" s="103"/>
      <c r="GAU2" s="104"/>
      <c r="GAV2" s="103"/>
      <c r="GAW2" s="104"/>
      <c r="GAX2" s="103"/>
      <c r="GAY2" s="104"/>
      <c r="GAZ2" s="103"/>
      <c r="GBA2" s="104"/>
      <c r="GBB2" s="103"/>
      <c r="GBC2" s="104"/>
      <c r="GBD2" s="103"/>
      <c r="GBE2" s="104"/>
      <c r="GBF2" s="103"/>
      <c r="GBG2" s="104"/>
      <c r="GBH2" s="103"/>
      <c r="GBI2" s="104"/>
      <c r="GBJ2" s="103"/>
      <c r="GBK2" s="104"/>
      <c r="GBL2" s="103"/>
      <c r="GBM2" s="104"/>
      <c r="GBN2" s="103"/>
      <c r="GBO2" s="104"/>
      <c r="GBP2" s="103"/>
      <c r="GBQ2" s="104"/>
      <c r="GBR2" s="103"/>
      <c r="GBS2" s="104"/>
      <c r="GBT2" s="103"/>
      <c r="GBU2" s="104"/>
      <c r="GBV2" s="103"/>
      <c r="GBW2" s="104"/>
      <c r="GBX2" s="103"/>
      <c r="GBY2" s="104"/>
      <c r="GBZ2" s="103"/>
      <c r="GCA2" s="104"/>
      <c r="GCB2" s="103"/>
      <c r="GCC2" s="104"/>
      <c r="GCD2" s="103"/>
      <c r="GCE2" s="104"/>
      <c r="GCF2" s="103"/>
      <c r="GCG2" s="104"/>
      <c r="GCH2" s="103"/>
      <c r="GCI2" s="104"/>
      <c r="GCJ2" s="103"/>
      <c r="GCK2" s="104"/>
      <c r="GCL2" s="103"/>
      <c r="GCM2" s="104"/>
      <c r="GCN2" s="103"/>
      <c r="GCO2" s="104"/>
      <c r="GCP2" s="103"/>
      <c r="GCQ2" s="104"/>
      <c r="GCR2" s="103"/>
      <c r="GCS2" s="104"/>
      <c r="GCT2" s="103"/>
      <c r="GCU2" s="104"/>
      <c r="GCV2" s="103"/>
      <c r="GCW2" s="104"/>
      <c r="GCX2" s="103"/>
      <c r="GCY2" s="104"/>
      <c r="GCZ2" s="103"/>
      <c r="GDA2" s="104"/>
      <c r="GDB2" s="103"/>
      <c r="GDC2" s="104"/>
      <c r="GDD2" s="103"/>
      <c r="GDE2" s="104"/>
      <c r="GDF2" s="103"/>
      <c r="GDG2" s="104"/>
      <c r="GDH2" s="103"/>
      <c r="GDI2" s="104"/>
      <c r="GDJ2" s="103"/>
      <c r="GDK2" s="104"/>
      <c r="GDL2" s="103"/>
      <c r="GDM2" s="104"/>
      <c r="GDN2" s="103"/>
      <c r="GDO2" s="104"/>
      <c r="GDP2" s="103"/>
      <c r="GDQ2" s="104"/>
      <c r="GDR2" s="103"/>
      <c r="GDS2" s="104"/>
      <c r="GDT2" s="103"/>
      <c r="GDU2" s="104"/>
      <c r="GDV2" s="103"/>
      <c r="GDW2" s="104"/>
      <c r="GDX2" s="103"/>
      <c r="GDY2" s="104"/>
      <c r="GDZ2" s="103"/>
      <c r="GEA2" s="104"/>
      <c r="GEB2" s="103"/>
      <c r="GEC2" s="104"/>
      <c r="GED2" s="103"/>
      <c r="GEE2" s="104"/>
      <c r="GEF2" s="103"/>
      <c r="GEG2" s="104"/>
      <c r="GEH2" s="103"/>
      <c r="GEI2" s="104"/>
      <c r="GEJ2" s="103"/>
      <c r="GEK2" s="104"/>
      <c r="GEL2" s="103"/>
      <c r="GEM2" s="104"/>
      <c r="GEN2" s="103"/>
      <c r="GEO2" s="104"/>
      <c r="GEP2" s="103"/>
      <c r="GEQ2" s="104"/>
      <c r="GER2" s="103"/>
      <c r="GES2" s="104"/>
      <c r="GET2" s="103"/>
      <c r="GEU2" s="104"/>
      <c r="GEV2" s="103"/>
      <c r="GEW2" s="104"/>
      <c r="GEX2" s="103"/>
      <c r="GEY2" s="104"/>
      <c r="GEZ2" s="103"/>
      <c r="GFA2" s="104"/>
      <c r="GFB2" s="103"/>
      <c r="GFC2" s="104"/>
      <c r="GFD2" s="103"/>
      <c r="GFE2" s="104"/>
      <c r="GFF2" s="103"/>
      <c r="GFG2" s="104"/>
      <c r="GFH2" s="103"/>
      <c r="GFI2" s="104"/>
      <c r="GFJ2" s="103"/>
      <c r="GFK2" s="104"/>
      <c r="GFL2" s="103"/>
      <c r="GFM2" s="104"/>
      <c r="GFN2" s="103"/>
      <c r="GFO2" s="104"/>
      <c r="GFP2" s="103"/>
      <c r="GFQ2" s="104"/>
      <c r="GFR2" s="103"/>
      <c r="GFS2" s="104"/>
      <c r="GFT2" s="103"/>
      <c r="GFU2" s="104"/>
      <c r="GFV2" s="103"/>
      <c r="GFW2" s="104"/>
      <c r="GFX2" s="103"/>
      <c r="GFY2" s="104"/>
      <c r="GFZ2" s="103"/>
      <c r="GGA2" s="104"/>
      <c r="GGB2" s="103"/>
      <c r="GGC2" s="104"/>
      <c r="GGD2" s="103"/>
      <c r="GGE2" s="104"/>
      <c r="GGF2" s="103"/>
      <c r="GGG2" s="104"/>
      <c r="GGH2" s="103"/>
      <c r="GGI2" s="104"/>
      <c r="GGJ2" s="103"/>
      <c r="GGK2" s="104"/>
      <c r="GGL2" s="103"/>
      <c r="GGM2" s="104"/>
      <c r="GGN2" s="103"/>
      <c r="GGO2" s="104"/>
      <c r="GGP2" s="103"/>
      <c r="GGQ2" s="104"/>
      <c r="GGR2" s="103"/>
      <c r="GGS2" s="104"/>
      <c r="GGT2" s="103"/>
      <c r="GGU2" s="104"/>
      <c r="GGV2" s="103"/>
      <c r="GGW2" s="104"/>
      <c r="GGX2" s="103"/>
      <c r="GGY2" s="104"/>
      <c r="GGZ2" s="103"/>
      <c r="GHA2" s="104"/>
      <c r="GHB2" s="103"/>
      <c r="GHC2" s="104"/>
      <c r="GHD2" s="103"/>
      <c r="GHE2" s="104"/>
      <c r="GHF2" s="103"/>
      <c r="GHG2" s="104"/>
      <c r="GHH2" s="103"/>
      <c r="GHI2" s="104"/>
      <c r="GHJ2" s="103"/>
      <c r="GHK2" s="104"/>
      <c r="GHL2" s="103"/>
      <c r="GHM2" s="104"/>
      <c r="GHN2" s="103"/>
      <c r="GHO2" s="104"/>
      <c r="GHP2" s="103"/>
      <c r="GHQ2" s="104"/>
      <c r="GHR2" s="103"/>
      <c r="GHS2" s="104"/>
      <c r="GHT2" s="103"/>
      <c r="GHU2" s="104"/>
      <c r="GHV2" s="103"/>
      <c r="GHW2" s="104"/>
      <c r="GHX2" s="103"/>
      <c r="GHY2" s="104"/>
      <c r="GHZ2" s="103"/>
      <c r="GIA2" s="104"/>
      <c r="GIB2" s="103"/>
      <c r="GIC2" s="104"/>
      <c r="GID2" s="103"/>
      <c r="GIE2" s="104"/>
      <c r="GIF2" s="103"/>
      <c r="GIG2" s="104"/>
      <c r="GIH2" s="103"/>
      <c r="GII2" s="104"/>
      <c r="GIJ2" s="103"/>
      <c r="GIK2" s="104"/>
      <c r="GIL2" s="103"/>
      <c r="GIM2" s="104"/>
      <c r="GIN2" s="103"/>
      <c r="GIO2" s="104"/>
      <c r="GIP2" s="103"/>
      <c r="GIQ2" s="104"/>
      <c r="GIR2" s="103"/>
      <c r="GIS2" s="104"/>
      <c r="GIT2" s="103"/>
      <c r="GIU2" s="104"/>
      <c r="GIV2" s="103"/>
      <c r="GIW2" s="104"/>
      <c r="GIX2" s="103"/>
      <c r="GIY2" s="104"/>
      <c r="GIZ2" s="103"/>
      <c r="GJA2" s="104"/>
      <c r="GJB2" s="103"/>
      <c r="GJC2" s="104"/>
      <c r="GJD2" s="103"/>
      <c r="GJE2" s="104"/>
      <c r="GJF2" s="103"/>
      <c r="GJG2" s="104"/>
      <c r="GJH2" s="103"/>
      <c r="GJI2" s="104"/>
      <c r="GJJ2" s="103"/>
      <c r="GJK2" s="104"/>
      <c r="GJL2" s="103"/>
      <c r="GJM2" s="104"/>
      <c r="GJN2" s="103"/>
      <c r="GJO2" s="104"/>
      <c r="GJP2" s="103"/>
      <c r="GJQ2" s="104"/>
      <c r="GJR2" s="103"/>
      <c r="GJS2" s="104"/>
      <c r="GJT2" s="103"/>
      <c r="GJU2" s="104"/>
      <c r="GJV2" s="103"/>
      <c r="GJW2" s="104"/>
      <c r="GJX2" s="103"/>
      <c r="GJY2" s="104"/>
      <c r="GJZ2" s="103"/>
      <c r="GKA2" s="104"/>
      <c r="GKB2" s="103"/>
      <c r="GKC2" s="104"/>
      <c r="GKD2" s="103"/>
      <c r="GKE2" s="104"/>
      <c r="GKF2" s="103"/>
      <c r="GKG2" s="104"/>
      <c r="GKH2" s="103"/>
      <c r="GKI2" s="104"/>
      <c r="GKJ2" s="103"/>
      <c r="GKK2" s="104"/>
      <c r="GKL2" s="103"/>
      <c r="GKM2" s="104"/>
      <c r="GKN2" s="103"/>
      <c r="GKO2" s="104"/>
      <c r="GKP2" s="103"/>
      <c r="GKQ2" s="104"/>
      <c r="GKR2" s="103"/>
      <c r="GKS2" s="104"/>
      <c r="GKT2" s="103"/>
      <c r="GKU2" s="104"/>
      <c r="GKV2" s="103"/>
      <c r="GKW2" s="104"/>
      <c r="GKX2" s="103"/>
      <c r="GKY2" s="104"/>
      <c r="GKZ2" s="103"/>
      <c r="GLA2" s="104"/>
      <c r="GLB2" s="103"/>
      <c r="GLC2" s="104"/>
      <c r="GLD2" s="103"/>
      <c r="GLE2" s="104"/>
      <c r="GLF2" s="103"/>
      <c r="GLG2" s="104"/>
      <c r="GLH2" s="103"/>
      <c r="GLI2" s="104"/>
      <c r="GLJ2" s="103"/>
      <c r="GLK2" s="104"/>
      <c r="GLL2" s="103"/>
      <c r="GLM2" s="104"/>
      <c r="GLN2" s="103"/>
      <c r="GLO2" s="104"/>
      <c r="GLP2" s="103"/>
      <c r="GLQ2" s="104"/>
      <c r="GLR2" s="103"/>
      <c r="GLS2" s="104"/>
      <c r="GLT2" s="103"/>
      <c r="GLU2" s="104"/>
      <c r="GLV2" s="103"/>
      <c r="GLW2" s="104"/>
      <c r="GLX2" s="103"/>
      <c r="GLY2" s="104"/>
      <c r="GLZ2" s="103"/>
      <c r="GMA2" s="104"/>
      <c r="GMB2" s="103"/>
      <c r="GMC2" s="104"/>
      <c r="GMD2" s="103"/>
      <c r="GME2" s="104"/>
      <c r="GMF2" s="103"/>
      <c r="GMG2" s="104"/>
      <c r="GMH2" s="103"/>
      <c r="GMI2" s="104"/>
      <c r="GMJ2" s="103"/>
      <c r="GMK2" s="104"/>
      <c r="GML2" s="103"/>
      <c r="GMM2" s="104"/>
      <c r="GMN2" s="103"/>
      <c r="GMO2" s="104"/>
      <c r="GMP2" s="103"/>
      <c r="GMQ2" s="104"/>
      <c r="GMR2" s="103"/>
      <c r="GMS2" s="104"/>
      <c r="GMT2" s="103"/>
      <c r="GMU2" s="104"/>
      <c r="GMV2" s="103"/>
      <c r="GMW2" s="104"/>
      <c r="GMX2" s="103"/>
      <c r="GMY2" s="104"/>
      <c r="GMZ2" s="103"/>
      <c r="GNA2" s="104"/>
      <c r="GNB2" s="103"/>
      <c r="GNC2" s="104"/>
      <c r="GND2" s="103"/>
      <c r="GNE2" s="104"/>
      <c r="GNF2" s="103"/>
      <c r="GNG2" s="104"/>
      <c r="GNH2" s="103"/>
      <c r="GNI2" s="104"/>
      <c r="GNJ2" s="103"/>
      <c r="GNK2" s="104"/>
      <c r="GNL2" s="103"/>
      <c r="GNM2" s="104"/>
      <c r="GNN2" s="103"/>
      <c r="GNO2" s="104"/>
      <c r="GNP2" s="103"/>
      <c r="GNQ2" s="104"/>
      <c r="GNR2" s="103"/>
      <c r="GNS2" s="104"/>
      <c r="GNT2" s="103"/>
      <c r="GNU2" s="104"/>
      <c r="GNV2" s="103"/>
      <c r="GNW2" s="104"/>
      <c r="GNX2" s="103"/>
      <c r="GNY2" s="104"/>
      <c r="GNZ2" s="103"/>
      <c r="GOA2" s="104"/>
      <c r="GOB2" s="103"/>
      <c r="GOC2" s="104"/>
      <c r="GOD2" s="103"/>
      <c r="GOE2" s="104"/>
      <c r="GOF2" s="103"/>
      <c r="GOG2" s="104"/>
      <c r="GOH2" s="103"/>
      <c r="GOI2" s="104"/>
      <c r="GOJ2" s="103"/>
      <c r="GOK2" s="104"/>
      <c r="GOL2" s="103"/>
      <c r="GOM2" s="104"/>
      <c r="GON2" s="103"/>
      <c r="GOO2" s="104"/>
      <c r="GOP2" s="103"/>
      <c r="GOQ2" s="104"/>
      <c r="GOR2" s="103"/>
      <c r="GOS2" s="104"/>
      <c r="GOT2" s="103"/>
      <c r="GOU2" s="104"/>
      <c r="GOV2" s="103"/>
      <c r="GOW2" s="104"/>
      <c r="GOX2" s="103"/>
      <c r="GOY2" s="104"/>
      <c r="GOZ2" s="103"/>
      <c r="GPA2" s="104"/>
      <c r="GPB2" s="103"/>
      <c r="GPC2" s="104"/>
      <c r="GPD2" s="103"/>
      <c r="GPE2" s="104"/>
      <c r="GPF2" s="103"/>
      <c r="GPG2" s="104"/>
      <c r="GPH2" s="103"/>
      <c r="GPI2" s="104"/>
      <c r="GPJ2" s="103"/>
      <c r="GPK2" s="104"/>
      <c r="GPL2" s="103"/>
      <c r="GPM2" s="104"/>
      <c r="GPN2" s="103"/>
      <c r="GPO2" s="104"/>
      <c r="GPP2" s="103"/>
      <c r="GPQ2" s="104"/>
      <c r="GPR2" s="103"/>
      <c r="GPS2" s="104"/>
      <c r="GPT2" s="103"/>
      <c r="GPU2" s="104"/>
      <c r="GPV2" s="103"/>
      <c r="GPW2" s="104"/>
      <c r="GPX2" s="103"/>
      <c r="GPY2" s="104"/>
      <c r="GPZ2" s="103"/>
      <c r="GQA2" s="104"/>
      <c r="GQB2" s="103"/>
      <c r="GQC2" s="104"/>
      <c r="GQD2" s="103"/>
      <c r="GQE2" s="104"/>
      <c r="GQF2" s="103"/>
      <c r="GQG2" s="104"/>
      <c r="GQH2" s="103"/>
      <c r="GQI2" s="104"/>
      <c r="GQJ2" s="103"/>
      <c r="GQK2" s="104"/>
      <c r="GQL2" s="103"/>
      <c r="GQM2" s="104"/>
      <c r="GQN2" s="103"/>
      <c r="GQO2" s="104"/>
      <c r="GQP2" s="103"/>
      <c r="GQQ2" s="104"/>
      <c r="GQR2" s="103"/>
      <c r="GQS2" s="104"/>
      <c r="GQT2" s="103"/>
      <c r="GQU2" s="104"/>
      <c r="GQV2" s="103"/>
      <c r="GQW2" s="104"/>
      <c r="GQX2" s="103"/>
      <c r="GQY2" s="104"/>
      <c r="GQZ2" s="103"/>
      <c r="GRA2" s="104"/>
      <c r="GRB2" s="103"/>
      <c r="GRC2" s="104"/>
      <c r="GRD2" s="103"/>
      <c r="GRE2" s="104"/>
      <c r="GRF2" s="103"/>
      <c r="GRG2" s="104"/>
      <c r="GRH2" s="103"/>
      <c r="GRI2" s="104"/>
      <c r="GRJ2" s="103"/>
      <c r="GRK2" s="104"/>
      <c r="GRL2" s="103"/>
      <c r="GRM2" s="104"/>
      <c r="GRN2" s="103"/>
      <c r="GRO2" s="104"/>
      <c r="GRP2" s="103"/>
      <c r="GRQ2" s="104"/>
      <c r="GRR2" s="103"/>
      <c r="GRS2" s="104"/>
      <c r="GRT2" s="103"/>
      <c r="GRU2" s="104"/>
      <c r="GRV2" s="103"/>
      <c r="GRW2" s="104"/>
      <c r="GRX2" s="103"/>
      <c r="GRY2" s="104"/>
      <c r="GRZ2" s="103"/>
      <c r="GSA2" s="104"/>
      <c r="GSB2" s="103"/>
      <c r="GSC2" s="104"/>
      <c r="GSD2" s="103"/>
      <c r="GSE2" s="104"/>
      <c r="GSF2" s="103"/>
      <c r="GSG2" s="104"/>
      <c r="GSH2" s="103"/>
      <c r="GSI2" s="104"/>
      <c r="GSJ2" s="103"/>
      <c r="GSK2" s="104"/>
      <c r="GSL2" s="103"/>
      <c r="GSM2" s="104"/>
      <c r="GSN2" s="103"/>
      <c r="GSO2" s="104"/>
      <c r="GSP2" s="103"/>
      <c r="GSQ2" s="104"/>
      <c r="GSR2" s="103"/>
      <c r="GSS2" s="104"/>
      <c r="GST2" s="103"/>
      <c r="GSU2" s="104"/>
      <c r="GSV2" s="103"/>
      <c r="GSW2" s="104"/>
      <c r="GSX2" s="103"/>
      <c r="GSY2" s="104"/>
      <c r="GSZ2" s="103"/>
      <c r="GTA2" s="104"/>
      <c r="GTB2" s="103"/>
      <c r="GTC2" s="104"/>
      <c r="GTD2" s="103"/>
      <c r="GTE2" s="104"/>
      <c r="GTF2" s="103"/>
      <c r="GTG2" s="104"/>
      <c r="GTH2" s="103"/>
      <c r="GTI2" s="104"/>
      <c r="GTJ2" s="103"/>
      <c r="GTK2" s="104"/>
      <c r="GTL2" s="103"/>
      <c r="GTM2" s="104"/>
      <c r="GTN2" s="103"/>
      <c r="GTO2" s="104"/>
      <c r="GTP2" s="103"/>
      <c r="GTQ2" s="104"/>
      <c r="GTR2" s="103"/>
      <c r="GTS2" s="104"/>
      <c r="GTT2" s="103"/>
      <c r="GTU2" s="104"/>
      <c r="GTV2" s="103"/>
      <c r="GTW2" s="104"/>
      <c r="GTX2" s="103"/>
      <c r="GTY2" s="104"/>
      <c r="GTZ2" s="103"/>
      <c r="GUA2" s="104"/>
      <c r="GUB2" s="103"/>
      <c r="GUC2" s="104"/>
      <c r="GUD2" s="103"/>
      <c r="GUE2" s="104"/>
      <c r="GUF2" s="103"/>
      <c r="GUG2" s="104"/>
      <c r="GUH2" s="103"/>
      <c r="GUI2" s="104"/>
      <c r="GUJ2" s="103"/>
      <c r="GUK2" s="104"/>
      <c r="GUL2" s="103"/>
      <c r="GUM2" s="104"/>
      <c r="GUN2" s="103"/>
      <c r="GUO2" s="104"/>
      <c r="GUP2" s="103"/>
      <c r="GUQ2" s="104"/>
      <c r="GUR2" s="103"/>
      <c r="GUS2" s="104"/>
      <c r="GUT2" s="103"/>
      <c r="GUU2" s="104"/>
      <c r="GUV2" s="103"/>
      <c r="GUW2" s="104"/>
      <c r="GUX2" s="103"/>
      <c r="GUY2" s="104"/>
      <c r="GUZ2" s="103"/>
      <c r="GVA2" s="104"/>
      <c r="GVB2" s="103"/>
      <c r="GVC2" s="104"/>
      <c r="GVD2" s="103"/>
      <c r="GVE2" s="104"/>
      <c r="GVF2" s="103"/>
      <c r="GVG2" s="104"/>
      <c r="GVH2" s="103"/>
      <c r="GVI2" s="104"/>
      <c r="GVJ2" s="103"/>
      <c r="GVK2" s="104"/>
      <c r="GVL2" s="103"/>
      <c r="GVM2" s="104"/>
      <c r="GVN2" s="103"/>
      <c r="GVO2" s="104"/>
      <c r="GVP2" s="103"/>
      <c r="GVQ2" s="104"/>
      <c r="GVR2" s="103"/>
      <c r="GVS2" s="104"/>
      <c r="GVT2" s="103"/>
      <c r="GVU2" s="104"/>
      <c r="GVV2" s="103"/>
      <c r="GVW2" s="104"/>
      <c r="GVX2" s="103"/>
      <c r="GVY2" s="104"/>
      <c r="GVZ2" s="103"/>
      <c r="GWA2" s="104"/>
      <c r="GWB2" s="103"/>
      <c r="GWC2" s="104"/>
      <c r="GWD2" s="103"/>
      <c r="GWE2" s="104"/>
      <c r="GWF2" s="103"/>
      <c r="GWG2" s="104"/>
      <c r="GWH2" s="103"/>
      <c r="GWI2" s="104"/>
      <c r="GWJ2" s="103"/>
      <c r="GWK2" s="104"/>
      <c r="GWL2" s="103"/>
      <c r="GWM2" s="104"/>
      <c r="GWN2" s="103"/>
      <c r="GWO2" s="104"/>
      <c r="GWP2" s="103"/>
      <c r="GWQ2" s="104"/>
      <c r="GWR2" s="103"/>
      <c r="GWS2" s="104"/>
      <c r="GWT2" s="103"/>
      <c r="GWU2" s="104"/>
      <c r="GWV2" s="103"/>
      <c r="GWW2" s="104"/>
      <c r="GWX2" s="103"/>
      <c r="GWY2" s="104"/>
      <c r="GWZ2" s="103"/>
      <c r="GXA2" s="104"/>
      <c r="GXB2" s="103"/>
      <c r="GXC2" s="104"/>
      <c r="GXD2" s="103"/>
      <c r="GXE2" s="104"/>
      <c r="GXF2" s="103"/>
      <c r="GXG2" s="104"/>
      <c r="GXH2" s="103"/>
      <c r="GXI2" s="104"/>
      <c r="GXJ2" s="103"/>
      <c r="GXK2" s="104"/>
      <c r="GXL2" s="103"/>
      <c r="GXM2" s="104"/>
      <c r="GXN2" s="103"/>
      <c r="GXO2" s="104"/>
      <c r="GXP2" s="103"/>
      <c r="GXQ2" s="104"/>
      <c r="GXR2" s="103"/>
      <c r="GXS2" s="104"/>
      <c r="GXT2" s="103"/>
      <c r="GXU2" s="104"/>
      <c r="GXV2" s="103"/>
      <c r="GXW2" s="104"/>
      <c r="GXX2" s="103"/>
      <c r="GXY2" s="104"/>
      <c r="GXZ2" s="103"/>
      <c r="GYA2" s="104"/>
      <c r="GYB2" s="103"/>
      <c r="GYC2" s="104"/>
      <c r="GYD2" s="103"/>
      <c r="GYE2" s="104"/>
      <c r="GYF2" s="103"/>
      <c r="GYG2" s="104"/>
      <c r="GYH2" s="103"/>
      <c r="GYI2" s="104"/>
      <c r="GYJ2" s="103"/>
      <c r="GYK2" s="104"/>
      <c r="GYL2" s="103"/>
      <c r="GYM2" s="104"/>
      <c r="GYN2" s="103"/>
      <c r="GYO2" s="104"/>
      <c r="GYP2" s="103"/>
      <c r="GYQ2" s="104"/>
      <c r="GYR2" s="103"/>
      <c r="GYS2" s="104"/>
      <c r="GYT2" s="103"/>
      <c r="GYU2" s="104"/>
      <c r="GYV2" s="103"/>
      <c r="GYW2" s="104"/>
      <c r="GYX2" s="103"/>
      <c r="GYY2" s="104"/>
      <c r="GYZ2" s="103"/>
      <c r="GZA2" s="104"/>
      <c r="GZB2" s="103"/>
      <c r="GZC2" s="104"/>
      <c r="GZD2" s="103"/>
      <c r="GZE2" s="104"/>
      <c r="GZF2" s="103"/>
      <c r="GZG2" s="104"/>
      <c r="GZH2" s="103"/>
      <c r="GZI2" s="104"/>
      <c r="GZJ2" s="103"/>
      <c r="GZK2" s="104"/>
      <c r="GZL2" s="103"/>
      <c r="GZM2" s="104"/>
      <c r="GZN2" s="103"/>
      <c r="GZO2" s="104"/>
      <c r="GZP2" s="103"/>
      <c r="GZQ2" s="104"/>
      <c r="GZR2" s="103"/>
      <c r="GZS2" s="104"/>
      <c r="GZT2" s="103"/>
      <c r="GZU2" s="104"/>
      <c r="GZV2" s="103"/>
      <c r="GZW2" s="104"/>
      <c r="GZX2" s="103"/>
      <c r="GZY2" s="104"/>
      <c r="GZZ2" s="103"/>
      <c r="HAA2" s="104"/>
      <c r="HAB2" s="103"/>
      <c r="HAC2" s="104"/>
      <c r="HAD2" s="103"/>
      <c r="HAE2" s="104"/>
      <c r="HAF2" s="103"/>
      <c r="HAG2" s="104"/>
      <c r="HAH2" s="103"/>
      <c r="HAI2" s="104"/>
      <c r="HAJ2" s="103"/>
      <c r="HAK2" s="104"/>
      <c r="HAL2" s="103"/>
      <c r="HAM2" s="104"/>
      <c r="HAN2" s="103"/>
      <c r="HAO2" s="104"/>
      <c r="HAP2" s="103"/>
      <c r="HAQ2" s="104"/>
      <c r="HAR2" s="103"/>
      <c r="HAS2" s="104"/>
      <c r="HAT2" s="103"/>
      <c r="HAU2" s="104"/>
      <c r="HAV2" s="103"/>
      <c r="HAW2" s="104"/>
      <c r="HAX2" s="103"/>
      <c r="HAY2" s="104"/>
      <c r="HAZ2" s="103"/>
      <c r="HBA2" s="104"/>
      <c r="HBB2" s="103"/>
      <c r="HBC2" s="104"/>
      <c r="HBD2" s="103"/>
      <c r="HBE2" s="104"/>
      <c r="HBF2" s="103"/>
      <c r="HBG2" s="104"/>
      <c r="HBH2" s="103"/>
      <c r="HBI2" s="104"/>
      <c r="HBJ2" s="103"/>
      <c r="HBK2" s="104"/>
      <c r="HBL2" s="103"/>
      <c r="HBM2" s="104"/>
      <c r="HBN2" s="103"/>
      <c r="HBO2" s="104"/>
      <c r="HBP2" s="103"/>
      <c r="HBQ2" s="104"/>
      <c r="HBR2" s="103"/>
      <c r="HBS2" s="104"/>
      <c r="HBT2" s="103"/>
      <c r="HBU2" s="104"/>
      <c r="HBV2" s="103"/>
      <c r="HBW2" s="104"/>
      <c r="HBX2" s="103"/>
      <c r="HBY2" s="104"/>
      <c r="HBZ2" s="103"/>
      <c r="HCA2" s="104"/>
      <c r="HCB2" s="103"/>
      <c r="HCC2" s="104"/>
      <c r="HCD2" s="103"/>
      <c r="HCE2" s="104"/>
      <c r="HCF2" s="103"/>
      <c r="HCG2" s="104"/>
      <c r="HCH2" s="103"/>
      <c r="HCI2" s="104"/>
      <c r="HCJ2" s="103"/>
      <c r="HCK2" s="104"/>
      <c r="HCL2" s="103"/>
      <c r="HCM2" s="104"/>
      <c r="HCN2" s="103"/>
      <c r="HCO2" s="104"/>
      <c r="HCP2" s="103"/>
      <c r="HCQ2" s="104"/>
      <c r="HCR2" s="103"/>
      <c r="HCS2" s="104"/>
      <c r="HCT2" s="103"/>
      <c r="HCU2" s="104"/>
      <c r="HCV2" s="103"/>
      <c r="HCW2" s="104"/>
      <c r="HCX2" s="103"/>
      <c r="HCY2" s="104"/>
      <c r="HCZ2" s="103"/>
      <c r="HDA2" s="104"/>
      <c r="HDB2" s="103"/>
      <c r="HDC2" s="104"/>
      <c r="HDD2" s="103"/>
      <c r="HDE2" s="104"/>
      <c r="HDF2" s="103"/>
      <c r="HDG2" s="104"/>
      <c r="HDH2" s="103"/>
      <c r="HDI2" s="104"/>
      <c r="HDJ2" s="103"/>
      <c r="HDK2" s="104"/>
      <c r="HDL2" s="103"/>
      <c r="HDM2" s="104"/>
      <c r="HDN2" s="103"/>
      <c r="HDO2" s="104"/>
      <c r="HDP2" s="103"/>
      <c r="HDQ2" s="104"/>
      <c r="HDR2" s="103"/>
      <c r="HDS2" s="104"/>
      <c r="HDT2" s="103"/>
      <c r="HDU2" s="104"/>
      <c r="HDV2" s="103"/>
      <c r="HDW2" s="104"/>
      <c r="HDX2" s="103"/>
      <c r="HDY2" s="104"/>
      <c r="HDZ2" s="103"/>
      <c r="HEA2" s="104"/>
      <c r="HEB2" s="103"/>
      <c r="HEC2" s="104"/>
      <c r="HED2" s="103"/>
      <c r="HEE2" s="104"/>
      <c r="HEF2" s="103"/>
      <c r="HEG2" s="104"/>
      <c r="HEH2" s="103"/>
      <c r="HEI2" s="104"/>
      <c r="HEJ2" s="103"/>
      <c r="HEK2" s="104"/>
      <c r="HEL2" s="103"/>
      <c r="HEM2" s="104"/>
      <c r="HEN2" s="103"/>
      <c r="HEO2" s="104"/>
      <c r="HEP2" s="103"/>
      <c r="HEQ2" s="104"/>
      <c r="HER2" s="103"/>
      <c r="HES2" s="104"/>
      <c r="HET2" s="103"/>
      <c r="HEU2" s="104"/>
      <c r="HEV2" s="103"/>
      <c r="HEW2" s="104"/>
      <c r="HEX2" s="103"/>
      <c r="HEY2" s="104"/>
      <c r="HEZ2" s="103"/>
      <c r="HFA2" s="104"/>
      <c r="HFB2" s="103"/>
      <c r="HFC2" s="104"/>
      <c r="HFD2" s="103"/>
      <c r="HFE2" s="104"/>
      <c r="HFF2" s="103"/>
      <c r="HFG2" s="104"/>
      <c r="HFH2" s="103"/>
      <c r="HFI2" s="104"/>
      <c r="HFJ2" s="103"/>
      <c r="HFK2" s="104"/>
      <c r="HFL2" s="103"/>
      <c r="HFM2" s="104"/>
      <c r="HFN2" s="103"/>
      <c r="HFO2" s="104"/>
      <c r="HFP2" s="103"/>
      <c r="HFQ2" s="104"/>
      <c r="HFR2" s="103"/>
      <c r="HFS2" s="104"/>
      <c r="HFT2" s="103"/>
      <c r="HFU2" s="104"/>
      <c r="HFV2" s="103"/>
      <c r="HFW2" s="104"/>
      <c r="HFX2" s="103"/>
      <c r="HFY2" s="104"/>
      <c r="HFZ2" s="103"/>
      <c r="HGA2" s="104"/>
      <c r="HGB2" s="103"/>
      <c r="HGC2" s="104"/>
      <c r="HGD2" s="103"/>
      <c r="HGE2" s="104"/>
      <c r="HGF2" s="103"/>
      <c r="HGG2" s="104"/>
      <c r="HGH2" s="103"/>
      <c r="HGI2" s="104"/>
      <c r="HGJ2" s="103"/>
      <c r="HGK2" s="104"/>
      <c r="HGL2" s="103"/>
      <c r="HGM2" s="104"/>
      <c r="HGN2" s="103"/>
      <c r="HGO2" s="104"/>
      <c r="HGP2" s="103"/>
      <c r="HGQ2" s="104"/>
      <c r="HGR2" s="103"/>
      <c r="HGS2" s="104"/>
      <c r="HGT2" s="103"/>
      <c r="HGU2" s="104"/>
      <c r="HGV2" s="103"/>
      <c r="HGW2" s="104"/>
      <c r="HGX2" s="103"/>
      <c r="HGY2" s="104"/>
      <c r="HGZ2" s="103"/>
      <c r="HHA2" s="104"/>
      <c r="HHB2" s="103"/>
      <c r="HHC2" s="104"/>
      <c r="HHD2" s="103"/>
      <c r="HHE2" s="104"/>
      <c r="HHF2" s="103"/>
      <c r="HHG2" s="104"/>
      <c r="HHH2" s="103"/>
      <c r="HHI2" s="104"/>
      <c r="HHJ2" s="103"/>
      <c r="HHK2" s="104"/>
      <c r="HHL2" s="103"/>
      <c r="HHM2" s="104"/>
      <c r="HHN2" s="103"/>
      <c r="HHO2" s="104"/>
      <c r="HHP2" s="103"/>
      <c r="HHQ2" s="104"/>
      <c r="HHR2" s="103"/>
      <c r="HHS2" s="104"/>
      <c r="HHT2" s="103"/>
      <c r="HHU2" s="104"/>
      <c r="HHV2" s="103"/>
      <c r="HHW2" s="104"/>
      <c r="HHX2" s="103"/>
      <c r="HHY2" s="104"/>
      <c r="HHZ2" s="103"/>
      <c r="HIA2" s="104"/>
      <c r="HIB2" s="103"/>
      <c r="HIC2" s="104"/>
      <c r="HID2" s="103"/>
      <c r="HIE2" s="104"/>
      <c r="HIF2" s="103"/>
      <c r="HIG2" s="104"/>
      <c r="HIH2" s="103"/>
      <c r="HII2" s="104"/>
      <c r="HIJ2" s="103"/>
      <c r="HIK2" s="104"/>
      <c r="HIL2" s="103"/>
      <c r="HIM2" s="104"/>
      <c r="HIN2" s="103"/>
      <c r="HIO2" s="104"/>
      <c r="HIP2" s="103"/>
      <c r="HIQ2" s="104"/>
      <c r="HIR2" s="103"/>
      <c r="HIS2" s="104"/>
      <c r="HIT2" s="103"/>
      <c r="HIU2" s="104"/>
      <c r="HIV2" s="103"/>
      <c r="HIW2" s="104"/>
      <c r="HIX2" s="103"/>
      <c r="HIY2" s="104"/>
      <c r="HIZ2" s="103"/>
      <c r="HJA2" s="104"/>
      <c r="HJB2" s="103"/>
      <c r="HJC2" s="104"/>
      <c r="HJD2" s="103"/>
      <c r="HJE2" s="104"/>
      <c r="HJF2" s="103"/>
      <c r="HJG2" s="104"/>
      <c r="HJH2" s="103"/>
      <c r="HJI2" s="104"/>
      <c r="HJJ2" s="103"/>
      <c r="HJK2" s="104"/>
      <c r="HJL2" s="103"/>
      <c r="HJM2" s="104"/>
      <c r="HJN2" s="103"/>
      <c r="HJO2" s="104"/>
      <c r="HJP2" s="103"/>
      <c r="HJQ2" s="104"/>
      <c r="HJR2" s="103"/>
      <c r="HJS2" s="104"/>
      <c r="HJT2" s="103"/>
      <c r="HJU2" s="104"/>
      <c r="HJV2" s="103"/>
      <c r="HJW2" s="104"/>
      <c r="HJX2" s="103"/>
      <c r="HJY2" s="104"/>
      <c r="HJZ2" s="103"/>
      <c r="HKA2" s="104"/>
      <c r="HKB2" s="103"/>
      <c r="HKC2" s="104"/>
      <c r="HKD2" s="103"/>
      <c r="HKE2" s="104"/>
      <c r="HKF2" s="103"/>
      <c r="HKG2" s="104"/>
      <c r="HKH2" s="103"/>
      <c r="HKI2" s="104"/>
      <c r="HKJ2" s="103"/>
      <c r="HKK2" s="104"/>
      <c r="HKL2" s="103"/>
      <c r="HKM2" s="104"/>
      <c r="HKN2" s="103"/>
      <c r="HKO2" s="104"/>
      <c r="HKP2" s="103"/>
      <c r="HKQ2" s="104"/>
      <c r="HKR2" s="103"/>
      <c r="HKS2" s="104"/>
      <c r="HKT2" s="103"/>
      <c r="HKU2" s="104"/>
      <c r="HKV2" s="103"/>
      <c r="HKW2" s="104"/>
      <c r="HKX2" s="103"/>
      <c r="HKY2" s="104"/>
      <c r="HKZ2" s="103"/>
      <c r="HLA2" s="104"/>
      <c r="HLB2" s="103"/>
      <c r="HLC2" s="104"/>
      <c r="HLD2" s="103"/>
      <c r="HLE2" s="104"/>
      <c r="HLF2" s="103"/>
      <c r="HLG2" s="104"/>
      <c r="HLH2" s="103"/>
      <c r="HLI2" s="104"/>
      <c r="HLJ2" s="103"/>
      <c r="HLK2" s="104"/>
      <c r="HLL2" s="103"/>
      <c r="HLM2" s="104"/>
      <c r="HLN2" s="103"/>
      <c r="HLO2" s="104"/>
      <c r="HLP2" s="103"/>
      <c r="HLQ2" s="104"/>
      <c r="HLR2" s="103"/>
      <c r="HLS2" s="104"/>
      <c r="HLT2" s="103"/>
      <c r="HLU2" s="104"/>
      <c r="HLV2" s="103"/>
      <c r="HLW2" s="104"/>
      <c r="HLX2" s="103"/>
      <c r="HLY2" s="104"/>
      <c r="HLZ2" s="103"/>
      <c r="HMA2" s="104"/>
      <c r="HMB2" s="103"/>
      <c r="HMC2" s="104"/>
      <c r="HMD2" s="103"/>
      <c r="HME2" s="104"/>
      <c r="HMF2" s="103"/>
      <c r="HMG2" s="104"/>
      <c r="HMH2" s="103"/>
      <c r="HMI2" s="104"/>
      <c r="HMJ2" s="103"/>
      <c r="HMK2" s="104"/>
      <c r="HML2" s="103"/>
      <c r="HMM2" s="104"/>
      <c r="HMN2" s="103"/>
      <c r="HMO2" s="104"/>
      <c r="HMP2" s="103"/>
      <c r="HMQ2" s="104"/>
      <c r="HMR2" s="103"/>
      <c r="HMS2" s="104"/>
      <c r="HMT2" s="103"/>
      <c r="HMU2" s="104"/>
      <c r="HMV2" s="103"/>
      <c r="HMW2" s="104"/>
      <c r="HMX2" s="103"/>
      <c r="HMY2" s="104"/>
      <c r="HMZ2" s="103"/>
      <c r="HNA2" s="104"/>
      <c r="HNB2" s="103"/>
      <c r="HNC2" s="104"/>
      <c r="HND2" s="103"/>
      <c r="HNE2" s="104"/>
      <c r="HNF2" s="103"/>
      <c r="HNG2" s="104"/>
      <c r="HNH2" s="103"/>
      <c r="HNI2" s="104"/>
      <c r="HNJ2" s="103"/>
      <c r="HNK2" s="104"/>
      <c r="HNL2" s="103"/>
      <c r="HNM2" s="104"/>
      <c r="HNN2" s="103"/>
      <c r="HNO2" s="104"/>
      <c r="HNP2" s="103"/>
      <c r="HNQ2" s="104"/>
      <c r="HNR2" s="103"/>
      <c r="HNS2" s="104"/>
      <c r="HNT2" s="103"/>
      <c r="HNU2" s="104"/>
      <c r="HNV2" s="103"/>
      <c r="HNW2" s="104"/>
      <c r="HNX2" s="103"/>
      <c r="HNY2" s="104"/>
      <c r="HNZ2" s="103"/>
      <c r="HOA2" s="104"/>
      <c r="HOB2" s="103"/>
      <c r="HOC2" s="104"/>
      <c r="HOD2" s="103"/>
      <c r="HOE2" s="104"/>
      <c r="HOF2" s="103"/>
      <c r="HOG2" s="104"/>
      <c r="HOH2" s="103"/>
      <c r="HOI2" s="104"/>
      <c r="HOJ2" s="103"/>
      <c r="HOK2" s="104"/>
      <c r="HOL2" s="103"/>
      <c r="HOM2" s="104"/>
      <c r="HON2" s="103"/>
      <c r="HOO2" s="104"/>
      <c r="HOP2" s="103"/>
      <c r="HOQ2" s="104"/>
      <c r="HOR2" s="103"/>
      <c r="HOS2" s="104"/>
      <c r="HOT2" s="103"/>
      <c r="HOU2" s="104"/>
      <c r="HOV2" s="103"/>
      <c r="HOW2" s="104"/>
      <c r="HOX2" s="103"/>
      <c r="HOY2" s="104"/>
      <c r="HOZ2" s="103"/>
      <c r="HPA2" s="104"/>
      <c r="HPB2" s="103"/>
      <c r="HPC2" s="104"/>
      <c r="HPD2" s="103"/>
      <c r="HPE2" s="104"/>
      <c r="HPF2" s="103"/>
      <c r="HPG2" s="104"/>
      <c r="HPH2" s="103"/>
      <c r="HPI2" s="104"/>
      <c r="HPJ2" s="103"/>
      <c r="HPK2" s="104"/>
      <c r="HPL2" s="103"/>
      <c r="HPM2" s="104"/>
      <c r="HPN2" s="103"/>
      <c r="HPO2" s="104"/>
      <c r="HPP2" s="103"/>
      <c r="HPQ2" s="104"/>
      <c r="HPR2" s="103"/>
      <c r="HPS2" s="104"/>
      <c r="HPT2" s="103"/>
      <c r="HPU2" s="104"/>
      <c r="HPV2" s="103"/>
      <c r="HPW2" s="104"/>
      <c r="HPX2" s="103"/>
      <c r="HPY2" s="104"/>
      <c r="HPZ2" s="103"/>
      <c r="HQA2" s="104"/>
      <c r="HQB2" s="103"/>
      <c r="HQC2" s="104"/>
      <c r="HQD2" s="103"/>
      <c r="HQE2" s="104"/>
      <c r="HQF2" s="103"/>
      <c r="HQG2" s="104"/>
      <c r="HQH2" s="103"/>
      <c r="HQI2" s="104"/>
      <c r="HQJ2" s="103"/>
      <c r="HQK2" s="104"/>
      <c r="HQL2" s="103"/>
      <c r="HQM2" s="104"/>
      <c r="HQN2" s="103"/>
      <c r="HQO2" s="104"/>
      <c r="HQP2" s="103"/>
      <c r="HQQ2" s="104"/>
      <c r="HQR2" s="103"/>
      <c r="HQS2" s="104"/>
      <c r="HQT2" s="103"/>
      <c r="HQU2" s="104"/>
      <c r="HQV2" s="103"/>
      <c r="HQW2" s="104"/>
      <c r="HQX2" s="103"/>
      <c r="HQY2" s="104"/>
      <c r="HQZ2" s="103"/>
      <c r="HRA2" s="104"/>
      <c r="HRB2" s="103"/>
      <c r="HRC2" s="104"/>
      <c r="HRD2" s="103"/>
      <c r="HRE2" s="104"/>
      <c r="HRF2" s="103"/>
      <c r="HRG2" s="104"/>
      <c r="HRH2" s="103"/>
      <c r="HRI2" s="104"/>
      <c r="HRJ2" s="103"/>
      <c r="HRK2" s="104"/>
      <c r="HRL2" s="103"/>
      <c r="HRM2" s="104"/>
      <c r="HRN2" s="103"/>
      <c r="HRO2" s="104"/>
      <c r="HRP2" s="103"/>
      <c r="HRQ2" s="104"/>
      <c r="HRR2" s="103"/>
      <c r="HRS2" s="104"/>
      <c r="HRT2" s="103"/>
      <c r="HRU2" s="104"/>
      <c r="HRV2" s="103"/>
      <c r="HRW2" s="104"/>
      <c r="HRX2" s="103"/>
      <c r="HRY2" s="104"/>
      <c r="HRZ2" s="103"/>
      <c r="HSA2" s="104"/>
      <c r="HSB2" s="103"/>
      <c r="HSC2" s="104"/>
      <c r="HSD2" s="103"/>
      <c r="HSE2" s="104"/>
      <c r="HSF2" s="103"/>
      <c r="HSG2" s="104"/>
      <c r="HSH2" s="103"/>
      <c r="HSI2" s="104"/>
      <c r="HSJ2" s="103"/>
      <c r="HSK2" s="104"/>
      <c r="HSL2" s="103"/>
      <c r="HSM2" s="104"/>
      <c r="HSN2" s="103"/>
      <c r="HSO2" s="104"/>
      <c r="HSP2" s="103"/>
      <c r="HSQ2" s="104"/>
      <c r="HSR2" s="103"/>
      <c r="HSS2" s="104"/>
      <c r="HST2" s="103"/>
      <c r="HSU2" s="104"/>
      <c r="HSV2" s="103"/>
      <c r="HSW2" s="104"/>
      <c r="HSX2" s="103"/>
      <c r="HSY2" s="104"/>
      <c r="HSZ2" s="103"/>
      <c r="HTA2" s="104"/>
      <c r="HTB2" s="103"/>
      <c r="HTC2" s="104"/>
      <c r="HTD2" s="103"/>
      <c r="HTE2" s="104"/>
      <c r="HTF2" s="103"/>
      <c r="HTG2" s="104"/>
      <c r="HTH2" s="103"/>
      <c r="HTI2" s="104"/>
      <c r="HTJ2" s="103"/>
      <c r="HTK2" s="104"/>
      <c r="HTL2" s="103"/>
      <c r="HTM2" s="104"/>
      <c r="HTN2" s="103"/>
      <c r="HTO2" s="104"/>
      <c r="HTP2" s="103"/>
      <c r="HTQ2" s="104"/>
      <c r="HTR2" s="103"/>
      <c r="HTS2" s="104"/>
      <c r="HTT2" s="103"/>
      <c r="HTU2" s="104"/>
      <c r="HTV2" s="103"/>
      <c r="HTW2" s="104"/>
      <c r="HTX2" s="103"/>
      <c r="HTY2" s="104"/>
      <c r="HTZ2" s="103"/>
      <c r="HUA2" s="104"/>
      <c r="HUB2" s="103"/>
      <c r="HUC2" s="104"/>
      <c r="HUD2" s="103"/>
      <c r="HUE2" s="104"/>
      <c r="HUF2" s="103"/>
      <c r="HUG2" s="104"/>
      <c r="HUH2" s="103"/>
      <c r="HUI2" s="104"/>
      <c r="HUJ2" s="103"/>
      <c r="HUK2" s="104"/>
      <c r="HUL2" s="103"/>
      <c r="HUM2" s="104"/>
      <c r="HUN2" s="103"/>
      <c r="HUO2" s="104"/>
      <c r="HUP2" s="103"/>
      <c r="HUQ2" s="104"/>
      <c r="HUR2" s="103"/>
      <c r="HUS2" s="104"/>
      <c r="HUT2" s="103"/>
      <c r="HUU2" s="104"/>
      <c r="HUV2" s="103"/>
      <c r="HUW2" s="104"/>
      <c r="HUX2" s="103"/>
      <c r="HUY2" s="104"/>
      <c r="HUZ2" s="103"/>
      <c r="HVA2" s="104"/>
      <c r="HVB2" s="103"/>
      <c r="HVC2" s="104"/>
      <c r="HVD2" s="103"/>
      <c r="HVE2" s="104"/>
      <c r="HVF2" s="103"/>
      <c r="HVG2" s="104"/>
      <c r="HVH2" s="103"/>
      <c r="HVI2" s="104"/>
      <c r="HVJ2" s="103"/>
      <c r="HVK2" s="104"/>
      <c r="HVL2" s="103"/>
      <c r="HVM2" s="104"/>
      <c r="HVN2" s="103"/>
      <c r="HVO2" s="104"/>
      <c r="HVP2" s="103"/>
      <c r="HVQ2" s="104"/>
      <c r="HVR2" s="103"/>
      <c r="HVS2" s="104"/>
      <c r="HVT2" s="103"/>
      <c r="HVU2" s="104"/>
      <c r="HVV2" s="103"/>
      <c r="HVW2" s="104"/>
      <c r="HVX2" s="103"/>
      <c r="HVY2" s="104"/>
      <c r="HVZ2" s="103"/>
      <c r="HWA2" s="104"/>
      <c r="HWB2" s="103"/>
      <c r="HWC2" s="104"/>
      <c r="HWD2" s="103"/>
      <c r="HWE2" s="104"/>
      <c r="HWF2" s="103"/>
      <c r="HWG2" s="104"/>
      <c r="HWH2" s="103"/>
      <c r="HWI2" s="104"/>
      <c r="HWJ2" s="103"/>
      <c r="HWK2" s="104"/>
      <c r="HWL2" s="103"/>
      <c r="HWM2" s="104"/>
      <c r="HWN2" s="103"/>
      <c r="HWO2" s="104"/>
      <c r="HWP2" s="103"/>
      <c r="HWQ2" s="104"/>
      <c r="HWR2" s="103"/>
      <c r="HWS2" s="104"/>
      <c r="HWT2" s="103"/>
      <c r="HWU2" s="104"/>
      <c r="HWV2" s="103"/>
      <c r="HWW2" s="104"/>
      <c r="HWX2" s="103"/>
      <c r="HWY2" s="104"/>
      <c r="HWZ2" s="103"/>
      <c r="HXA2" s="104"/>
      <c r="HXB2" s="103"/>
      <c r="HXC2" s="104"/>
      <c r="HXD2" s="103"/>
      <c r="HXE2" s="104"/>
      <c r="HXF2" s="103"/>
      <c r="HXG2" s="104"/>
      <c r="HXH2" s="103"/>
      <c r="HXI2" s="104"/>
      <c r="HXJ2" s="103"/>
      <c r="HXK2" s="104"/>
      <c r="HXL2" s="103"/>
      <c r="HXM2" s="104"/>
      <c r="HXN2" s="103"/>
      <c r="HXO2" s="104"/>
      <c r="HXP2" s="103"/>
      <c r="HXQ2" s="104"/>
      <c r="HXR2" s="103"/>
      <c r="HXS2" s="104"/>
      <c r="HXT2" s="103"/>
      <c r="HXU2" s="104"/>
      <c r="HXV2" s="103"/>
      <c r="HXW2" s="104"/>
      <c r="HXX2" s="103"/>
      <c r="HXY2" s="104"/>
      <c r="HXZ2" s="103"/>
      <c r="HYA2" s="104"/>
      <c r="HYB2" s="103"/>
      <c r="HYC2" s="104"/>
      <c r="HYD2" s="103"/>
      <c r="HYE2" s="104"/>
      <c r="HYF2" s="103"/>
      <c r="HYG2" s="104"/>
      <c r="HYH2" s="103"/>
      <c r="HYI2" s="104"/>
      <c r="HYJ2" s="103"/>
      <c r="HYK2" s="104"/>
      <c r="HYL2" s="103"/>
      <c r="HYM2" s="104"/>
      <c r="HYN2" s="103"/>
      <c r="HYO2" s="104"/>
      <c r="HYP2" s="103"/>
      <c r="HYQ2" s="104"/>
      <c r="HYR2" s="103"/>
      <c r="HYS2" s="104"/>
      <c r="HYT2" s="103"/>
      <c r="HYU2" s="104"/>
      <c r="HYV2" s="103"/>
      <c r="HYW2" s="104"/>
      <c r="HYX2" s="103"/>
      <c r="HYY2" s="104"/>
      <c r="HYZ2" s="103"/>
      <c r="HZA2" s="104"/>
      <c r="HZB2" s="103"/>
      <c r="HZC2" s="104"/>
      <c r="HZD2" s="103"/>
      <c r="HZE2" s="104"/>
      <c r="HZF2" s="103"/>
      <c r="HZG2" s="104"/>
      <c r="HZH2" s="103"/>
      <c r="HZI2" s="104"/>
      <c r="HZJ2" s="103"/>
      <c r="HZK2" s="104"/>
      <c r="HZL2" s="103"/>
      <c r="HZM2" s="104"/>
      <c r="HZN2" s="103"/>
      <c r="HZO2" s="104"/>
      <c r="HZP2" s="103"/>
      <c r="HZQ2" s="104"/>
      <c r="HZR2" s="103"/>
      <c r="HZS2" s="104"/>
      <c r="HZT2" s="103"/>
      <c r="HZU2" s="104"/>
      <c r="HZV2" s="103"/>
      <c r="HZW2" s="104"/>
      <c r="HZX2" s="103"/>
      <c r="HZY2" s="104"/>
      <c r="HZZ2" s="103"/>
      <c r="IAA2" s="104"/>
      <c r="IAB2" s="103"/>
      <c r="IAC2" s="104"/>
      <c r="IAD2" s="103"/>
      <c r="IAE2" s="104"/>
      <c r="IAF2" s="103"/>
      <c r="IAG2" s="104"/>
      <c r="IAH2" s="103"/>
      <c r="IAI2" s="104"/>
      <c r="IAJ2" s="103"/>
      <c r="IAK2" s="104"/>
      <c r="IAL2" s="103"/>
      <c r="IAM2" s="104"/>
      <c r="IAN2" s="103"/>
      <c r="IAO2" s="104"/>
      <c r="IAP2" s="103"/>
      <c r="IAQ2" s="104"/>
      <c r="IAR2" s="103"/>
      <c r="IAS2" s="104"/>
      <c r="IAT2" s="103"/>
      <c r="IAU2" s="104"/>
      <c r="IAV2" s="103"/>
      <c r="IAW2" s="104"/>
      <c r="IAX2" s="103"/>
      <c r="IAY2" s="104"/>
      <c r="IAZ2" s="103"/>
      <c r="IBA2" s="104"/>
      <c r="IBB2" s="103"/>
      <c r="IBC2" s="104"/>
      <c r="IBD2" s="103"/>
      <c r="IBE2" s="104"/>
      <c r="IBF2" s="103"/>
      <c r="IBG2" s="104"/>
      <c r="IBH2" s="103"/>
      <c r="IBI2" s="104"/>
      <c r="IBJ2" s="103"/>
      <c r="IBK2" s="104"/>
      <c r="IBL2" s="103"/>
      <c r="IBM2" s="104"/>
      <c r="IBN2" s="103"/>
      <c r="IBO2" s="104"/>
      <c r="IBP2" s="103"/>
      <c r="IBQ2" s="104"/>
      <c r="IBR2" s="103"/>
      <c r="IBS2" s="104"/>
      <c r="IBT2" s="103"/>
      <c r="IBU2" s="104"/>
      <c r="IBV2" s="103"/>
      <c r="IBW2" s="104"/>
      <c r="IBX2" s="103"/>
      <c r="IBY2" s="104"/>
      <c r="IBZ2" s="103"/>
      <c r="ICA2" s="104"/>
      <c r="ICB2" s="103"/>
      <c r="ICC2" s="104"/>
      <c r="ICD2" s="103"/>
      <c r="ICE2" s="104"/>
      <c r="ICF2" s="103"/>
      <c r="ICG2" s="104"/>
      <c r="ICH2" s="103"/>
      <c r="ICI2" s="104"/>
      <c r="ICJ2" s="103"/>
      <c r="ICK2" s="104"/>
      <c r="ICL2" s="103"/>
      <c r="ICM2" s="104"/>
      <c r="ICN2" s="103"/>
      <c r="ICO2" s="104"/>
      <c r="ICP2" s="103"/>
      <c r="ICQ2" s="104"/>
      <c r="ICR2" s="103"/>
      <c r="ICS2" s="104"/>
      <c r="ICT2" s="103"/>
      <c r="ICU2" s="104"/>
      <c r="ICV2" s="103"/>
      <c r="ICW2" s="104"/>
      <c r="ICX2" s="103"/>
      <c r="ICY2" s="104"/>
      <c r="ICZ2" s="103"/>
      <c r="IDA2" s="104"/>
      <c r="IDB2" s="103"/>
      <c r="IDC2" s="104"/>
      <c r="IDD2" s="103"/>
      <c r="IDE2" s="104"/>
      <c r="IDF2" s="103"/>
      <c r="IDG2" s="104"/>
      <c r="IDH2" s="103"/>
      <c r="IDI2" s="104"/>
      <c r="IDJ2" s="103"/>
      <c r="IDK2" s="104"/>
      <c r="IDL2" s="103"/>
      <c r="IDM2" s="104"/>
      <c r="IDN2" s="103"/>
      <c r="IDO2" s="104"/>
      <c r="IDP2" s="103"/>
      <c r="IDQ2" s="104"/>
      <c r="IDR2" s="103"/>
      <c r="IDS2" s="104"/>
      <c r="IDT2" s="103"/>
      <c r="IDU2" s="104"/>
      <c r="IDV2" s="103"/>
      <c r="IDW2" s="104"/>
      <c r="IDX2" s="103"/>
      <c r="IDY2" s="104"/>
      <c r="IDZ2" s="103"/>
      <c r="IEA2" s="104"/>
      <c r="IEB2" s="103"/>
      <c r="IEC2" s="104"/>
      <c r="IED2" s="103"/>
      <c r="IEE2" s="104"/>
      <c r="IEF2" s="103"/>
      <c r="IEG2" s="104"/>
      <c r="IEH2" s="103"/>
      <c r="IEI2" s="104"/>
      <c r="IEJ2" s="103"/>
      <c r="IEK2" s="104"/>
      <c r="IEL2" s="103"/>
      <c r="IEM2" s="104"/>
      <c r="IEN2" s="103"/>
      <c r="IEO2" s="104"/>
      <c r="IEP2" s="103"/>
      <c r="IEQ2" s="104"/>
      <c r="IER2" s="103"/>
      <c r="IES2" s="104"/>
      <c r="IET2" s="103"/>
      <c r="IEU2" s="104"/>
      <c r="IEV2" s="103"/>
      <c r="IEW2" s="104"/>
      <c r="IEX2" s="103"/>
      <c r="IEY2" s="104"/>
      <c r="IEZ2" s="103"/>
      <c r="IFA2" s="104"/>
      <c r="IFB2" s="103"/>
      <c r="IFC2" s="104"/>
      <c r="IFD2" s="103"/>
      <c r="IFE2" s="104"/>
      <c r="IFF2" s="103"/>
      <c r="IFG2" s="104"/>
      <c r="IFH2" s="103"/>
      <c r="IFI2" s="104"/>
      <c r="IFJ2" s="103"/>
      <c r="IFK2" s="104"/>
      <c r="IFL2" s="103"/>
      <c r="IFM2" s="104"/>
      <c r="IFN2" s="103"/>
      <c r="IFO2" s="104"/>
      <c r="IFP2" s="103"/>
      <c r="IFQ2" s="104"/>
      <c r="IFR2" s="103"/>
      <c r="IFS2" s="104"/>
      <c r="IFT2" s="103"/>
      <c r="IFU2" s="104"/>
      <c r="IFV2" s="103"/>
      <c r="IFW2" s="104"/>
      <c r="IFX2" s="103"/>
      <c r="IFY2" s="104"/>
      <c r="IFZ2" s="103"/>
      <c r="IGA2" s="104"/>
      <c r="IGB2" s="103"/>
      <c r="IGC2" s="104"/>
      <c r="IGD2" s="103"/>
      <c r="IGE2" s="104"/>
      <c r="IGF2" s="103"/>
      <c r="IGG2" s="104"/>
      <c r="IGH2" s="103"/>
      <c r="IGI2" s="104"/>
      <c r="IGJ2" s="103"/>
      <c r="IGK2" s="104"/>
      <c r="IGL2" s="103"/>
      <c r="IGM2" s="104"/>
      <c r="IGN2" s="103"/>
      <c r="IGO2" s="104"/>
      <c r="IGP2" s="103"/>
      <c r="IGQ2" s="104"/>
      <c r="IGR2" s="103"/>
      <c r="IGS2" s="104"/>
      <c r="IGT2" s="103"/>
      <c r="IGU2" s="104"/>
      <c r="IGV2" s="103"/>
      <c r="IGW2" s="104"/>
      <c r="IGX2" s="103"/>
      <c r="IGY2" s="104"/>
      <c r="IGZ2" s="103"/>
      <c r="IHA2" s="104"/>
      <c r="IHB2" s="103"/>
      <c r="IHC2" s="104"/>
      <c r="IHD2" s="103"/>
      <c r="IHE2" s="104"/>
      <c r="IHF2" s="103"/>
      <c r="IHG2" s="104"/>
      <c r="IHH2" s="103"/>
      <c r="IHI2" s="104"/>
      <c r="IHJ2" s="103"/>
      <c r="IHK2" s="104"/>
      <c r="IHL2" s="103"/>
      <c r="IHM2" s="104"/>
      <c r="IHN2" s="103"/>
      <c r="IHO2" s="104"/>
      <c r="IHP2" s="103"/>
      <c r="IHQ2" s="104"/>
      <c r="IHR2" s="103"/>
      <c r="IHS2" s="104"/>
      <c r="IHT2" s="103"/>
      <c r="IHU2" s="104"/>
      <c r="IHV2" s="103"/>
      <c r="IHW2" s="104"/>
      <c r="IHX2" s="103"/>
      <c r="IHY2" s="104"/>
      <c r="IHZ2" s="103"/>
      <c r="IIA2" s="104"/>
      <c r="IIB2" s="103"/>
      <c r="IIC2" s="104"/>
      <c r="IID2" s="103"/>
      <c r="IIE2" s="104"/>
      <c r="IIF2" s="103"/>
      <c r="IIG2" s="104"/>
      <c r="IIH2" s="103"/>
      <c r="III2" s="104"/>
      <c r="IIJ2" s="103"/>
      <c r="IIK2" s="104"/>
      <c r="IIL2" s="103"/>
      <c r="IIM2" s="104"/>
      <c r="IIN2" s="103"/>
      <c r="IIO2" s="104"/>
      <c r="IIP2" s="103"/>
      <c r="IIQ2" s="104"/>
      <c r="IIR2" s="103"/>
      <c r="IIS2" s="104"/>
      <c r="IIT2" s="103"/>
      <c r="IIU2" s="104"/>
      <c r="IIV2" s="103"/>
      <c r="IIW2" s="104"/>
      <c r="IIX2" s="103"/>
      <c r="IIY2" s="104"/>
      <c r="IIZ2" s="103"/>
      <c r="IJA2" s="104"/>
      <c r="IJB2" s="103"/>
      <c r="IJC2" s="104"/>
      <c r="IJD2" s="103"/>
      <c r="IJE2" s="104"/>
      <c r="IJF2" s="103"/>
      <c r="IJG2" s="104"/>
      <c r="IJH2" s="103"/>
      <c r="IJI2" s="104"/>
      <c r="IJJ2" s="103"/>
      <c r="IJK2" s="104"/>
      <c r="IJL2" s="103"/>
      <c r="IJM2" s="104"/>
      <c r="IJN2" s="103"/>
      <c r="IJO2" s="104"/>
      <c r="IJP2" s="103"/>
      <c r="IJQ2" s="104"/>
      <c r="IJR2" s="103"/>
      <c r="IJS2" s="104"/>
      <c r="IJT2" s="103"/>
      <c r="IJU2" s="104"/>
      <c r="IJV2" s="103"/>
      <c r="IJW2" s="104"/>
      <c r="IJX2" s="103"/>
      <c r="IJY2" s="104"/>
      <c r="IJZ2" s="103"/>
      <c r="IKA2" s="104"/>
      <c r="IKB2" s="103"/>
      <c r="IKC2" s="104"/>
      <c r="IKD2" s="103"/>
      <c r="IKE2" s="104"/>
      <c r="IKF2" s="103"/>
      <c r="IKG2" s="104"/>
      <c r="IKH2" s="103"/>
      <c r="IKI2" s="104"/>
      <c r="IKJ2" s="103"/>
      <c r="IKK2" s="104"/>
      <c r="IKL2" s="103"/>
      <c r="IKM2" s="104"/>
      <c r="IKN2" s="103"/>
      <c r="IKO2" s="104"/>
      <c r="IKP2" s="103"/>
      <c r="IKQ2" s="104"/>
      <c r="IKR2" s="103"/>
      <c r="IKS2" s="104"/>
      <c r="IKT2" s="103"/>
      <c r="IKU2" s="104"/>
      <c r="IKV2" s="103"/>
      <c r="IKW2" s="104"/>
      <c r="IKX2" s="103"/>
      <c r="IKY2" s="104"/>
      <c r="IKZ2" s="103"/>
      <c r="ILA2" s="104"/>
      <c r="ILB2" s="103"/>
      <c r="ILC2" s="104"/>
      <c r="ILD2" s="103"/>
      <c r="ILE2" s="104"/>
      <c r="ILF2" s="103"/>
      <c r="ILG2" s="104"/>
      <c r="ILH2" s="103"/>
      <c r="ILI2" s="104"/>
      <c r="ILJ2" s="103"/>
      <c r="ILK2" s="104"/>
      <c r="ILL2" s="103"/>
      <c r="ILM2" s="104"/>
      <c r="ILN2" s="103"/>
      <c r="ILO2" s="104"/>
      <c r="ILP2" s="103"/>
      <c r="ILQ2" s="104"/>
      <c r="ILR2" s="103"/>
      <c r="ILS2" s="104"/>
      <c r="ILT2" s="103"/>
      <c r="ILU2" s="104"/>
      <c r="ILV2" s="103"/>
      <c r="ILW2" s="104"/>
      <c r="ILX2" s="103"/>
      <c r="ILY2" s="104"/>
      <c r="ILZ2" s="103"/>
      <c r="IMA2" s="104"/>
      <c r="IMB2" s="103"/>
      <c r="IMC2" s="104"/>
      <c r="IMD2" s="103"/>
      <c r="IME2" s="104"/>
      <c r="IMF2" s="103"/>
      <c r="IMG2" s="104"/>
      <c r="IMH2" s="103"/>
      <c r="IMI2" s="104"/>
      <c r="IMJ2" s="103"/>
      <c r="IMK2" s="104"/>
      <c r="IML2" s="103"/>
      <c r="IMM2" s="104"/>
      <c r="IMN2" s="103"/>
      <c r="IMO2" s="104"/>
      <c r="IMP2" s="103"/>
      <c r="IMQ2" s="104"/>
      <c r="IMR2" s="103"/>
      <c r="IMS2" s="104"/>
      <c r="IMT2" s="103"/>
      <c r="IMU2" s="104"/>
      <c r="IMV2" s="103"/>
      <c r="IMW2" s="104"/>
      <c r="IMX2" s="103"/>
      <c r="IMY2" s="104"/>
      <c r="IMZ2" s="103"/>
      <c r="INA2" s="104"/>
      <c r="INB2" s="103"/>
      <c r="INC2" s="104"/>
      <c r="IND2" s="103"/>
      <c r="INE2" s="104"/>
      <c r="INF2" s="103"/>
      <c r="ING2" s="104"/>
      <c r="INH2" s="103"/>
      <c r="INI2" s="104"/>
      <c r="INJ2" s="103"/>
      <c r="INK2" s="104"/>
      <c r="INL2" s="103"/>
      <c r="INM2" s="104"/>
      <c r="INN2" s="103"/>
      <c r="INO2" s="104"/>
      <c r="INP2" s="103"/>
      <c r="INQ2" s="104"/>
      <c r="INR2" s="103"/>
      <c r="INS2" s="104"/>
      <c r="INT2" s="103"/>
      <c r="INU2" s="104"/>
      <c r="INV2" s="103"/>
      <c r="INW2" s="104"/>
      <c r="INX2" s="103"/>
      <c r="INY2" s="104"/>
      <c r="INZ2" s="103"/>
      <c r="IOA2" s="104"/>
      <c r="IOB2" s="103"/>
      <c r="IOC2" s="104"/>
      <c r="IOD2" s="103"/>
      <c r="IOE2" s="104"/>
      <c r="IOF2" s="103"/>
      <c r="IOG2" s="104"/>
      <c r="IOH2" s="103"/>
      <c r="IOI2" s="104"/>
      <c r="IOJ2" s="103"/>
      <c r="IOK2" s="104"/>
      <c r="IOL2" s="103"/>
      <c r="IOM2" s="104"/>
      <c r="ION2" s="103"/>
      <c r="IOO2" s="104"/>
      <c r="IOP2" s="103"/>
      <c r="IOQ2" s="104"/>
      <c r="IOR2" s="103"/>
      <c r="IOS2" s="104"/>
      <c r="IOT2" s="103"/>
      <c r="IOU2" s="104"/>
      <c r="IOV2" s="103"/>
      <c r="IOW2" s="104"/>
      <c r="IOX2" s="103"/>
      <c r="IOY2" s="104"/>
      <c r="IOZ2" s="103"/>
      <c r="IPA2" s="104"/>
      <c r="IPB2" s="103"/>
      <c r="IPC2" s="104"/>
      <c r="IPD2" s="103"/>
      <c r="IPE2" s="104"/>
      <c r="IPF2" s="103"/>
      <c r="IPG2" s="104"/>
      <c r="IPH2" s="103"/>
      <c r="IPI2" s="104"/>
      <c r="IPJ2" s="103"/>
      <c r="IPK2" s="104"/>
      <c r="IPL2" s="103"/>
      <c r="IPM2" s="104"/>
      <c r="IPN2" s="103"/>
      <c r="IPO2" s="104"/>
      <c r="IPP2" s="103"/>
      <c r="IPQ2" s="104"/>
      <c r="IPR2" s="103"/>
      <c r="IPS2" s="104"/>
      <c r="IPT2" s="103"/>
      <c r="IPU2" s="104"/>
      <c r="IPV2" s="103"/>
      <c r="IPW2" s="104"/>
      <c r="IPX2" s="103"/>
      <c r="IPY2" s="104"/>
      <c r="IPZ2" s="103"/>
      <c r="IQA2" s="104"/>
      <c r="IQB2" s="103"/>
      <c r="IQC2" s="104"/>
      <c r="IQD2" s="103"/>
      <c r="IQE2" s="104"/>
      <c r="IQF2" s="103"/>
      <c r="IQG2" s="104"/>
      <c r="IQH2" s="103"/>
      <c r="IQI2" s="104"/>
      <c r="IQJ2" s="103"/>
      <c r="IQK2" s="104"/>
      <c r="IQL2" s="103"/>
      <c r="IQM2" s="104"/>
      <c r="IQN2" s="103"/>
      <c r="IQO2" s="104"/>
      <c r="IQP2" s="103"/>
      <c r="IQQ2" s="104"/>
      <c r="IQR2" s="103"/>
      <c r="IQS2" s="104"/>
      <c r="IQT2" s="103"/>
      <c r="IQU2" s="104"/>
      <c r="IQV2" s="103"/>
      <c r="IQW2" s="104"/>
      <c r="IQX2" s="103"/>
      <c r="IQY2" s="104"/>
      <c r="IQZ2" s="103"/>
      <c r="IRA2" s="104"/>
      <c r="IRB2" s="103"/>
      <c r="IRC2" s="104"/>
      <c r="IRD2" s="103"/>
      <c r="IRE2" s="104"/>
      <c r="IRF2" s="103"/>
      <c r="IRG2" s="104"/>
      <c r="IRH2" s="103"/>
      <c r="IRI2" s="104"/>
      <c r="IRJ2" s="103"/>
      <c r="IRK2" s="104"/>
      <c r="IRL2" s="103"/>
      <c r="IRM2" s="104"/>
      <c r="IRN2" s="103"/>
      <c r="IRO2" s="104"/>
      <c r="IRP2" s="103"/>
      <c r="IRQ2" s="104"/>
      <c r="IRR2" s="103"/>
      <c r="IRS2" s="104"/>
      <c r="IRT2" s="103"/>
      <c r="IRU2" s="104"/>
      <c r="IRV2" s="103"/>
      <c r="IRW2" s="104"/>
      <c r="IRX2" s="103"/>
      <c r="IRY2" s="104"/>
      <c r="IRZ2" s="103"/>
      <c r="ISA2" s="104"/>
      <c r="ISB2" s="103"/>
      <c r="ISC2" s="104"/>
      <c r="ISD2" s="103"/>
      <c r="ISE2" s="104"/>
      <c r="ISF2" s="103"/>
      <c r="ISG2" s="104"/>
      <c r="ISH2" s="103"/>
      <c r="ISI2" s="104"/>
      <c r="ISJ2" s="103"/>
      <c r="ISK2" s="104"/>
      <c r="ISL2" s="103"/>
      <c r="ISM2" s="104"/>
      <c r="ISN2" s="103"/>
      <c r="ISO2" s="104"/>
      <c r="ISP2" s="103"/>
      <c r="ISQ2" s="104"/>
      <c r="ISR2" s="103"/>
      <c r="ISS2" s="104"/>
      <c r="IST2" s="103"/>
      <c r="ISU2" s="104"/>
      <c r="ISV2" s="103"/>
      <c r="ISW2" s="104"/>
      <c r="ISX2" s="103"/>
      <c r="ISY2" s="104"/>
      <c r="ISZ2" s="103"/>
      <c r="ITA2" s="104"/>
      <c r="ITB2" s="103"/>
      <c r="ITC2" s="104"/>
      <c r="ITD2" s="103"/>
      <c r="ITE2" s="104"/>
      <c r="ITF2" s="103"/>
      <c r="ITG2" s="104"/>
      <c r="ITH2" s="103"/>
      <c r="ITI2" s="104"/>
      <c r="ITJ2" s="103"/>
      <c r="ITK2" s="104"/>
      <c r="ITL2" s="103"/>
      <c r="ITM2" s="104"/>
      <c r="ITN2" s="103"/>
      <c r="ITO2" s="104"/>
      <c r="ITP2" s="103"/>
      <c r="ITQ2" s="104"/>
      <c r="ITR2" s="103"/>
      <c r="ITS2" s="104"/>
      <c r="ITT2" s="103"/>
      <c r="ITU2" s="104"/>
      <c r="ITV2" s="103"/>
      <c r="ITW2" s="104"/>
      <c r="ITX2" s="103"/>
      <c r="ITY2" s="104"/>
      <c r="ITZ2" s="103"/>
      <c r="IUA2" s="104"/>
      <c r="IUB2" s="103"/>
      <c r="IUC2" s="104"/>
      <c r="IUD2" s="103"/>
      <c r="IUE2" s="104"/>
      <c r="IUF2" s="103"/>
      <c r="IUG2" s="104"/>
      <c r="IUH2" s="103"/>
      <c r="IUI2" s="104"/>
      <c r="IUJ2" s="103"/>
      <c r="IUK2" s="104"/>
      <c r="IUL2" s="103"/>
      <c r="IUM2" s="104"/>
      <c r="IUN2" s="103"/>
      <c r="IUO2" s="104"/>
      <c r="IUP2" s="103"/>
      <c r="IUQ2" s="104"/>
      <c r="IUR2" s="103"/>
      <c r="IUS2" s="104"/>
      <c r="IUT2" s="103"/>
      <c r="IUU2" s="104"/>
      <c r="IUV2" s="103"/>
      <c r="IUW2" s="104"/>
      <c r="IUX2" s="103"/>
      <c r="IUY2" s="104"/>
      <c r="IUZ2" s="103"/>
      <c r="IVA2" s="104"/>
      <c r="IVB2" s="103"/>
      <c r="IVC2" s="104"/>
      <c r="IVD2" s="103"/>
      <c r="IVE2" s="104"/>
      <c r="IVF2" s="103"/>
      <c r="IVG2" s="104"/>
      <c r="IVH2" s="103"/>
      <c r="IVI2" s="104"/>
      <c r="IVJ2" s="103"/>
      <c r="IVK2" s="104"/>
      <c r="IVL2" s="103"/>
      <c r="IVM2" s="104"/>
      <c r="IVN2" s="103"/>
      <c r="IVO2" s="104"/>
      <c r="IVP2" s="103"/>
      <c r="IVQ2" s="104"/>
      <c r="IVR2" s="103"/>
      <c r="IVS2" s="104"/>
      <c r="IVT2" s="103"/>
      <c r="IVU2" s="104"/>
      <c r="IVV2" s="103"/>
      <c r="IVW2" s="104"/>
      <c r="IVX2" s="103"/>
      <c r="IVY2" s="104"/>
      <c r="IVZ2" s="103"/>
      <c r="IWA2" s="104"/>
      <c r="IWB2" s="103"/>
      <c r="IWC2" s="104"/>
      <c r="IWD2" s="103"/>
      <c r="IWE2" s="104"/>
      <c r="IWF2" s="103"/>
      <c r="IWG2" s="104"/>
      <c r="IWH2" s="103"/>
      <c r="IWI2" s="104"/>
      <c r="IWJ2" s="103"/>
      <c r="IWK2" s="104"/>
      <c r="IWL2" s="103"/>
      <c r="IWM2" s="104"/>
      <c r="IWN2" s="103"/>
      <c r="IWO2" s="104"/>
      <c r="IWP2" s="103"/>
      <c r="IWQ2" s="104"/>
      <c r="IWR2" s="103"/>
      <c r="IWS2" s="104"/>
      <c r="IWT2" s="103"/>
      <c r="IWU2" s="104"/>
      <c r="IWV2" s="103"/>
      <c r="IWW2" s="104"/>
      <c r="IWX2" s="103"/>
      <c r="IWY2" s="104"/>
      <c r="IWZ2" s="103"/>
      <c r="IXA2" s="104"/>
      <c r="IXB2" s="103"/>
      <c r="IXC2" s="104"/>
      <c r="IXD2" s="103"/>
      <c r="IXE2" s="104"/>
      <c r="IXF2" s="103"/>
      <c r="IXG2" s="104"/>
      <c r="IXH2" s="103"/>
      <c r="IXI2" s="104"/>
      <c r="IXJ2" s="103"/>
      <c r="IXK2" s="104"/>
      <c r="IXL2" s="103"/>
      <c r="IXM2" s="104"/>
      <c r="IXN2" s="103"/>
      <c r="IXO2" s="104"/>
      <c r="IXP2" s="103"/>
      <c r="IXQ2" s="104"/>
      <c r="IXR2" s="103"/>
      <c r="IXS2" s="104"/>
      <c r="IXT2" s="103"/>
      <c r="IXU2" s="104"/>
      <c r="IXV2" s="103"/>
      <c r="IXW2" s="104"/>
      <c r="IXX2" s="103"/>
      <c r="IXY2" s="104"/>
      <c r="IXZ2" s="103"/>
      <c r="IYA2" s="104"/>
      <c r="IYB2" s="103"/>
      <c r="IYC2" s="104"/>
      <c r="IYD2" s="103"/>
      <c r="IYE2" s="104"/>
      <c r="IYF2" s="103"/>
      <c r="IYG2" s="104"/>
      <c r="IYH2" s="103"/>
      <c r="IYI2" s="104"/>
      <c r="IYJ2" s="103"/>
      <c r="IYK2" s="104"/>
      <c r="IYL2" s="103"/>
      <c r="IYM2" s="104"/>
      <c r="IYN2" s="103"/>
      <c r="IYO2" s="104"/>
      <c r="IYP2" s="103"/>
      <c r="IYQ2" s="104"/>
      <c r="IYR2" s="103"/>
      <c r="IYS2" s="104"/>
      <c r="IYT2" s="103"/>
      <c r="IYU2" s="104"/>
      <c r="IYV2" s="103"/>
      <c r="IYW2" s="104"/>
      <c r="IYX2" s="103"/>
      <c r="IYY2" s="104"/>
      <c r="IYZ2" s="103"/>
      <c r="IZA2" s="104"/>
      <c r="IZB2" s="103"/>
      <c r="IZC2" s="104"/>
      <c r="IZD2" s="103"/>
      <c r="IZE2" s="104"/>
      <c r="IZF2" s="103"/>
      <c r="IZG2" s="104"/>
      <c r="IZH2" s="103"/>
      <c r="IZI2" s="104"/>
      <c r="IZJ2" s="103"/>
      <c r="IZK2" s="104"/>
      <c r="IZL2" s="103"/>
      <c r="IZM2" s="104"/>
      <c r="IZN2" s="103"/>
      <c r="IZO2" s="104"/>
      <c r="IZP2" s="103"/>
      <c r="IZQ2" s="104"/>
      <c r="IZR2" s="103"/>
      <c r="IZS2" s="104"/>
      <c r="IZT2" s="103"/>
      <c r="IZU2" s="104"/>
      <c r="IZV2" s="103"/>
      <c r="IZW2" s="104"/>
      <c r="IZX2" s="103"/>
      <c r="IZY2" s="104"/>
      <c r="IZZ2" s="103"/>
      <c r="JAA2" s="104"/>
      <c r="JAB2" s="103"/>
      <c r="JAC2" s="104"/>
      <c r="JAD2" s="103"/>
      <c r="JAE2" s="104"/>
      <c r="JAF2" s="103"/>
      <c r="JAG2" s="104"/>
      <c r="JAH2" s="103"/>
      <c r="JAI2" s="104"/>
      <c r="JAJ2" s="103"/>
      <c r="JAK2" s="104"/>
      <c r="JAL2" s="103"/>
      <c r="JAM2" s="104"/>
      <c r="JAN2" s="103"/>
      <c r="JAO2" s="104"/>
      <c r="JAP2" s="103"/>
      <c r="JAQ2" s="104"/>
      <c r="JAR2" s="103"/>
      <c r="JAS2" s="104"/>
      <c r="JAT2" s="103"/>
      <c r="JAU2" s="104"/>
      <c r="JAV2" s="103"/>
      <c r="JAW2" s="104"/>
      <c r="JAX2" s="103"/>
      <c r="JAY2" s="104"/>
      <c r="JAZ2" s="103"/>
      <c r="JBA2" s="104"/>
      <c r="JBB2" s="103"/>
      <c r="JBC2" s="104"/>
      <c r="JBD2" s="103"/>
      <c r="JBE2" s="104"/>
      <c r="JBF2" s="103"/>
      <c r="JBG2" s="104"/>
      <c r="JBH2" s="103"/>
      <c r="JBI2" s="104"/>
      <c r="JBJ2" s="103"/>
      <c r="JBK2" s="104"/>
      <c r="JBL2" s="103"/>
      <c r="JBM2" s="104"/>
      <c r="JBN2" s="103"/>
      <c r="JBO2" s="104"/>
      <c r="JBP2" s="103"/>
      <c r="JBQ2" s="104"/>
      <c r="JBR2" s="103"/>
      <c r="JBS2" s="104"/>
      <c r="JBT2" s="103"/>
      <c r="JBU2" s="104"/>
      <c r="JBV2" s="103"/>
      <c r="JBW2" s="104"/>
      <c r="JBX2" s="103"/>
      <c r="JBY2" s="104"/>
      <c r="JBZ2" s="103"/>
      <c r="JCA2" s="104"/>
      <c r="JCB2" s="103"/>
      <c r="JCC2" s="104"/>
      <c r="JCD2" s="103"/>
      <c r="JCE2" s="104"/>
      <c r="JCF2" s="103"/>
      <c r="JCG2" s="104"/>
      <c r="JCH2" s="103"/>
      <c r="JCI2" s="104"/>
      <c r="JCJ2" s="103"/>
      <c r="JCK2" s="104"/>
      <c r="JCL2" s="103"/>
      <c r="JCM2" s="104"/>
      <c r="JCN2" s="103"/>
      <c r="JCO2" s="104"/>
      <c r="JCP2" s="103"/>
      <c r="JCQ2" s="104"/>
      <c r="JCR2" s="103"/>
      <c r="JCS2" s="104"/>
      <c r="JCT2" s="103"/>
      <c r="JCU2" s="104"/>
      <c r="JCV2" s="103"/>
      <c r="JCW2" s="104"/>
      <c r="JCX2" s="103"/>
      <c r="JCY2" s="104"/>
      <c r="JCZ2" s="103"/>
      <c r="JDA2" s="104"/>
      <c r="JDB2" s="103"/>
      <c r="JDC2" s="104"/>
      <c r="JDD2" s="103"/>
      <c r="JDE2" s="104"/>
      <c r="JDF2" s="103"/>
      <c r="JDG2" s="104"/>
      <c r="JDH2" s="103"/>
      <c r="JDI2" s="104"/>
      <c r="JDJ2" s="103"/>
      <c r="JDK2" s="104"/>
      <c r="JDL2" s="103"/>
      <c r="JDM2" s="104"/>
      <c r="JDN2" s="103"/>
      <c r="JDO2" s="104"/>
      <c r="JDP2" s="103"/>
      <c r="JDQ2" s="104"/>
      <c r="JDR2" s="103"/>
      <c r="JDS2" s="104"/>
      <c r="JDT2" s="103"/>
      <c r="JDU2" s="104"/>
      <c r="JDV2" s="103"/>
      <c r="JDW2" s="104"/>
      <c r="JDX2" s="103"/>
      <c r="JDY2" s="104"/>
      <c r="JDZ2" s="103"/>
      <c r="JEA2" s="104"/>
      <c r="JEB2" s="103"/>
      <c r="JEC2" s="104"/>
      <c r="JED2" s="103"/>
      <c r="JEE2" s="104"/>
      <c r="JEF2" s="103"/>
      <c r="JEG2" s="104"/>
      <c r="JEH2" s="103"/>
      <c r="JEI2" s="104"/>
      <c r="JEJ2" s="103"/>
      <c r="JEK2" s="104"/>
      <c r="JEL2" s="103"/>
      <c r="JEM2" s="104"/>
      <c r="JEN2" s="103"/>
      <c r="JEO2" s="104"/>
      <c r="JEP2" s="103"/>
      <c r="JEQ2" s="104"/>
      <c r="JER2" s="103"/>
      <c r="JES2" s="104"/>
      <c r="JET2" s="103"/>
      <c r="JEU2" s="104"/>
      <c r="JEV2" s="103"/>
      <c r="JEW2" s="104"/>
      <c r="JEX2" s="103"/>
      <c r="JEY2" s="104"/>
      <c r="JEZ2" s="103"/>
      <c r="JFA2" s="104"/>
      <c r="JFB2" s="103"/>
      <c r="JFC2" s="104"/>
      <c r="JFD2" s="103"/>
      <c r="JFE2" s="104"/>
      <c r="JFF2" s="103"/>
      <c r="JFG2" s="104"/>
      <c r="JFH2" s="103"/>
      <c r="JFI2" s="104"/>
      <c r="JFJ2" s="103"/>
      <c r="JFK2" s="104"/>
      <c r="JFL2" s="103"/>
      <c r="JFM2" s="104"/>
      <c r="JFN2" s="103"/>
      <c r="JFO2" s="104"/>
      <c r="JFP2" s="103"/>
      <c r="JFQ2" s="104"/>
      <c r="JFR2" s="103"/>
      <c r="JFS2" s="104"/>
      <c r="JFT2" s="103"/>
      <c r="JFU2" s="104"/>
      <c r="JFV2" s="103"/>
      <c r="JFW2" s="104"/>
      <c r="JFX2" s="103"/>
      <c r="JFY2" s="104"/>
      <c r="JFZ2" s="103"/>
      <c r="JGA2" s="104"/>
      <c r="JGB2" s="103"/>
      <c r="JGC2" s="104"/>
      <c r="JGD2" s="103"/>
      <c r="JGE2" s="104"/>
      <c r="JGF2" s="103"/>
      <c r="JGG2" s="104"/>
      <c r="JGH2" s="103"/>
      <c r="JGI2" s="104"/>
      <c r="JGJ2" s="103"/>
      <c r="JGK2" s="104"/>
      <c r="JGL2" s="103"/>
      <c r="JGM2" s="104"/>
      <c r="JGN2" s="103"/>
      <c r="JGO2" s="104"/>
      <c r="JGP2" s="103"/>
      <c r="JGQ2" s="104"/>
      <c r="JGR2" s="103"/>
      <c r="JGS2" s="104"/>
      <c r="JGT2" s="103"/>
      <c r="JGU2" s="104"/>
      <c r="JGV2" s="103"/>
      <c r="JGW2" s="104"/>
      <c r="JGX2" s="103"/>
      <c r="JGY2" s="104"/>
      <c r="JGZ2" s="103"/>
      <c r="JHA2" s="104"/>
      <c r="JHB2" s="103"/>
      <c r="JHC2" s="104"/>
      <c r="JHD2" s="103"/>
      <c r="JHE2" s="104"/>
      <c r="JHF2" s="103"/>
      <c r="JHG2" s="104"/>
      <c r="JHH2" s="103"/>
      <c r="JHI2" s="104"/>
      <c r="JHJ2" s="103"/>
      <c r="JHK2" s="104"/>
      <c r="JHL2" s="103"/>
      <c r="JHM2" s="104"/>
      <c r="JHN2" s="103"/>
      <c r="JHO2" s="104"/>
      <c r="JHP2" s="103"/>
      <c r="JHQ2" s="104"/>
      <c r="JHR2" s="103"/>
      <c r="JHS2" s="104"/>
      <c r="JHT2" s="103"/>
      <c r="JHU2" s="104"/>
      <c r="JHV2" s="103"/>
      <c r="JHW2" s="104"/>
      <c r="JHX2" s="103"/>
      <c r="JHY2" s="104"/>
      <c r="JHZ2" s="103"/>
      <c r="JIA2" s="104"/>
      <c r="JIB2" s="103"/>
      <c r="JIC2" s="104"/>
      <c r="JID2" s="103"/>
      <c r="JIE2" s="104"/>
      <c r="JIF2" s="103"/>
      <c r="JIG2" s="104"/>
      <c r="JIH2" s="103"/>
      <c r="JII2" s="104"/>
      <c r="JIJ2" s="103"/>
      <c r="JIK2" s="104"/>
      <c r="JIL2" s="103"/>
      <c r="JIM2" s="104"/>
      <c r="JIN2" s="103"/>
      <c r="JIO2" s="104"/>
      <c r="JIP2" s="103"/>
      <c r="JIQ2" s="104"/>
      <c r="JIR2" s="103"/>
      <c r="JIS2" s="104"/>
      <c r="JIT2" s="103"/>
      <c r="JIU2" s="104"/>
      <c r="JIV2" s="103"/>
      <c r="JIW2" s="104"/>
      <c r="JIX2" s="103"/>
      <c r="JIY2" s="104"/>
      <c r="JIZ2" s="103"/>
      <c r="JJA2" s="104"/>
      <c r="JJB2" s="103"/>
      <c r="JJC2" s="104"/>
      <c r="JJD2" s="103"/>
      <c r="JJE2" s="104"/>
      <c r="JJF2" s="103"/>
      <c r="JJG2" s="104"/>
      <c r="JJH2" s="103"/>
      <c r="JJI2" s="104"/>
      <c r="JJJ2" s="103"/>
      <c r="JJK2" s="104"/>
      <c r="JJL2" s="103"/>
      <c r="JJM2" s="104"/>
      <c r="JJN2" s="103"/>
      <c r="JJO2" s="104"/>
      <c r="JJP2" s="103"/>
      <c r="JJQ2" s="104"/>
      <c r="JJR2" s="103"/>
      <c r="JJS2" s="104"/>
      <c r="JJT2" s="103"/>
      <c r="JJU2" s="104"/>
      <c r="JJV2" s="103"/>
      <c r="JJW2" s="104"/>
      <c r="JJX2" s="103"/>
      <c r="JJY2" s="104"/>
      <c r="JJZ2" s="103"/>
      <c r="JKA2" s="104"/>
      <c r="JKB2" s="103"/>
      <c r="JKC2" s="104"/>
      <c r="JKD2" s="103"/>
      <c r="JKE2" s="104"/>
      <c r="JKF2" s="103"/>
      <c r="JKG2" s="104"/>
      <c r="JKH2" s="103"/>
      <c r="JKI2" s="104"/>
      <c r="JKJ2" s="103"/>
      <c r="JKK2" s="104"/>
      <c r="JKL2" s="103"/>
      <c r="JKM2" s="104"/>
      <c r="JKN2" s="103"/>
      <c r="JKO2" s="104"/>
      <c r="JKP2" s="103"/>
      <c r="JKQ2" s="104"/>
      <c r="JKR2" s="103"/>
      <c r="JKS2" s="104"/>
      <c r="JKT2" s="103"/>
      <c r="JKU2" s="104"/>
      <c r="JKV2" s="103"/>
      <c r="JKW2" s="104"/>
      <c r="JKX2" s="103"/>
      <c r="JKY2" s="104"/>
      <c r="JKZ2" s="103"/>
      <c r="JLA2" s="104"/>
      <c r="JLB2" s="103"/>
      <c r="JLC2" s="104"/>
      <c r="JLD2" s="103"/>
      <c r="JLE2" s="104"/>
      <c r="JLF2" s="103"/>
      <c r="JLG2" s="104"/>
      <c r="JLH2" s="103"/>
      <c r="JLI2" s="104"/>
      <c r="JLJ2" s="103"/>
      <c r="JLK2" s="104"/>
      <c r="JLL2" s="103"/>
      <c r="JLM2" s="104"/>
      <c r="JLN2" s="103"/>
      <c r="JLO2" s="104"/>
      <c r="JLP2" s="103"/>
      <c r="JLQ2" s="104"/>
      <c r="JLR2" s="103"/>
      <c r="JLS2" s="104"/>
      <c r="JLT2" s="103"/>
      <c r="JLU2" s="104"/>
      <c r="JLV2" s="103"/>
      <c r="JLW2" s="104"/>
      <c r="JLX2" s="103"/>
      <c r="JLY2" s="104"/>
      <c r="JLZ2" s="103"/>
      <c r="JMA2" s="104"/>
      <c r="JMB2" s="103"/>
      <c r="JMC2" s="104"/>
      <c r="JMD2" s="103"/>
      <c r="JME2" s="104"/>
      <c r="JMF2" s="103"/>
      <c r="JMG2" s="104"/>
      <c r="JMH2" s="103"/>
      <c r="JMI2" s="104"/>
      <c r="JMJ2" s="103"/>
      <c r="JMK2" s="104"/>
      <c r="JML2" s="103"/>
      <c r="JMM2" s="104"/>
      <c r="JMN2" s="103"/>
      <c r="JMO2" s="104"/>
      <c r="JMP2" s="103"/>
      <c r="JMQ2" s="104"/>
      <c r="JMR2" s="103"/>
      <c r="JMS2" s="104"/>
      <c r="JMT2" s="103"/>
      <c r="JMU2" s="104"/>
      <c r="JMV2" s="103"/>
      <c r="JMW2" s="104"/>
      <c r="JMX2" s="103"/>
      <c r="JMY2" s="104"/>
      <c r="JMZ2" s="103"/>
      <c r="JNA2" s="104"/>
      <c r="JNB2" s="103"/>
      <c r="JNC2" s="104"/>
      <c r="JND2" s="103"/>
      <c r="JNE2" s="104"/>
      <c r="JNF2" s="103"/>
      <c r="JNG2" s="104"/>
      <c r="JNH2" s="103"/>
      <c r="JNI2" s="104"/>
      <c r="JNJ2" s="103"/>
      <c r="JNK2" s="104"/>
      <c r="JNL2" s="103"/>
      <c r="JNM2" s="104"/>
      <c r="JNN2" s="103"/>
      <c r="JNO2" s="104"/>
      <c r="JNP2" s="103"/>
      <c r="JNQ2" s="104"/>
      <c r="JNR2" s="103"/>
      <c r="JNS2" s="104"/>
      <c r="JNT2" s="103"/>
      <c r="JNU2" s="104"/>
      <c r="JNV2" s="103"/>
      <c r="JNW2" s="104"/>
      <c r="JNX2" s="103"/>
      <c r="JNY2" s="104"/>
      <c r="JNZ2" s="103"/>
      <c r="JOA2" s="104"/>
      <c r="JOB2" s="103"/>
      <c r="JOC2" s="104"/>
      <c r="JOD2" s="103"/>
      <c r="JOE2" s="104"/>
      <c r="JOF2" s="103"/>
      <c r="JOG2" s="104"/>
      <c r="JOH2" s="103"/>
      <c r="JOI2" s="104"/>
      <c r="JOJ2" s="103"/>
      <c r="JOK2" s="104"/>
      <c r="JOL2" s="103"/>
      <c r="JOM2" s="104"/>
      <c r="JON2" s="103"/>
      <c r="JOO2" s="104"/>
      <c r="JOP2" s="103"/>
      <c r="JOQ2" s="104"/>
      <c r="JOR2" s="103"/>
      <c r="JOS2" s="104"/>
      <c r="JOT2" s="103"/>
      <c r="JOU2" s="104"/>
      <c r="JOV2" s="103"/>
      <c r="JOW2" s="104"/>
      <c r="JOX2" s="103"/>
      <c r="JOY2" s="104"/>
      <c r="JOZ2" s="103"/>
      <c r="JPA2" s="104"/>
      <c r="JPB2" s="103"/>
      <c r="JPC2" s="104"/>
      <c r="JPD2" s="103"/>
      <c r="JPE2" s="104"/>
      <c r="JPF2" s="103"/>
      <c r="JPG2" s="104"/>
      <c r="JPH2" s="103"/>
      <c r="JPI2" s="104"/>
      <c r="JPJ2" s="103"/>
      <c r="JPK2" s="104"/>
      <c r="JPL2" s="103"/>
      <c r="JPM2" s="104"/>
      <c r="JPN2" s="103"/>
      <c r="JPO2" s="104"/>
      <c r="JPP2" s="103"/>
      <c r="JPQ2" s="104"/>
      <c r="JPR2" s="103"/>
      <c r="JPS2" s="104"/>
      <c r="JPT2" s="103"/>
      <c r="JPU2" s="104"/>
      <c r="JPV2" s="103"/>
      <c r="JPW2" s="104"/>
      <c r="JPX2" s="103"/>
      <c r="JPY2" s="104"/>
      <c r="JPZ2" s="103"/>
      <c r="JQA2" s="104"/>
      <c r="JQB2" s="103"/>
      <c r="JQC2" s="104"/>
      <c r="JQD2" s="103"/>
      <c r="JQE2" s="104"/>
      <c r="JQF2" s="103"/>
      <c r="JQG2" s="104"/>
      <c r="JQH2" s="103"/>
      <c r="JQI2" s="104"/>
      <c r="JQJ2" s="103"/>
      <c r="JQK2" s="104"/>
      <c r="JQL2" s="103"/>
      <c r="JQM2" s="104"/>
      <c r="JQN2" s="103"/>
      <c r="JQO2" s="104"/>
      <c r="JQP2" s="103"/>
      <c r="JQQ2" s="104"/>
      <c r="JQR2" s="103"/>
      <c r="JQS2" s="104"/>
      <c r="JQT2" s="103"/>
      <c r="JQU2" s="104"/>
      <c r="JQV2" s="103"/>
      <c r="JQW2" s="104"/>
      <c r="JQX2" s="103"/>
      <c r="JQY2" s="104"/>
      <c r="JQZ2" s="103"/>
      <c r="JRA2" s="104"/>
      <c r="JRB2" s="103"/>
      <c r="JRC2" s="104"/>
      <c r="JRD2" s="103"/>
      <c r="JRE2" s="104"/>
      <c r="JRF2" s="103"/>
      <c r="JRG2" s="104"/>
      <c r="JRH2" s="103"/>
      <c r="JRI2" s="104"/>
      <c r="JRJ2" s="103"/>
      <c r="JRK2" s="104"/>
      <c r="JRL2" s="103"/>
      <c r="JRM2" s="104"/>
      <c r="JRN2" s="103"/>
      <c r="JRO2" s="104"/>
      <c r="JRP2" s="103"/>
      <c r="JRQ2" s="104"/>
      <c r="JRR2" s="103"/>
      <c r="JRS2" s="104"/>
      <c r="JRT2" s="103"/>
      <c r="JRU2" s="104"/>
      <c r="JRV2" s="103"/>
      <c r="JRW2" s="104"/>
      <c r="JRX2" s="103"/>
      <c r="JRY2" s="104"/>
      <c r="JRZ2" s="103"/>
      <c r="JSA2" s="104"/>
      <c r="JSB2" s="103"/>
      <c r="JSC2" s="104"/>
      <c r="JSD2" s="103"/>
      <c r="JSE2" s="104"/>
      <c r="JSF2" s="103"/>
      <c r="JSG2" s="104"/>
      <c r="JSH2" s="103"/>
      <c r="JSI2" s="104"/>
      <c r="JSJ2" s="103"/>
      <c r="JSK2" s="104"/>
      <c r="JSL2" s="103"/>
      <c r="JSM2" s="104"/>
      <c r="JSN2" s="103"/>
      <c r="JSO2" s="104"/>
      <c r="JSP2" s="103"/>
      <c r="JSQ2" s="104"/>
      <c r="JSR2" s="103"/>
      <c r="JSS2" s="104"/>
      <c r="JST2" s="103"/>
      <c r="JSU2" s="104"/>
      <c r="JSV2" s="103"/>
      <c r="JSW2" s="104"/>
      <c r="JSX2" s="103"/>
      <c r="JSY2" s="104"/>
      <c r="JSZ2" s="103"/>
      <c r="JTA2" s="104"/>
      <c r="JTB2" s="103"/>
      <c r="JTC2" s="104"/>
      <c r="JTD2" s="103"/>
      <c r="JTE2" s="104"/>
      <c r="JTF2" s="103"/>
      <c r="JTG2" s="104"/>
      <c r="JTH2" s="103"/>
      <c r="JTI2" s="104"/>
      <c r="JTJ2" s="103"/>
      <c r="JTK2" s="104"/>
      <c r="JTL2" s="103"/>
      <c r="JTM2" s="104"/>
      <c r="JTN2" s="103"/>
      <c r="JTO2" s="104"/>
      <c r="JTP2" s="103"/>
      <c r="JTQ2" s="104"/>
      <c r="JTR2" s="103"/>
      <c r="JTS2" s="104"/>
      <c r="JTT2" s="103"/>
      <c r="JTU2" s="104"/>
      <c r="JTV2" s="103"/>
      <c r="JTW2" s="104"/>
      <c r="JTX2" s="103"/>
      <c r="JTY2" s="104"/>
      <c r="JTZ2" s="103"/>
      <c r="JUA2" s="104"/>
      <c r="JUB2" s="103"/>
      <c r="JUC2" s="104"/>
      <c r="JUD2" s="103"/>
      <c r="JUE2" s="104"/>
      <c r="JUF2" s="103"/>
      <c r="JUG2" s="104"/>
      <c r="JUH2" s="103"/>
      <c r="JUI2" s="104"/>
      <c r="JUJ2" s="103"/>
      <c r="JUK2" s="104"/>
      <c r="JUL2" s="103"/>
      <c r="JUM2" s="104"/>
      <c r="JUN2" s="103"/>
      <c r="JUO2" s="104"/>
      <c r="JUP2" s="103"/>
      <c r="JUQ2" s="104"/>
      <c r="JUR2" s="103"/>
      <c r="JUS2" s="104"/>
      <c r="JUT2" s="103"/>
      <c r="JUU2" s="104"/>
      <c r="JUV2" s="103"/>
      <c r="JUW2" s="104"/>
      <c r="JUX2" s="103"/>
      <c r="JUY2" s="104"/>
      <c r="JUZ2" s="103"/>
      <c r="JVA2" s="104"/>
      <c r="JVB2" s="103"/>
      <c r="JVC2" s="104"/>
      <c r="JVD2" s="103"/>
      <c r="JVE2" s="104"/>
      <c r="JVF2" s="103"/>
      <c r="JVG2" s="104"/>
      <c r="JVH2" s="103"/>
      <c r="JVI2" s="104"/>
      <c r="JVJ2" s="103"/>
      <c r="JVK2" s="104"/>
      <c r="JVL2" s="103"/>
      <c r="JVM2" s="104"/>
      <c r="JVN2" s="103"/>
      <c r="JVO2" s="104"/>
      <c r="JVP2" s="103"/>
      <c r="JVQ2" s="104"/>
      <c r="JVR2" s="103"/>
      <c r="JVS2" s="104"/>
      <c r="JVT2" s="103"/>
      <c r="JVU2" s="104"/>
      <c r="JVV2" s="103"/>
      <c r="JVW2" s="104"/>
      <c r="JVX2" s="103"/>
      <c r="JVY2" s="104"/>
      <c r="JVZ2" s="103"/>
      <c r="JWA2" s="104"/>
      <c r="JWB2" s="103"/>
      <c r="JWC2" s="104"/>
      <c r="JWD2" s="103"/>
      <c r="JWE2" s="104"/>
      <c r="JWF2" s="103"/>
      <c r="JWG2" s="104"/>
      <c r="JWH2" s="103"/>
      <c r="JWI2" s="104"/>
      <c r="JWJ2" s="103"/>
      <c r="JWK2" s="104"/>
      <c r="JWL2" s="103"/>
      <c r="JWM2" s="104"/>
      <c r="JWN2" s="103"/>
      <c r="JWO2" s="104"/>
      <c r="JWP2" s="103"/>
      <c r="JWQ2" s="104"/>
      <c r="JWR2" s="103"/>
      <c r="JWS2" s="104"/>
      <c r="JWT2" s="103"/>
      <c r="JWU2" s="104"/>
      <c r="JWV2" s="103"/>
      <c r="JWW2" s="104"/>
      <c r="JWX2" s="103"/>
      <c r="JWY2" s="104"/>
      <c r="JWZ2" s="103"/>
      <c r="JXA2" s="104"/>
      <c r="JXB2" s="103"/>
      <c r="JXC2" s="104"/>
      <c r="JXD2" s="103"/>
      <c r="JXE2" s="104"/>
      <c r="JXF2" s="103"/>
      <c r="JXG2" s="104"/>
      <c r="JXH2" s="103"/>
      <c r="JXI2" s="104"/>
      <c r="JXJ2" s="103"/>
      <c r="JXK2" s="104"/>
      <c r="JXL2" s="103"/>
      <c r="JXM2" s="104"/>
      <c r="JXN2" s="103"/>
      <c r="JXO2" s="104"/>
      <c r="JXP2" s="103"/>
      <c r="JXQ2" s="104"/>
      <c r="JXR2" s="103"/>
      <c r="JXS2" s="104"/>
      <c r="JXT2" s="103"/>
      <c r="JXU2" s="104"/>
      <c r="JXV2" s="103"/>
      <c r="JXW2" s="104"/>
      <c r="JXX2" s="103"/>
      <c r="JXY2" s="104"/>
      <c r="JXZ2" s="103"/>
      <c r="JYA2" s="104"/>
      <c r="JYB2" s="103"/>
      <c r="JYC2" s="104"/>
      <c r="JYD2" s="103"/>
      <c r="JYE2" s="104"/>
      <c r="JYF2" s="103"/>
      <c r="JYG2" s="104"/>
      <c r="JYH2" s="103"/>
      <c r="JYI2" s="104"/>
      <c r="JYJ2" s="103"/>
      <c r="JYK2" s="104"/>
      <c r="JYL2" s="103"/>
      <c r="JYM2" s="104"/>
      <c r="JYN2" s="103"/>
      <c r="JYO2" s="104"/>
      <c r="JYP2" s="103"/>
      <c r="JYQ2" s="104"/>
      <c r="JYR2" s="103"/>
      <c r="JYS2" s="104"/>
      <c r="JYT2" s="103"/>
      <c r="JYU2" s="104"/>
      <c r="JYV2" s="103"/>
      <c r="JYW2" s="104"/>
      <c r="JYX2" s="103"/>
      <c r="JYY2" s="104"/>
      <c r="JYZ2" s="103"/>
      <c r="JZA2" s="104"/>
      <c r="JZB2" s="103"/>
      <c r="JZC2" s="104"/>
      <c r="JZD2" s="103"/>
      <c r="JZE2" s="104"/>
      <c r="JZF2" s="103"/>
      <c r="JZG2" s="104"/>
      <c r="JZH2" s="103"/>
      <c r="JZI2" s="104"/>
      <c r="JZJ2" s="103"/>
      <c r="JZK2" s="104"/>
      <c r="JZL2" s="103"/>
      <c r="JZM2" s="104"/>
      <c r="JZN2" s="103"/>
      <c r="JZO2" s="104"/>
      <c r="JZP2" s="103"/>
      <c r="JZQ2" s="104"/>
      <c r="JZR2" s="103"/>
      <c r="JZS2" s="104"/>
      <c r="JZT2" s="103"/>
      <c r="JZU2" s="104"/>
      <c r="JZV2" s="103"/>
      <c r="JZW2" s="104"/>
      <c r="JZX2" s="103"/>
      <c r="JZY2" s="104"/>
      <c r="JZZ2" s="103"/>
      <c r="KAA2" s="104"/>
      <c r="KAB2" s="103"/>
      <c r="KAC2" s="104"/>
      <c r="KAD2" s="103"/>
      <c r="KAE2" s="104"/>
      <c r="KAF2" s="103"/>
      <c r="KAG2" s="104"/>
      <c r="KAH2" s="103"/>
      <c r="KAI2" s="104"/>
      <c r="KAJ2" s="103"/>
      <c r="KAK2" s="104"/>
      <c r="KAL2" s="103"/>
      <c r="KAM2" s="104"/>
      <c r="KAN2" s="103"/>
      <c r="KAO2" s="104"/>
      <c r="KAP2" s="103"/>
      <c r="KAQ2" s="104"/>
      <c r="KAR2" s="103"/>
      <c r="KAS2" s="104"/>
      <c r="KAT2" s="103"/>
      <c r="KAU2" s="104"/>
      <c r="KAV2" s="103"/>
      <c r="KAW2" s="104"/>
      <c r="KAX2" s="103"/>
      <c r="KAY2" s="104"/>
      <c r="KAZ2" s="103"/>
      <c r="KBA2" s="104"/>
      <c r="KBB2" s="103"/>
      <c r="KBC2" s="104"/>
      <c r="KBD2" s="103"/>
      <c r="KBE2" s="104"/>
      <c r="KBF2" s="103"/>
      <c r="KBG2" s="104"/>
      <c r="KBH2" s="103"/>
      <c r="KBI2" s="104"/>
      <c r="KBJ2" s="103"/>
      <c r="KBK2" s="104"/>
      <c r="KBL2" s="103"/>
      <c r="KBM2" s="104"/>
      <c r="KBN2" s="103"/>
      <c r="KBO2" s="104"/>
      <c r="KBP2" s="103"/>
      <c r="KBQ2" s="104"/>
      <c r="KBR2" s="103"/>
      <c r="KBS2" s="104"/>
      <c r="KBT2" s="103"/>
      <c r="KBU2" s="104"/>
      <c r="KBV2" s="103"/>
      <c r="KBW2" s="104"/>
      <c r="KBX2" s="103"/>
      <c r="KBY2" s="104"/>
      <c r="KBZ2" s="103"/>
      <c r="KCA2" s="104"/>
      <c r="KCB2" s="103"/>
      <c r="KCC2" s="104"/>
      <c r="KCD2" s="103"/>
      <c r="KCE2" s="104"/>
      <c r="KCF2" s="103"/>
      <c r="KCG2" s="104"/>
      <c r="KCH2" s="103"/>
      <c r="KCI2" s="104"/>
      <c r="KCJ2" s="103"/>
      <c r="KCK2" s="104"/>
      <c r="KCL2" s="103"/>
      <c r="KCM2" s="104"/>
      <c r="KCN2" s="103"/>
      <c r="KCO2" s="104"/>
      <c r="KCP2" s="103"/>
      <c r="KCQ2" s="104"/>
      <c r="KCR2" s="103"/>
      <c r="KCS2" s="104"/>
      <c r="KCT2" s="103"/>
      <c r="KCU2" s="104"/>
      <c r="KCV2" s="103"/>
      <c r="KCW2" s="104"/>
      <c r="KCX2" s="103"/>
      <c r="KCY2" s="104"/>
      <c r="KCZ2" s="103"/>
      <c r="KDA2" s="104"/>
      <c r="KDB2" s="103"/>
      <c r="KDC2" s="104"/>
      <c r="KDD2" s="103"/>
      <c r="KDE2" s="104"/>
      <c r="KDF2" s="103"/>
      <c r="KDG2" s="104"/>
      <c r="KDH2" s="103"/>
      <c r="KDI2" s="104"/>
      <c r="KDJ2" s="103"/>
      <c r="KDK2" s="104"/>
      <c r="KDL2" s="103"/>
      <c r="KDM2" s="104"/>
      <c r="KDN2" s="103"/>
      <c r="KDO2" s="104"/>
      <c r="KDP2" s="103"/>
      <c r="KDQ2" s="104"/>
      <c r="KDR2" s="103"/>
      <c r="KDS2" s="104"/>
      <c r="KDT2" s="103"/>
      <c r="KDU2" s="104"/>
      <c r="KDV2" s="103"/>
      <c r="KDW2" s="104"/>
      <c r="KDX2" s="103"/>
      <c r="KDY2" s="104"/>
      <c r="KDZ2" s="103"/>
      <c r="KEA2" s="104"/>
      <c r="KEB2" s="103"/>
      <c r="KEC2" s="104"/>
      <c r="KED2" s="103"/>
      <c r="KEE2" s="104"/>
      <c r="KEF2" s="103"/>
      <c r="KEG2" s="104"/>
      <c r="KEH2" s="103"/>
      <c r="KEI2" s="104"/>
      <c r="KEJ2" s="103"/>
      <c r="KEK2" s="104"/>
      <c r="KEL2" s="103"/>
      <c r="KEM2" s="104"/>
      <c r="KEN2" s="103"/>
      <c r="KEO2" s="104"/>
      <c r="KEP2" s="103"/>
      <c r="KEQ2" s="104"/>
      <c r="KER2" s="103"/>
      <c r="KES2" s="104"/>
      <c r="KET2" s="103"/>
      <c r="KEU2" s="104"/>
      <c r="KEV2" s="103"/>
      <c r="KEW2" s="104"/>
      <c r="KEX2" s="103"/>
      <c r="KEY2" s="104"/>
      <c r="KEZ2" s="103"/>
      <c r="KFA2" s="104"/>
      <c r="KFB2" s="103"/>
      <c r="KFC2" s="104"/>
      <c r="KFD2" s="103"/>
      <c r="KFE2" s="104"/>
      <c r="KFF2" s="103"/>
      <c r="KFG2" s="104"/>
      <c r="KFH2" s="103"/>
      <c r="KFI2" s="104"/>
      <c r="KFJ2" s="103"/>
      <c r="KFK2" s="104"/>
      <c r="KFL2" s="103"/>
      <c r="KFM2" s="104"/>
      <c r="KFN2" s="103"/>
      <c r="KFO2" s="104"/>
      <c r="KFP2" s="103"/>
      <c r="KFQ2" s="104"/>
      <c r="KFR2" s="103"/>
      <c r="KFS2" s="104"/>
      <c r="KFT2" s="103"/>
      <c r="KFU2" s="104"/>
      <c r="KFV2" s="103"/>
      <c r="KFW2" s="104"/>
      <c r="KFX2" s="103"/>
      <c r="KFY2" s="104"/>
      <c r="KFZ2" s="103"/>
      <c r="KGA2" s="104"/>
      <c r="KGB2" s="103"/>
      <c r="KGC2" s="104"/>
      <c r="KGD2" s="103"/>
      <c r="KGE2" s="104"/>
      <c r="KGF2" s="103"/>
      <c r="KGG2" s="104"/>
      <c r="KGH2" s="103"/>
      <c r="KGI2" s="104"/>
      <c r="KGJ2" s="103"/>
      <c r="KGK2" s="104"/>
      <c r="KGL2" s="103"/>
      <c r="KGM2" s="104"/>
      <c r="KGN2" s="103"/>
      <c r="KGO2" s="104"/>
      <c r="KGP2" s="103"/>
      <c r="KGQ2" s="104"/>
      <c r="KGR2" s="103"/>
      <c r="KGS2" s="104"/>
      <c r="KGT2" s="103"/>
      <c r="KGU2" s="104"/>
      <c r="KGV2" s="103"/>
      <c r="KGW2" s="104"/>
      <c r="KGX2" s="103"/>
      <c r="KGY2" s="104"/>
      <c r="KGZ2" s="103"/>
      <c r="KHA2" s="104"/>
      <c r="KHB2" s="103"/>
      <c r="KHC2" s="104"/>
      <c r="KHD2" s="103"/>
      <c r="KHE2" s="104"/>
      <c r="KHF2" s="103"/>
      <c r="KHG2" s="104"/>
      <c r="KHH2" s="103"/>
      <c r="KHI2" s="104"/>
      <c r="KHJ2" s="103"/>
      <c r="KHK2" s="104"/>
      <c r="KHL2" s="103"/>
      <c r="KHM2" s="104"/>
      <c r="KHN2" s="103"/>
      <c r="KHO2" s="104"/>
      <c r="KHP2" s="103"/>
      <c r="KHQ2" s="104"/>
      <c r="KHR2" s="103"/>
      <c r="KHS2" s="104"/>
      <c r="KHT2" s="103"/>
      <c r="KHU2" s="104"/>
      <c r="KHV2" s="103"/>
      <c r="KHW2" s="104"/>
      <c r="KHX2" s="103"/>
      <c r="KHY2" s="104"/>
      <c r="KHZ2" s="103"/>
      <c r="KIA2" s="104"/>
      <c r="KIB2" s="103"/>
      <c r="KIC2" s="104"/>
      <c r="KID2" s="103"/>
      <c r="KIE2" s="104"/>
      <c r="KIF2" s="103"/>
      <c r="KIG2" s="104"/>
      <c r="KIH2" s="103"/>
      <c r="KII2" s="104"/>
      <c r="KIJ2" s="103"/>
      <c r="KIK2" s="104"/>
      <c r="KIL2" s="103"/>
      <c r="KIM2" s="104"/>
      <c r="KIN2" s="103"/>
      <c r="KIO2" s="104"/>
      <c r="KIP2" s="103"/>
      <c r="KIQ2" s="104"/>
      <c r="KIR2" s="103"/>
      <c r="KIS2" s="104"/>
      <c r="KIT2" s="103"/>
      <c r="KIU2" s="104"/>
      <c r="KIV2" s="103"/>
      <c r="KIW2" s="104"/>
      <c r="KIX2" s="103"/>
      <c r="KIY2" s="104"/>
      <c r="KIZ2" s="103"/>
      <c r="KJA2" s="104"/>
      <c r="KJB2" s="103"/>
      <c r="KJC2" s="104"/>
      <c r="KJD2" s="103"/>
      <c r="KJE2" s="104"/>
      <c r="KJF2" s="103"/>
      <c r="KJG2" s="104"/>
      <c r="KJH2" s="103"/>
      <c r="KJI2" s="104"/>
      <c r="KJJ2" s="103"/>
      <c r="KJK2" s="104"/>
      <c r="KJL2" s="103"/>
      <c r="KJM2" s="104"/>
      <c r="KJN2" s="103"/>
      <c r="KJO2" s="104"/>
      <c r="KJP2" s="103"/>
      <c r="KJQ2" s="104"/>
      <c r="KJR2" s="103"/>
      <c r="KJS2" s="104"/>
      <c r="KJT2" s="103"/>
      <c r="KJU2" s="104"/>
      <c r="KJV2" s="103"/>
      <c r="KJW2" s="104"/>
      <c r="KJX2" s="103"/>
      <c r="KJY2" s="104"/>
      <c r="KJZ2" s="103"/>
      <c r="KKA2" s="104"/>
      <c r="KKB2" s="103"/>
      <c r="KKC2" s="104"/>
      <c r="KKD2" s="103"/>
      <c r="KKE2" s="104"/>
      <c r="KKF2" s="103"/>
      <c r="KKG2" s="104"/>
      <c r="KKH2" s="103"/>
      <c r="KKI2" s="104"/>
      <c r="KKJ2" s="103"/>
      <c r="KKK2" s="104"/>
      <c r="KKL2" s="103"/>
      <c r="KKM2" s="104"/>
      <c r="KKN2" s="103"/>
      <c r="KKO2" s="104"/>
      <c r="KKP2" s="103"/>
      <c r="KKQ2" s="104"/>
      <c r="KKR2" s="103"/>
      <c r="KKS2" s="104"/>
      <c r="KKT2" s="103"/>
      <c r="KKU2" s="104"/>
      <c r="KKV2" s="103"/>
      <c r="KKW2" s="104"/>
      <c r="KKX2" s="103"/>
      <c r="KKY2" s="104"/>
      <c r="KKZ2" s="103"/>
      <c r="KLA2" s="104"/>
      <c r="KLB2" s="103"/>
      <c r="KLC2" s="104"/>
      <c r="KLD2" s="103"/>
      <c r="KLE2" s="104"/>
      <c r="KLF2" s="103"/>
      <c r="KLG2" s="104"/>
      <c r="KLH2" s="103"/>
      <c r="KLI2" s="104"/>
      <c r="KLJ2" s="103"/>
      <c r="KLK2" s="104"/>
      <c r="KLL2" s="103"/>
      <c r="KLM2" s="104"/>
      <c r="KLN2" s="103"/>
      <c r="KLO2" s="104"/>
      <c r="KLP2" s="103"/>
      <c r="KLQ2" s="104"/>
      <c r="KLR2" s="103"/>
      <c r="KLS2" s="104"/>
      <c r="KLT2" s="103"/>
      <c r="KLU2" s="104"/>
      <c r="KLV2" s="103"/>
      <c r="KLW2" s="104"/>
      <c r="KLX2" s="103"/>
      <c r="KLY2" s="104"/>
      <c r="KLZ2" s="103"/>
      <c r="KMA2" s="104"/>
      <c r="KMB2" s="103"/>
      <c r="KMC2" s="104"/>
      <c r="KMD2" s="103"/>
      <c r="KME2" s="104"/>
      <c r="KMF2" s="103"/>
      <c r="KMG2" s="104"/>
      <c r="KMH2" s="103"/>
      <c r="KMI2" s="104"/>
      <c r="KMJ2" s="103"/>
      <c r="KMK2" s="104"/>
      <c r="KML2" s="103"/>
      <c r="KMM2" s="104"/>
      <c r="KMN2" s="103"/>
      <c r="KMO2" s="104"/>
      <c r="KMP2" s="103"/>
      <c r="KMQ2" s="104"/>
      <c r="KMR2" s="103"/>
      <c r="KMS2" s="104"/>
      <c r="KMT2" s="103"/>
      <c r="KMU2" s="104"/>
      <c r="KMV2" s="103"/>
      <c r="KMW2" s="104"/>
      <c r="KMX2" s="103"/>
      <c r="KMY2" s="104"/>
      <c r="KMZ2" s="103"/>
      <c r="KNA2" s="104"/>
      <c r="KNB2" s="103"/>
      <c r="KNC2" s="104"/>
      <c r="KND2" s="103"/>
      <c r="KNE2" s="104"/>
      <c r="KNF2" s="103"/>
      <c r="KNG2" s="104"/>
      <c r="KNH2" s="103"/>
      <c r="KNI2" s="104"/>
      <c r="KNJ2" s="103"/>
      <c r="KNK2" s="104"/>
      <c r="KNL2" s="103"/>
      <c r="KNM2" s="104"/>
      <c r="KNN2" s="103"/>
      <c r="KNO2" s="104"/>
      <c r="KNP2" s="103"/>
      <c r="KNQ2" s="104"/>
      <c r="KNR2" s="103"/>
      <c r="KNS2" s="104"/>
      <c r="KNT2" s="103"/>
      <c r="KNU2" s="104"/>
      <c r="KNV2" s="103"/>
      <c r="KNW2" s="104"/>
      <c r="KNX2" s="103"/>
      <c r="KNY2" s="104"/>
      <c r="KNZ2" s="103"/>
      <c r="KOA2" s="104"/>
      <c r="KOB2" s="103"/>
      <c r="KOC2" s="104"/>
      <c r="KOD2" s="103"/>
      <c r="KOE2" s="104"/>
      <c r="KOF2" s="103"/>
      <c r="KOG2" s="104"/>
      <c r="KOH2" s="103"/>
      <c r="KOI2" s="104"/>
      <c r="KOJ2" s="103"/>
      <c r="KOK2" s="104"/>
      <c r="KOL2" s="103"/>
      <c r="KOM2" s="104"/>
      <c r="KON2" s="103"/>
      <c r="KOO2" s="104"/>
      <c r="KOP2" s="103"/>
      <c r="KOQ2" s="104"/>
      <c r="KOR2" s="103"/>
      <c r="KOS2" s="104"/>
      <c r="KOT2" s="103"/>
      <c r="KOU2" s="104"/>
      <c r="KOV2" s="103"/>
      <c r="KOW2" s="104"/>
      <c r="KOX2" s="103"/>
      <c r="KOY2" s="104"/>
      <c r="KOZ2" s="103"/>
      <c r="KPA2" s="104"/>
      <c r="KPB2" s="103"/>
      <c r="KPC2" s="104"/>
      <c r="KPD2" s="103"/>
      <c r="KPE2" s="104"/>
      <c r="KPF2" s="103"/>
      <c r="KPG2" s="104"/>
      <c r="KPH2" s="103"/>
      <c r="KPI2" s="104"/>
      <c r="KPJ2" s="103"/>
      <c r="KPK2" s="104"/>
      <c r="KPL2" s="103"/>
      <c r="KPM2" s="104"/>
      <c r="KPN2" s="103"/>
      <c r="KPO2" s="104"/>
      <c r="KPP2" s="103"/>
      <c r="KPQ2" s="104"/>
      <c r="KPR2" s="103"/>
      <c r="KPS2" s="104"/>
      <c r="KPT2" s="103"/>
      <c r="KPU2" s="104"/>
      <c r="KPV2" s="103"/>
      <c r="KPW2" s="104"/>
      <c r="KPX2" s="103"/>
      <c r="KPY2" s="104"/>
      <c r="KPZ2" s="103"/>
      <c r="KQA2" s="104"/>
      <c r="KQB2" s="103"/>
      <c r="KQC2" s="104"/>
      <c r="KQD2" s="103"/>
      <c r="KQE2" s="104"/>
      <c r="KQF2" s="103"/>
      <c r="KQG2" s="104"/>
      <c r="KQH2" s="103"/>
      <c r="KQI2" s="104"/>
      <c r="KQJ2" s="103"/>
      <c r="KQK2" s="104"/>
      <c r="KQL2" s="103"/>
      <c r="KQM2" s="104"/>
      <c r="KQN2" s="103"/>
      <c r="KQO2" s="104"/>
      <c r="KQP2" s="103"/>
      <c r="KQQ2" s="104"/>
      <c r="KQR2" s="103"/>
      <c r="KQS2" s="104"/>
      <c r="KQT2" s="103"/>
      <c r="KQU2" s="104"/>
      <c r="KQV2" s="103"/>
      <c r="KQW2" s="104"/>
      <c r="KQX2" s="103"/>
      <c r="KQY2" s="104"/>
      <c r="KQZ2" s="103"/>
      <c r="KRA2" s="104"/>
      <c r="KRB2" s="103"/>
      <c r="KRC2" s="104"/>
      <c r="KRD2" s="103"/>
      <c r="KRE2" s="104"/>
      <c r="KRF2" s="103"/>
      <c r="KRG2" s="104"/>
      <c r="KRH2" s="103"/>
      <c r="KRI2" s="104"/>
      <c r="KRJ2" s="103"/>
      <c r="KRK2" s="104"/>
      <c r="KRL2" s="103"/>
      <c r="KRM2" s="104"/>
      <c r="KRN2" s="103"/>
      <c r="KRO2" s="104"/>
      <c r="KRP2" s="103"/>
      <c r="KRQ2" s="104"/>
      <c r="KRR2" s="103"/>
      <c r="KRS2" s="104"/>
      <c r="KRT2" s="103"/>
      <c r="KRU2" s="104"/>
      <c r="KRV2" s="103"/>
      <c r="KRW2" s="104"/>
      <c r="KRX2" s="103"/>
      <c r="KRY2" s="104"/>
      <c r="KRZ2" s="103"/>
      <c r="KSA2" s="104"/>
      <c r="KSB2" s="103"/>
      <c r="KSC2" s="104"/>
      <c r="KSD2" s="103"/>
      <c r="KSE2" s="104"/>
      <c r="KSF2" s="103"/>
      <c r="KSG2" s="104"/>
      <c r="KSH2" s="103"/>
      <c r="KSI2" s="104"/>
      <c r="KSJ2" s="103"/>
      <c r="KSK2" s="104"/>
      <c r="KSL2" s="103"/>
      <c r="KSM2" s="104"/>
      <c r="KSN2" s="103"/>
      <c r="KSO2" s="104"/>
      <c r="KSP2" s="103"/>
      <c r="KSQ2" s="104"/>
      <c r="KSR2" s="103"/>
      <c r="KSS2" s="104"/>
      <c r="KST2" s="103"/>
      <c r="KSU2" s="104"/>
      <c r="KSV2" s="103"/>
      <c r="KSW2" s="104"/>
      <c r="KSX2" s="103"/>
      <c r="KSY2" s="104"/>
      <c r="KSZ2" s="103"/>
      <c r="KTA2" s="104"/>
      <c r="KTB2" s="103"/>
      <c r="KTC2" s="104"/>
      <c r="KTD2" s="103"/>
      <c r="KTE2" s="104"/>
      <c r="KTF2" s="103"/>
      <c r="KTG2" s="104"/>
      <c r="KTH2" s="103"/>
      <c r="KTI2" s="104"/>
      <c r="KTJ2" s="103"/>
      <c r="KTK2" s="104"/>
      <c r="KTL2" s="103"/>
      <c r="KTM2" s="104"/>
      <c r="KTN2" s="103"/>
      <c r="KTO2" s="104"/>
      <c r="KTP2" s="103"/>
      <c r="KTQ2" s="104"/>
      <c r="KTR2" s="103"/>
      <c r="KTS2" s="104"/>
      <c r="KTT2" s="103"/>
      <c r="KTU2" s="104"/>
      <c r="KTV2" s="103"/>
      <c r="KTW2" s="104"/>
      <c r="KTX2" s="103"/>
      <c r="KTY2" s="104"/>
      <c r="KTZ2" s="103"/>
      <c r="KUA2" s="104"/>
      <c r="KUB2" s="103"/>
      <c r="KUC2" s="104"/>
      <c r="KUD2" s="103"/>
      <c r="KUE2" s="104"/>
      <c r="KUF2" s="103"/>
      <c r="KUG2" s="104"/>
      <c r="KUH2" s="103"/>
      <c r="KUI2" s="104"/>
      <c r="KUJ2" s="103"/>
      <c r="KUK2" s="104"/>
      <c r="KUL2" s="103"/>
      <c r="KUM2" s="104"/>
      <c r="KUN2" s="103"/>
      <c r="KUO2" s="104"/>
      <c r="KUP2" s="103"/>
      <c r="KUQ2" s="104"/>
      <c r="KUR2" s="103"/>
      <c r="KUS2" s="104"/>
      <c r="KUT2" s="103"/>
      <c r="KUU2" s="104"/>
      <c r="KUV2" s="103"/>
      <c r="KUW2" s="104"/>
      <c r="KUX2" s="103"/>
      <c r="KUY2" s="104"/>
      <c r="KUZ2" s="103"/>
      <c r="KVA2" s="104"/>
      <c r="KVB2" s="103"/>
      <c r="KVC2" s="104"/>
      <c r="KVD2" s="103"/>
      <c r="KVE2" s="104"/>
      <c r="KVF2" s="103"/>
      <c r="KVG2" s="104"/>
      <c r="KVH2" s="103"/>
      <c r="KVI2" s="104"/>
      <c r="KVJ2" s="103"/>
      <c r="KVK2" s="104"/>
      <c r="KVL2" s="103"/>
      <c r="KVM2" s="104"/>
      <c r="KVN2" s="103"/>
      <c r="KVO2" s="104"/>
      <c r="KVP2" s="103"/>
      <c r="KVQ2" s="104"/>
      <c r="KVR2" s="103"/>
      <c r="KVS2" s="104"/>
      <c r="KVT2" s="103"/>
      <c r="KVU2" s="104"/>
      <c r="KVV2" s="103"/>
      <c r="KVW2" s="104"/>
      <c r="KVX2" s="103"/>
      <c r="KVY2" s="104"/>
      <c r="KVZ2" s="103"/>
      <c r="KWA2" s="104"/>
      <c r="KWB2" s="103"/>
      <c r="KWC2" s="104"/>
      <c r="KWD2" s="103"/>
      <c r="KWE2" s="104"/>
      <c r="KWF2" s="103"/>
      <c r="KWG2" s="104"/>
      <c r="KWH2" s="103"/>
      <c r="KWI2" s="104"/>
      <c r="KWJ2" s="103"/>
      <c r="KWK2" s="104"/>
      <c r="KWL2" s="103"/>
      <c r="KWM2" s="104"/>
      <c r="KWN2" s="103"/>
      <c r="KWO2" s="104"/>
      <c r="KWP2" s="103"/>
      <c r="KWQ2" s="104"/>
      <c r="KWR2" s="103"/>
      <c r="KWS2" s="104"/>
      <c r="KWT2" s="103"/>
      <c r="KWU2" s="104"/>
      <c r="KWV2" s="103"/>
      <c r="KWW2" s="104"/>
      <c r="KWX2" s="103"/>
      <c r="KWY2" s="104"/>
      <c r="KWZ2" s="103"/>
      <c r="KXA2" s="104"/>
      <c r="KXB2" s="103"/>
      <c r="KXC2" s="104"/>
      <c r="KXD2" s="103"/>
      <c r="KXE2" s="104"/>
      <c r="KXF2" s="103"/>
      <c r="KXG2" s="104"/>
      <c r="KXH2" s="103"/>
      <c r="KXI2" s="104"/>
      <c r="KXJ2" s="103"/>
      <c r="KXK2" s="104"/>
      <c r="KXL2" s="103"/>
      <c r="KXM2" s="104"/>
      <c r="KXN2" s="103"/>
      <c r="KXO2" s="104"/>
      <c r="KXP2" s="103"/>
      <c r="KXQ2" s="104"/>
      <c r="KXR2" s="103"/>
      <c r="KXS2" s="104"/>
      <c r="KXT2" s="103"/>
      <c r="KXU2" s="104"/>
      <c r="KXV2" s="103"/>
      <c r="KXW2" s="104"/>
      <c r="KXX2" s="103"/>
      <c r="KXY2" s="104"/>
      <c r="KXZ2" s="103"/>
      <c r="KYA2" s="104"/>
      <c r="KYB2" s="103"/>
      <c r="KYC2" s="104"/>
      <c r="KYD2" s="103"/>
      <c r="KYE2" s="104"/>
      <c r="KYF2" s="103"/>
      <c r="KYG2" s="104"/>
      <c r="KYH2" s="103"/>
      <c r="KYI2" s="104"/>
      <c r="KYJ2" s="103"/>
      <c r="KYK2" s="104"/>
      <c r="KYL2" s="103"/>
      <c r="KYM2" s="104"/>
      <c r="KYN2" s="103"/>
      <c r="KYO2" s="104"/>
      <c r="KYP2" s="103"/>
      <c r="KYQ2" s="104"/>
      <c r="KYR2" s="103"/>
      <c r="KYS2" s="104"/>
      <c r="KYT2" s="103"/>
      <c r="KYU2" s="104"/>
      <c r="KYV2" s="103"/>
      <c r="KYW2" s="104"/>
      <c r="KYX2" s="103"/>
      <c r="KYY2" s="104"/>
      <c r="KYZ2" s="103"/>
      <c r="KZA2" s="104"/>
      <c r="KZB2" s="103"/>
      <c r="KZC2" s="104"/>
      <c r="KZD2" s="103"/>
      <c r="KZE2" s="104"/>
      <c r="KZF2" s="103"/>
      <c r="KZG2" s="104"/>
      <c r="KZH2" s="103"/>
      <c r="KZI2" s="104"/>
      <c r="KZJ2" s="103"/>
      <c r="KZK2" s="104"/>
      <c r="KZL2" s="103"/>
      <c r="KZM2" s="104"/>
      <c r="KZN2" s="103"/>
      <c r="KZO2" s="104"/>
      <c r="KZP2" s="103"/>
      <c r="KZQ2" s="104"/>
      <c r="KZR2" s="103"/>
      <c r="KZS2" s="104"/>
      <c r="KZT2" s="103"/>
      <c r="KZU2" s="104"/>
      <c r="KZV2" s="103"/>
      <c r="KZW2" s="104"/>
      <c r="KZX2" s="103"/>
      <c r="KZY2" s="104"/>
      <c r="KZZ2" s="103"/>
      <c r="LAA2" s="104"/>
      <c r="LAB2" s="103"/>
      <c r="LAC2" s="104"/>
      <c r="LAD2" s="103"/>
      <c r="LAE2" s="104"/>
      <c r="LAF2" s="103"/>
      <c r="LAG2" s="104"/>
      <c r="LAH2" s="103"/>
      <c r="LAI2" s="104"/>
      <c r="LAJ2" s="103"/>
      <c r="LAK2" s="104"/>
      <c r="LAL2" s="103"/>
      <c r="LAM2" s="104"/>
      <c r="LAN2" s="103"/>
      <c r="LAO2" s="104"/>
      <c r="LAP2" s="103"/>
      <c r="LAQ2" s="104"/>
      <c r="LAR2" s="103"/>
      <c r="LAS2" s="104"/>
      <c r="LAT2" s="103"/>
      <c r="LAU2" s="104"/>
      <c r="LAV2" s="103"/>
      <c r="LAW2" s="104"/>
      <c r="LAX2" s="103"/>
      <c r="LAY2" s="104"/>
      <c r="LAZ2" s="103"/>
      <c r="LBA2" s="104"/>
      <c r="LBB2" s="103"/>
      <c r="LBC2" s="104"/>
      <c r="LBD2" s="103"/>
      <c r="LBE2" s="104"/>
      <c r="LBF2" s="103"/>
      <c r="LBG2" s="104"/>
      <c r="LBH2" s="103"/>
      <c r="LBI2" s="104"/>
      <c r="LBJ2" s="103"/>
      <c r="LBK2" s="104"/>
      <c r="LBL2" s="103"/>
      <c r="LBM2" s="104"/>
      <c r="LBN2" s="103"/>
      <c r="LBO2" s="104"/>
      <c r="LBP2" s="103"/>
      <c r="LBQ2" s="104"/>
      <c r="LBR2" s="103"/>
      <c r="LBS2" s="104"/>
      <c r="LBT2" s="103"/>
      <c r="LBU2" s="104"/>
      <c r="LBV2" s="103"/>
      <c r="LBW2" s="104"/>
      <c r="LBX2" s="103"/>
      <c r="LBY2" s="104"/>
      <c r="LBZ2" s="103"/>
      <c r="LCA2" s="104"/>
      <c r="LCB2" s="103"/>
      <c r="LCC2" s="104"/>
      <c r="LCD2" s="103"/>
      <c r="LCE2" s="104"/>
      <c r="LCF2" s="103"/>
      <c r="LCG2" s="104"/>
      <c r="LCH2" s="103"/>
      <c r="LCI2" s="104"/>
      <c r="LCJ2" s="103"/>
      <c r="LCK2" s="104"/>
      <c r="LCL2" s="103"/>
      <c r="LCM2" s="104"/>
      <c r="LCN2" s="103"/>
      <c r="LCO2" s="104"/>
      <c r="LCP2" s="103"/>
      <c r="LCQ2" s="104"/>
      <c r="LCR2" s="103"/>
      <c r="LCS2" s="104"/>
      <c r="LCT2" s="103"/>
      <c r="LCU2" s="104"/>
      <c r="LCV2" s="103"/>
      <c r="LCW2" s="104"/>
      <c r="LCX2" s="103"/>
      <c r="LCY2" s="104"/>
      <c r="LCZ2" s="103"/>
      <c r="LDA2" s="104"/>
      <c r="LDB2" s="103"/>
      <c r="LDC2" s="104"/>
      <c r="LDD2" s="103"/>
      <c r="LDE2" s="104"/>
      <c r="LDF2" s="103"/>
      <c r="LDG2" s="104"/>
      <c r="LDH2" s="103"/>
      <c r="LDI2" s="104"/>
      <c r="LDJ2" s="103"/>
      <c r="LDK2" s="104"/>
      <c r="LDL2" s="103"/>
      <c r="LDM2" s="104"/>
      <c r="LDN2" s="103"/>
      <c r="LDO2" s="104"/>
      <c r="LDP2" s="103"/>
      <c r="LDQ2" s="104"/>
      <c r="LDR2" s="103"/>
      <c r="LDS2" s="104"/>
      <c r="LDT2" s="103"/>
      <c r="LDU2" s="104"/>
      <c r="LDV2" s="103"/>
      <c r="LDW2" s="104"/>
      <c r="LDX2" s="103"/>
      <c r="LDY2" s="104"/>
      <c r="LDZ2" s="103"/>
      <c r="LEA2" s="104"/>
      <c r="LEB2" s="103"/>
      <c r="LEC2" s="104"/>
      <c r="LED2" s="103"/>
      <c r="LEE2" s="104"/>
      <c r="LEF2" s="103"/>
      <c r="LEG2" s="104"/>
      <c r="LEH2" s="103"/>
      <c r="LEI2" s="104"/>
      <c r="LEJ2" s="103"/>
      <c r="LEK2" s="104"/>
      <c r="LEL2" s="103"/>
      <c r="LEM2" s="104"/>
      <c r="LEN2" s="103"/>
      <c r="LEO2" s="104"/>
      <c r="LEP2" s="103"/>
      <c r="LEQ2" s="104"/>
      <c r="LER2" s="103"/>
      <c r="LES2" s="104"/>
      <c r="LET2" s="103"/>
      <c r="LEU2" s="104"/>
      <c r="LEV2" s="103"/>
      <c r="LEW2" s="104"/>
      <c r="LEX2" s="103"/>
      <c r="LEY2" s="104"/>
      <c r="LEZ2" s="103"/>
      <c r="LFA2" s="104"/>
      <c r="LFB2" s="103"/>
      <c r="LFC2" s="104"/>
      <c r="LFD2" s="103"/>
      <c r="LFE2" s="104"/>
      <c r="LFF2" s="103"/>
      <c r="LFG2" s="104"/>
      <c r="LFH2" s="103"/>
      <c r="LFI2" s="104"/>
      <c r="LFJ2" s="103"/>
      <c r="LFK2" s="104"/>
      <c r="LFL2" s="103"/>
      <c r="LFM2" s="104"/>
      <c r="LFN2" s="103"/>
      <c r="LFO2" s="104"/>
      <c r="LFP2" s="103"/>
      <c r="LFQ2" s="104"/>
      <c r="LFR2" s="103"/>
      <c r="LFS2" s="104"/>
      <c r="LFT2" s="103"/>
      <c r="LFU2" s="104"/>
      <c r="LFV2" s="103"/>
      <c r="LFW2" s="104"/>
      <c r="LFX2" s="103"/>
      <c r="LFY2" s="104"/>
      <c r="LFZ2" s="103"/>
      <c r="LGA2" s="104"/>
      <c r="LGB2" s="103"/>
      <c r="LGC2" s="104"/>
      <c r="LGD2" s="103"/>
      <c r="LGE2" s="104"/>
      <c r="LGF2" s="103"/>
      <c r="LGG2" s="104"/>
      <c r="LGH2" s="103"/>
      <c r="LGI2" s="104"/>
      <c r="LGJ2" s="103"/>
      <c r="LGK2" s="104"/>
      <c r="LGL2" s="103"/>
      <c r="LGM2" s="104"/>
      <c r="LGN2" s="103"/>
      <c r="LGO2" s="104"/>
      <c r="LGP2" s="103"/>
      <c r="LGQ2" s="104"/>
      <c r="LGR2" s="103"/>
      <c r="LGS2" s="104"/>
      <c r="LGT2" s="103"/>
      <c r="LGU2" s="104"/>
      <c r="LGV2" s="103"/>
      <c r="LGW2" s="104"/>
      <c r="LGX2" s="103"/>
      <c r="LGY2" s="104"/>
      <c r="LGZ2" s="103"/>
      <c r="LHA2" s="104"/>
      <c r="LHB2" s="103"/>
      <c r="LHC2" s="104"/>
      <c r="LHD2" s="103"/>
      <c r="LHE2" s="104"/>
      <c r="LHF2" s="103"/>
      <c r="LHG2" s="104"/>
      <c r="LHH2" s="103"/>
      <c r="LHI2" s="104"/>
      <c r="LHJ2" s="103"/>
      <c r="LHK2" s="104"/>
      <c r="LHL2" s="103"/>
      <c r="LHM2" s="104"/>
      <c r="LHN2" s="103"/>
      <c r="LHO2" s="104"/>
      <c r="LHP2" s="103"/>
      <c r="LHQ2" s="104"/>
      <c r="LHR2" s="103"/>
      <c r="LHS2" s="104"/>
      <c r="LHT2" s="103"/>
      <c r="LHU2" s="104"/>
      <c r="LHV2" s="103"/>
      <c r="LHW2" s="104"/>
      <c r="LHX2" s="103"/>
      <c r="LHY2" s="104"/>
      <c r="LHZ2" s="103"/>
      <c r="LIA2" s="104"/>
      <c r="LIB2" s="103"/>
      <c r="LIC2" s="104"/>
      <c r="LID2" s="103"/>
      <c r="LIE2" s="104"/>
      <c r="LIF2" s="103"/>
      <c r="LIG2" s="104"/>
      <c r="LIH2" s="103"/>
      <c r="LII2" s="104"/>
      <c r="LIJ2" s="103"/>
      <c r="LIK2" s="104"/>
      <c r="LIL2" s="103"/>
      <c r="LIM2" s="104"/>
      <c r="LIN2" s="103"/>
      <c r="LIO2" s="104"/>
      <c r="LIP2" s="103"/>
      <c r="LIQ2" s="104"/>
      <c r="LIR2" s="103"/>
      <c r="LIS2" s="104"/>
      <c r="LIT2" s="103"/>
      <c r="LIU2" s="104"/>
      <c r="LIV2" s="103"/>
      <c r="LIW2" s="104"/>
      <c r="LIX2" s="103"/>
      <c r="LIY2" s="104"/>
      <c r="LIZ2" s="103"/>
      <c r="LJA2" s="104"/>
      <c r="LJB2" s="103"/>
      <c r="LJC2" s="104"/>
      <c r="LJD2" s="103"/>
      <c r="LJE2" s="104"/>
      <c r="LJF2" s="103"/>
      <c r="LJG2" s="104"/>
      <c r="LJH2" s="103"/>
      <c r="LJI2" s="104"/>
      <c r="LJJ2" s="103"/>
      <c r="LJK2" s="104"/>
      <c r="LJL2" s="103"/>
      <c r="LJM2" s="104"/>
      <c r="LJN2" s="103"/>
      <c r="LJO2" s="104"/>
      <c r="LJP2" s="103"/>
      <c r="LJQ2" s="104"/>
      <c r="LJR2" s="103"/>
      <c r="LJS2" s="104"/>
      <c r="LJT2" s="103"/>
      <c r="LJU2" s="104"/>
      <c r="LJV2" s="103"/>
      <c r="LJW2" s="104"/>
      <c r="LJX2" s="103"/>
      <c r="LJY2" s="104"/>
      <c r="LJZ2" s="103"/>
      <c r="LKA2" s="104"/>
      <c r="LKB2" s="103"/>
      <c r="LKC2" s="104"/>
      <c r="LKD2" s="103"/>
      <c r="LKE2" s="104"/>
      <c r="LKF2" s="103"/>
      <c r="LKG2" s="104"/>
      <c r="LKH2" s="103"/>
      <c r="LKI2" s="104"/>
      <c r="LKJ2" s="103"/>
      <c r="LKK2" s="104"/>
      <c r="LKL2" s="103"/>
      <c r="LKM2" s="104"/>
      <c r="LKN2" s="103"/>
      <c r="LKO2" s="104"/>
      <c r="LKP2" s="103"/>
      <c r="LKQ2" s="104"/>
      <c r="LKR2" s="103"/>
      <c r="LKS2" s="104"/>
      <c r="LKT2" s="103"/>
      <c r="LKU2" s="104"/>
      <c r="LKV2" s="103"/>
      <c r="LKW2" s="104"/>
      <c r="LKX2" s="103"/>
      <c r="LKY2" s="104"/>
      <c r="LKZ2" s="103"/>
      <c r="LLA2" s="104"/>
      <c r="LLB2" s="103"/>
      <c r="LLC2" s="104"/>
      <c r="LLD2" s="103"/>
      <c r="LLE2" s="104"/>
      <c r="LLF2" s="103"/>
      <c r="LLG2" s="104"/>
      <c r="LLH2" s="103"/>
      <c r="LLI2" s="104"/>
      <c r="LLJ2" s="103"/>
      <c r="LLK2" s="104"/>
      <c r="LLL2" s="103"/>
      <c r="LLM2" s="104"/>
      <c r="LLN2" s="103"/>
      <c r="LLO2" s="104"/>
      <c r="LLP2" s="103"/>
      <c r="LLQ2" s="104"/>
      <c r="LLR2" s="103"/>
      <c r="LLS2" s="104"/>
      <c r="LLT2" s="103"/>
      <c r="LLU2" s="104"/>
      <c r="LLV2" s="103"/>
      <c r="LLW2" s="104"/>
      <c r="LLX2" s="103"/>
      <c r="LLY2" s="104"/>
      <c r="LLZ2" s="103"/>
      <c r="LMA2" s="104"/>
      <c r="LMB2" s="103"/>
      <c r="LMC2" s="104"/>
      <c r="LMD2" s="103"/>
      <c r="LME2" s="104"/>
      <c r="LMF2" s="103"/>
      <c r="LMG2" s="104"/>
      <c r="LMH2" s="103"/>
      <c r="LMI2" s="104"/>
      <c r="LMJ2" s="103"/>
      <c r="LMK2" s="104"/>
      <c r="LML2" s="103"/>
      <c r="LMM2" s="104"/>
      <c r="LMN2" s="103"/>
      <c r="LMO2" s="104"/>
      <c r="LMP2" s="103"/>
      <c r="LMQ2" s="104"/>
      <c r="LMR2" s="103"/>
      <c r="LMS2" s="104"/>
      <c r="LMT2" s="103"/>
      <c r="LMU2" s="104"/>
      <c r="LMV2" s="103"/>
      <c r="LMW2" s="104"/>
      <c r="LMX2" s="103"/>
      <c r="LMY2" s="104"/>
      <c r="LMZ2" s="103"/>
      <c r="LNA2" s="104"/>
      <c r="LNB2" s="103"/>
      <c r="LNC2" s="104"/>
      <c r="LND2" s="103"/>
      <c r="LNE2" s="104"/>
      <c r="LNF2" s="103"/>
      <c r="LNG2" s="104"/>
      <c r="LNH2" s="103"/>
      <c r="LNI2" s="104"/>
      <c r="LNJ2" s="103"/>
      <c r="LNK2" s="104"/>
      <c r="LNL2" s="103"/>
      <c r="LNM2" s="104"/>
      <c r="LNN2" s="103"/>
      <c r="LNO2" s="104"/>
      <c r="LNP2" s="103"/>
      <c r="LNQ2" s="104"/>
      <c r="LNR2" s="103"/>
      <c r="LNS2" s="104"/>
      <c r="LNT2" s="103"/>
      <c r="LNU2" s="104"/>
      <c r="LNV2" s="103"/>
      <c r="LNW2" s="104"/>
      <c r="LNX2" s="103"/>
      <c r="LNY2" s="104"/>
      <c r="LNZ2" s="103"/>
      <c r="LOA2" s="104"/>
      <c r="LOB2" s="103"/>
      <c r="LOC2" s="104"/>
      <c r="LOD2" s="103"/>
      <c r="LOE2" s="104"/>
      <c r="LOF2" s="103"/>
      <c r="LOG2" s="104"/>
      <c r="LOH2" s="103"/>
      <c r="LOI2" s="104"/>
      <c r="LOJ2" s="103"/>
      <c r="LOK2" s="104"/>
      <c r="LOL2" s="103"/>
      <c r="LOM2" s="104"/>
      <c r="LON2" s="103"/>
      <c r="LOO2" s="104"/>
      <c r="LOP2" s="103"/>
      <c r="LOQ2" s="104"/>
      <c r="LOR2" s="103"/>
      <c r="LOS2" s="104"/>
      <c r="LOT2" s="103"/>
      <c r="LOU2" s="104"/>
      <c r="LOV2" s="103"/>
      <c r="LOW2" s="104"/>
      <c r="LOX2" s="103"/>
      <c r="LOY2" s="104"/>
      <c r="LOZ2" s="103"/>
      <c r="LPA2" s="104"/>
      <c r="LPB2" s="103"/>
      <c r="LPC2" s="104"/>
      <c r="LPD2" s="103"/>
      <c r="LPE2" s="104"/>
      <c r="LPF2" s="103"/>
      <c r="LPG2" s="104"/>
      <c r="LPH2" s="103"/>
      <c r="LPI2" s="104"/>
      <c r="LPJ2" s="103"/>
      <c r="LPK2" s="104"/>
      <c r="LPL2" s="103"/>
      <c r="LPM2" s="104"/>
      <c r="LPN2" s="103"/>
      <c r="LPO2" s="104"/>
      <c r="LPP2" s="103"/>
      <c r="LPQ2" s="104"/>
      <c r="LPR2" s="103"/>
      <c r="LPS2" s="104"/>
      <c r="LPT2" s="103"/>
      <c r="LPU2" s="104"/>
      <c r="LPV2" s="103"/>
      <c r="LPW2" s="104"/>
      <c r="LPX2" s="103"/>
      <c r="LPY2" s="104"/>
      <c r="LPZ2" s="103"/>
      <c r="LQA2" s="104"/>
      <c r="LQB2" s="103"/>
      <c r="LQC2" s="104"/>
      <c r="LQD2" s="103"/>
      <c r="LQE2" s="104"/>
      <c r="LQF2" s="103"/>
      <c r="LQG2" s="104"/>
      <c r="LQH2" s="103"/>
      <c r="LQI2" s="104"/>
      <c r="LQJ2" s="103"/>
      <c r="LQK2" s="104"/>
      <c r="LQL2" s="103"/>
      <c r="LQM2" s="104"/>
      <c r="LQN2" s="103"/>
      <c r="LQO2" s="104"/>
      <c r="LQP2" s="103"/>
      <c r="LQQ2" s="104"/>
      <c r="LQR2" s="103"/>
      <c r="LQS2" s="104"/>
      <c r="LQT2" s="103"/>
      <c r="LQU2" s="104"/>
      <c r="LQV2" s="103"/>
      <c r="LQW2" s="104"/>
      <c r="LQX2" s="103"/>
      <c r="LQY2" s="104"/>
      <c r="LQZ2" s="103"/>
      <c r="LRA2" s="104"/>
      <c r="LRB2" s="103"/>
      <c r="LRC2" s="104"/>
      <c r="LRD2" s="103"/>
      <c r="LRE2" s="104"/>
      <c r="LRF2" s="103"/>
      <c r="LRG2" s="104"/>
      <c r="LRH2" s="103"/>
      <c r="LRI2" s="104"/>
      <c r="LRJ2" s="103"/>
      <c r="LRK2" s="104"/>
      <c r="LRL2" s="103"/>
      <c r="LRM2" s="104"/>
      <c r="LRN2" s="103"/>
      <c r="LRO2" s="104"/>
      <c r="LRP2" s="103"/>
      <c r="LRQ2" s="104"/>
      <c r="LRR2" s="103"/>
      <c r="LRS2" s="104"/>
      <c r="LRT2" s="103"/>
      <c r="LRU2" s="104"/>
      <c r="LRV2" s="103"/>
      <c r="LRW2" s="104"/>
      <c r="LRX2" s="103"/>
      <c r="LRY2" s="104"/>
      <c r="LRZ2" s="103"/>
      <c r="LSA2" s="104"/>
      <c r="LSB2" s="103"/>
      <c r="LSC2" s="104"/>
      <c r="LSD2" s="103"/>
      <c r="LSE2" s="104"/>
      <c r="LSF2" s="103"/>
      <c r="LSG2" s="104"/>
      <c r="LSH2" s="103"/>
      <c r="LSI2" s="104"/>
      <c r="LSJ2" s="103"/>
      <c r="LSK2" s="104"/>
      <c r="LSL2" s="103"/>
      <c r="LSM2" s="104"/>
      <c r="LSN2" s="103"/>
      <c r="LSO2" s="104"/>
      <c r="LSP2" s="103"/>
      <c r="LSQ2" s="104"/>
      <c r="LSR2" s="103"/>
      <c r="LSS2" s="104"/>
      <c r="LST2" s="103"/>
      <c r="LSU2" s="104"/>
      <c r="LSV2" s="103"/>
      <c r="LSW2" s="104"/>
      <c r="LSX2" s="103"/>
      <c r="LSY2" s="104"/>
      <c r="LSZ2" s="103"/>
      <c r="LTA2" s="104"/>
      <c r="LTB2" s="103"/>
      <c r="LTC2" s="104"/>
      <c r="LTD2" s="103"/>
      <c r="LTE2" s="104"/>
      <c r="LTF2" s="103"/>
      <c r="LTG2" s="104"/>
      <c r="LTH2" s="103"/>
      <c r="LTI2" s="104"/>
      <c r="LTJ2" s="103"/>
      <c r="LTK2" s="104"/>
      <c r="LTL2" s="103"/>
      <c r="LTM2" s="104"/>
      <c r="LTN2" s="103"/>
      <c r="LTO2" s="104"/>
      <c r="LTP2" s="103"/>
      <c r="LTQ2" s="104"/>
      <c r="LTR2" s="103"/>
      <c r="LTS2" s="104"/>
      <c r="LTT2" s="103"/>
      <c r="LTU2" s="104"/>
      <c r="LTV2" s="103"/>
      <c r="LTW2" s="104"/>
      <c r="LTX2" s="103"/>
      <c r="LTY2" s="104"/>
      <c r="LTZ2" s="103"/>
      <c r="LUA2" s="104"/>
      <c r="LUB2" s="103"/>
      <c r="LUC2" s="104"/>
      <c r="LUD2" s="103"/>
      <c r="LUE2" s="104"/>
      <c r="LUF2" s="103"/>
      <c r="LUG2" s="104"/>
      <c r="LUH2" s="103"/>
      <c r="LUI2" s="104"/>
      <c r="LUJ2" s="103"/>
      <c r="LUK2" s="104"/>
      <c r="LUL2" s="103"/>
      <c r="LUM2" s="104"/>
      <c r="LUN2" s="103"/>
      <c r="LUO2" s="104"/>
      <c r="LUP2" s="103"/>
      <c r="LUQ2" s="104"/>
      <c r="LUR2" s="103"/>
      <c r="LUS2" s="104"/>
      <c r="LUT2" s="103"/>
      <c r="LUU2" s="104"/>
      <c r="LUV2" s="103"/>
      <c r="LUW2" s="104"/>
      <c r="LUX2" s="103"/>
      <c r="LUY2" s="104"/>
      <c r="LUZ2" s="103"/>
      <c r="LVA2" s="104"/>
      <c r="LVB2" s="103"/>
      <c r="LVC2" s="104"/>
      <c r="LVD2" s="103"/>
      <c r="LVE2" s="104"/>
      <c r="LVF2" s="103"/>
      <c r="LVG2" s="104"/>
      <c r="LVH2" s="103"/>
      <c r="LVI2" s="104"/>
      <c r="LVJ2" s="103"/>
      <c r="LVK2" s="104"/>
      <c r="LVL2" s="103"/>
      <c r="LVM2" s="104"/>
      <c r="LVN2" s="103"/>
      <c r="LVO2" s="104"/>
      <c r="LVP2" s="103"/>
      <c r="LVQ2" s="104"/>
      <c r="LVR2" s="103"/>
      <c r="LVS2" s="104"/>
      <c r="LVT2" s="103"/>
      <c r="LVU2" s="104"/>
      <c r="LVV2" s="103"/>
      <c r="LVW2" s="104"/>
      <c r="LVX2" s="103"/>
      <c r="LVY2" s="104"/>
      <c r="LVZ2" s="103"/>
      <c r="LWA2" s="104"/>
      <c r="LWB2" s="103"/>
      <c r="LWC2" s="104"/>
      <c r="LWD2" s="103"/>
      <c r="LWE2" s="104"/>
      <c r="LWF2" s="103"/>
      <c r="LWG2" s="104"/>
      <c r="LWH2" s="103"/>
      <c r="LWI2" s="104"/>
      <c r="LWJ2" s="103"/>
      <c r="LWK2" s="104"/>
      <c r="LWL2" s="103"/>
      <c r="LWM2" s="104"/>
      <c r="LWN2" s="103"/>
      <c r="LWO2" s="104"/>
      <c r="LWP2" s="103"/>
      <c r="LWQ2" s="104"/>
      <c r="LWR2" s="103"/>
      <c r="LWS2" s="104"/>
      <c r="LWT2" s="103"/>
      <c r="LWU2" s="104"/>
      <c r="LWV2" s="103"/>
      <c r="LWW2" s="104"/>
      <c r="LWX2" s="103"/>
      <c r="LWY2" s="104"/>
      <c r="LWZ2" s="103"/>
      <c r="LXA2" s="104"/>
      <c r="LXB2" s="103"/>
      <c r="LXC2" s="104"/>
      <c r="LXD2" s="103"/>
      <c r="LXE2" s="104"/>
      <c r="LXF2" s="103"/>
      <c r="LXG2" s="104"/>
      <c r="LXH2" s="103"/>
      <c r="LXI2" s="104"/>
      <c r="LXJ2" s="103"/>
      <c r="LXK2" s="104"/>
      <c r="LXL2" s="103"/>
      <c r="LXM2" s="104"/>
      <c r="LXN2" s="103"/>
      <c r="LXO2" s="104"/>
      <c r="LXP2" s="103"/>
      <c r="LXQ2" s="104"/>
      <c r="LXR2" s="103"/>
      <c r="LXS2" s="104"/>
      <c r="LXT2" s="103"/>
      <c r="LXU2" s="104"/>
      <c r="LXV2" s="103"/>
      <c r="LXW2" s="104"/>
      <c r="LXX2" s="103"/>
      <c r="LXY2" s="104"/>
      <c r="LXZ2" s="103"/>
      <c r="LYA2" s="104"/>
      <c r="LYB2" s="103"/>
      <c r="LYC2" s="104"/>
      <c r="LYD2" s="103"/>
      <c r="LYE2" s="104"/>
      <c r="LYF2" s="103"/>
      <c r="LYG2" s="104"/>
      <c r="LYH2" s="103"/>
      <c r="LYI2" s="104"/>
      <c r="LYJ2" s="103"/>
      <c r="LYK2" s="104"/>
      <c r="LYL2" s="103"/>
      <c r="LYM2" s="104"/>
      <c r="LYN2" s="103"/>
      <c r="LYO2" s="104"/>
      <c r="LYP2" s="103"/>
      <c r="LYQ2" s="104"/>
      <c r="LYR2" s="103"/>
      <c r="LYS2" s="104"/>
      <c r="LYT2" s="103"/>
      <c r="LYU2" s="104"/>
      <c r="LYV2" s="103"/>
      <c r="LYW2" s="104"/>
      <c r="LYX2" s="103"/>
      <c r="LYY2" s="104"/>
      <c r="LYZ2" s="103"/>
      <c r="LZA2" s="104"/>
      <c r="LZB2" s="103"/>
      <c r="LZC2" s="104"/>
      <c r="LZD2" s="103"/>
      <c r="LZE2" s="104"/>
      <c r="LZF2" s="103"/>
      <c r="LZG2" s="104"/>
      <c r="LZH2" s="103"/>
      <c r="LZI2" s="104"/>
      <c r="LZJ2" s="103"/>
      <c r="LZK2" s="104"/>
      <c r="LZL2" s="103"/>
      <c r="LZM2" s="104"/>
      <c r="LZN2" s="103"/>
      <c r="LZO2" s="104"/>
      <c r="LZP2" s="103"/>
      <c r="LZQ2" s="104"/>
      <c r="LZR2" s="103"/>
      <c r="LZS2" s="104"/>
      <c r="LZT2" s="103"/>
      <c r="LZU2" s="104"/>
      <c r="LZV2" s="103"/>
      <c r="LZW2" s="104"/>
      <c r="LZX2" s="103"/>
      <c r="LZY2" s="104"/>
      <c r="LZZ2" s="103"/>
      <c r="MAA2" s="104"/>
      <c r="MAB2" s="103"/>
      <c r="MAC2" s="104"/>
      <c r="MAD2" s="103"/>
      <c r="MAE2" s="104"/>
      <c r="MAF2" s="103"/>
      <c r="MAG2" s="104"/>
      <c r="MAH2" s="103"/>
      <c r="MAI2" s="104"/>
      <c r="MAJ2" s="103"/>
      <c r="MAK2" s="104"/>
      <c r="MAL2" s="103"/>
      <c r="MAM2" s="104"/>
      <c r="MAN2" s="103"/>
      <c r="MAO2" s="104"/>
      <c r="MAP2" s="103"/>
      <c r="MAQ2" s="104"/>
      <c r="MAR2" s="103"/>
      <c r="MAS2" s="104"/>
      <c r="MAT2" s="103"/>
      <c r="MAU2" s="104"/>
      <c r="MAV2" s="103"/>
      <c r="MAW2" s="104"/>
      <c r="MAX2" s="103"/>
      <c r="MAY2" s="104"/>
      <c r="MAZ2" s="103"/>
      <c r="MBA2" s="104"/>
      <c r="MBB2" s="103"/>
      <c r="MBC2" s="104"/>
      <c r="MBD2" s="103"/>
      <c r="MBE2" s="104"/>
      <c r="MBF2" s="103"/>
      <c r="MBG2" s="104"/>
      <c r="MBH2" s="103"/>
      <c r="MBI2" s="104"/>
      <c r="MBJ2" s="103"/>
      <c r="MBK2" s="104"/>
      <c r="MBL2" s="103"/>
      <c r="MBM2" s="104"/>
      <c r="MBN2" s="103"/>
      <c r="MBO2" s="104"/>
      <c r="MBP2" s="103"/>
      <c r="MBQ2" s="104"/>
      <c r="MBR2" s="103"/>
      <c r="MBS2" s="104"/>
      <c r="MBT2" s="103"/>
      <c r="MBU2" s="104"/>
      <c r="MBV2" s="103"/>
      <c r="MBW2" s="104"/>
      <c r="MBX2" s="103"/>
      <c r="MBY2" s="104"/>
      <c r="MBZ2" s="103"/>
      <c r="MCA2" s="104"/>
      <c r="MCB2" s="103"/>
      <c r="MCC2" s="104"/>
      <c r="MCD2" s="103"/>
      <c r="MCE2" s="104"/>
      <c r="MCF2" s="103"/>
      <c r="MCG2" s="104"/>
      <c r="MCH2" s="103"/>
      <c r="MCI2" s="104"/>
      <c r="MCJ2" s="103"/>
      <c r="MCK2" s="104"/>
      <c r="MCL2" s="103"/>
      <c r="MCM2" s="104"/>
      <c r="MCN2" s="103"/>
      <c r="MCO2" s="104"/>
      <c r="MCP2" s="103"/>
      <c r="MCQ2" s="104"/>
      <c r="MCR2" s="103"/>
      <c r="MCS2" s="104"/>
      <c r="MCT2" s="103"/>
      <c r="MCU2" s="104"/>
      <c r="MCV2" s="103"/>
      <c r="MCW2" s="104"/>
      <c r="MCX2" s="103"/>
      <c r="MCY2" s="104"/>
      <c r="MCZ2" s="103"/>
      <c r="MDA2" s="104"/>
      <c r="MDB2" s="103"/>
      <c r="MDC2" s="104"/>
      <c r="MDD2" s="103"/>
      <c r="MDE2" s="104"/>
      <c r="MDF2" s="103"/>
      <c r="MDG2" s="104"/>
      <c r="MDH2" s="103"/>
      <c r="MDI2" s="104"/>
      <c r="MDJ2" s="103"/>
      <c r="MDK2" s="104"/>
      <c r="MDL2" s="103"/>
      <c r="MDM2" s="104"/>
      <c r="MDN2" s="103"/>
      <c r="MDO2" s="104"/>
      <c r="MDP2" s="103"/>
      <c r="MDQ2" s="104"/>
      <c r="MDR2" s="103"/>
      <c r="MDS2" s="104"/>
      <c r="MDT2" s="103"/>
      <c r="MDU2" s="104"/>
      <c r="MDV2" s="103"/>
      <c r="MDW2" s="104"/>
      <c r="MDX2" s="103"/>
      <c r="MDY2" s="104"/>
      <c r="MDZ2" s="103"/>
      <c r="MEA2" s="104"/>
      <c r="MEB2" s="103"/>
      <c r="MEC2" s="104"/>
      <c r="MED2" s="103"/>
      <c r="MEE2" s="104"/>
      <c r="MEF2" s="103"/>
      <c r="MEG2" s="104"/>
      <c r="MEH2" s="103"/>
      <c r="MEI2" s="104"/>
      <c r="MEJ2" s="103"/>
      <c r="MEK2" s="104"/>
      <c r="MEL2" s="103"/>
      <c r="MEM2" s="104"/>
      <c r="MEN2" s="103"/>
      <c r="MEO2" s="104"/>
      <c r="MEP2" s="103"/>
      <c r="MEQ2" s="104"/>
      <c r="MER2" s="103"/>
      <c r="MES2" s="104"/>
      <c r="MET2" s="103"/>
      <c r="MEU2" s="104"/>
      <c r="MEV2" s="103"/>
      <c r="MEW2" s="104"/>
      <c r="MEX2" s="103"/>
      <c r="MEY2" s="104"/>
      <c r="MEZ2" s="103"/>
      <c r="MFA2" s="104"/>
      <c r="MFB2" s="103"/>
      <c r="MFC2" s="104"/>
      <c r="MFD2" s="103"/>
      <c r="MFE2" s="104"/>
      <c r="MFF2" s="103"/>
      <c r="MFG2" s="104"/>
      <c r="MFH2" s="103"/>
      <c r="MFI2" s="104"/>
      <c r="MFJ2" s="103"/>
      <c r="MFK2" s="104"/>
      <c r="MFL2" s="103"/>
      <c r="MFM2" s="104"/>
      <c r="MFN2" s="103"/>
      <c r="MFO2" s="104"/>
      <c r="MFP2" s="103"/>
      <c r="MFQ2" s="104"/>
      <c r="MFR2" s="103"/>
      <c r="MFS2" s="104"/>
      <c r="MFT2" s="103"/>
      <c r="MFU2" s="104"/>
      <c r="MFV2" s="103"/>
      <c r="MFW2" s="104"/>
      <c r="MFX2" s="103"/>
      <c r="MFY2" s="104"/>
      <c r="MFZ2" s="103"/>
      <c r="MGA2" s="104"/>
      <c r="MGB2" s="103"/>
      <c r="MGC2" s="104"/>
      <c r="MGD2" s="103"/>
      <c r="MGE2" s="104"/>
      <c r="MGF2" s="103"/>
      <c r="MGG2" s="104"/>
      <c r="MGH2" s="103"/>
      <c r="MGI2" s="104"/>
      <c r="MGJ2" s="103"/>
      <c r="MGK2" s="104"/>
      <c r="MGL2" s="103"/>
      <c r="MGM2" s="104"/>
      <c r="MGN2" s="103"/>
      <c r="MGO2" s="104"/>
      <c r="MGP2" s="103"/>
      <c r="MGQ2" s="104"/>
      <c r="MGR2" s="103"/>
      <c r="MGS2" s="104"/>
      <c r="MGT2" s="103"/>
      <c r="MGU2" s="104"/>
      <c r="MGV2" s="103"/>
      <c r="MGW2" s="104"/>
      <c r="MGX2" s="103"/>
      <c r="MGY2" s="104"/>
      <c r="MGZ2" s="103"/>
      <c r="MHA2" s="104"/>
      <c r="MHB2" s="103"/>
      <c r="MHC2" s="104"/>
      <c r="MHD2" s="103"/>
      <c r="MHE2" s="104"/>
      <c r="MHF2" s="103"/>
      <c r="MHG2" s="104"/>
      <c r="MHH2" s="103"/>
      <c r="MHI2" s="104"/>
      <c r="MHJ2" s="103"/>
      <c r="MHK2" s="104"/>
      <c r="MHL2" s="103"/>
      <c r="MHM2" s="104"/>
      <c r="MHN2" s="103"/>
      <c r="MHO2" s="104"/>
      <c r="MHP2" s="103"/>
      <c r="MHQ2" s="104"/>
      <c r="MHR2" s="103"/>
      <c r="MHS2" s="104"/>
      <c r="MHT2" s="103"/>
      <c r="MHU2" s="104"/>
      <c r="MHV2" s="103"/>
      <c r="MHW2" s="104"/>
      <c r="MHX2" s="103"/>
      <c r="MHY2" s="104"/>
      <c r="MHZ2" s="103"/>
      <c r="MIA2" s="104"/>
      <c r="MIB2" s="103"/>
      <c r="MIC2" s="104"/>
      <c r="MID2" s="103"/>
      <c r="MIE2" s="104"/>
      <c r="MIF2" s="103"/>
      <c r="MIG2" s="104"/>
      <c r="MIH2" s="103"/>
      <c r="MII2" s="104"/>
      <c r="MIJ2" s="103"/>
      <c r="MIK2" s="104"/>
      <c r="MIL2" s="103"/>
      <c r="MIM2" s="104"/>
      <c r="MIN2" s="103"/>
      <c r="MIO2" s="104"/>
      <c r="MIP2" s="103"/>
      <c r="MIQ2" s="104"/>
      <c r="MIR2" s="103"/>
      <c r="MIS2" s="104"/>
      <c r="MIT2" s="103"/>
      <c r="MIU2" s="104"/>
      <c r="MIV2" s="103"/>
      <c r="MIW2" s="104"/>
      <c r="MIX2" s="103"/>
      <c r="MIY2" s="104"/>
      <c r="MIZ2" s="103"/>
      <c r="MJA2" s="104"/>
      <c r="MJB2" s="103"/>
      <c r="MJC2" s="104"/>
      <c r="MJD2" s="103"/>
      <c r="MJE2" s="104"/>
      <c r="MJF2" s="103"/>
      <c r="MJG2" s="104"/>
      <c r="MJH2" s="103"/>
      <c r="MJI2" s="104"/>
      <c r="MJJ2" s="103"/>
      <c r="MJK2" s="104"/>
      <c r="MJL2" s="103"/>
      <c r="MJM2" s="104"/>
      <c r="MJN2" s="103"/>
      <c r="MJO2" s="104"/>
      <c r="MJP2" s="103"/>
      <c r="MJQ2" s="104"/>
      <c r="MJR2" s="103"/>
      <c r="MJS2" s="104"/>
      <c r="MJT2" s="103"/>
      <c r="MJU2" s="104"/>
      <c r="MJV2" s="103"/>
      <c r="MJW2" s="104"/>
      <c r="MJX2" s="103"/>
      <c r="MJY2" s="104"/>
      <c r="MJZ2" s="103"/>
      <c r="MKA2" s="104"/>
      <c r="MKB2" s="103"/>
      <c r="MKC2" s="104"/>
      <c r="MKD2" s="103"/>
      <c r="MKE2" s="104"/>
      <c r="MKF2" s="103"/>
      <c r="MKG2" s="104"/>
      <c r="MKH2" s="103"/>
      <c r="MKI2" s="104"/>
      <c r="MKJ2" s="103"/>
      <c r="MKK2" s="104"/>
      <c r="MKL2" s="103"/>
      <c r="MKM2" s="104"/>
      <c r="MKN2" s="103"/>
      <c r="MKO2" s="104"/>
      <c r="MKP2" s="103"/>
      <c r="MKQ2" s="104"/>
      <c r="MKR2" s="103"/>
      <c r="MKS2" s="104"/>
      <c r="MKT2" s="103"/>
      <c r="MKU2" s="104"/>
      <c r="MKV2" s="103"/>
      <c r="MKW2" s="104"/>
      <c r="MKX2" s="103"/>
      <c r="MKY2" s="104"/>
      <c r="MKZ2" s="103"/>
      <c r="MLA2" s="104"/>
      <c r="MLB2" s="103"/>
      <c r="MLC2" s="104"/>
      <c r="MLD2" s="103"/>
      <c r="MLE2" s="104"/>
      <c r="MLF2" s="103"/>
      <c r="MLG2" s="104"/>
      <c r="MLH2" s="103"/>
      <c r="MLI2" s="104"/>
      <c r="MLJ2" s="103"/>
      <c r="MLK2" s="104"/>
      <c r="MLL2" s="103"/>
      <c r="MLM2" s="104"/>
      <c r="MLN2" s="103"/>
      <c r="MLO2" s="104"/>
      <c r="MLP2" s="103"/>
      <c r="MLQ2" s="104"/>
      <c r="MLR2" s="103"/>
      <c r="MLS2" s="104"/>
      <c r="MLT2" s="103"/>
      <c r="MLU2" s="104"/>
      <c r="MLV2" s="103"/>
      <c r="MLW2" s="104"/>
      <c r="MLX2" s="103"/>
      <c r="MLY2" s="104"/>
      <c r="MLZ2" s="103"/>
      <c r="MMA2" s="104"/>
      <c r="MMB2" s="103"/>
      <c r="MMC2" s="104"/>
      <c r="MMD2" s="103"/>
      <c r="MME2" s="104"/>
      <c r="MMF2" s="103"/>
      <c r="MMG2" s="104"/>
      <c r="MMH2" s="103"/>
      <c r="MMI2" s="104"/>
      <c r="MMJ2" s="103"/>
      <c r="MMK2" s="104"/>
      <c r="MML2" s="103"/>
      <c r="MMM2" s="104"/>
      <c r="MMN2" s="103"/>
      <c r="MMO2" s="104"/>
      <c r="MMP2" s="103"/>
      <c r="MMQ2" s="104"/>
      <c r="MMR2" s="103"/>
      <c r="MMS2" s="104"/>
      <c r="MMT2" s="103"/>
      <c r="MMU2" s="104"/>
      <c r="MMV2" s="103"/>
      <c r="MMW2" s="104"/>
      <c r="MMX2" s="103"/>
      <c r="MMY2" s="104"/>
      <c r="MMZ2" s="103"/>
      <c r="MNA2" s="104"/>
      <c r="MNB2" s="103"/>
      <c r="MNC2" s="104"/>
      <c r="MND2" s="103"/>
      <c r="MNE2" s="104"/>
      <c r="MNF2" s="103"/>
      <c r="MNG2" s="104"/>
      <c r="MNH2" s="103"/>
      <c r="MNI2" s="104"/>
      <c r="MNJ2" s="103"/>
      <c r="MNK2" s="104"/>
      <c r="MNL2" s="103"/>
      <c r="MNM2" s="104"/>
      <c r="MNN2" s="103"/>
      <c r="MNO2" s="104"/>
      <c r="MNP2" s="103"/>
      <c r="MNQ2" s="104"/>
      <c r="MNR2" s="103"/>
      <c r="MNS2" s="104"/>
      <c r="MNT2" s="103"/>
      <c r="MNU2" s="104"/>
      <c r="MNV2" s="103"/>
      <c r="MNW2" s="104"/>
      <c r="MNX2" s="103"/>
      <c r="MNY2" s="104"/>
      <c r="MNZ2" s="103"/>
      <c r="MOA2" s="104"/>
      <c r="MOB2" s="103"/>
      <c r="MOC2" s="104"/>
      <c r="MOD2" s="103"/>
      <c r="MOE2" s="104"/>
      <c r="MOF2" s="103"/>
      <c r="MOG2" s="104"/>
      <c r="MOH2" s="103"/>
      <c r="MOI2" s="104"/>
      <c r="MOJ2" s="103"/>
      <c r="MOK2" s="104"/>
      <c r="MOL2" s="103"/>
      <c r="MOM2" s="104"/>
      <c r="MON2" s="103"/>
      <c r="MOO2" s="104"/>
      <c r="MOP2" s="103"/>
      <c r="MOQ2" s="104"/>
      <c r="MOR2" s="103"/>
      <c r="MOS2" s="104"/>
      <c r="MOT2" s="103"/>
      <c r="MOU2" s="104"/>
      <c r="MOV2" s="103"/>
      <c r="MOW2" s="104"/>
      <c r="MOX2" s="103"/>
      <c r="MOY2" s="104"/>
      <c r="MOZ2" s="103"/>
      <c r="MPA2" s="104"/>
      <c r="MPB2" s="103"/>
      <c r="MPC2" s="104"/>
      <c r="MPD2" s="103"/>
      <c r="MPE2" s="104"/>
      <c r="MPF2" s="103"/>
      <c r="MPG2" s="104"/>
      <c r="MPH2" s="103"/>
      <c r="MPI2" s="104"/>
      <c r="MPJ2" s="103"/>
      <c r="MPK2" s="104"/>
      <c r="MPL2" s="103"/>
      <c r="MPM2" s="104"/>
      <c r="MPN2" s="103"/>
      <c r="MPO2" s="104"/>
      <c r="MPP2" s="103"/>
      <c r="MPQ2" s="104"/>
      <c r="MPR2" s="103"/>
      <c r="MPS2" s="104"/>
      <c r="MPT2" s="103"/>
      <c r="MPU2" s="104"/>
      <c r="MPV2" s="103"/>
      <c r="MPW2" s="104"/>
      <c r="MPX2" s="103"/>
      <c r="MPY2" s="104"/>
      <c r="MPZ2" s="103"/>
      <c r="MQA2" s="104"/>
      <c r="MQB2" s="103"/>
      <c r="MQC2" s="104"/>
      <c r="MQD2" s="103"/>
      <c r="MQE2" s="104"/>
      <c r="MQF2" s="103"/>
      <c r="MQG2" s="104"/>
      <c r="MQH2" s="103"/>
      <c r="MQI2" s="104"/>
      <c r="MQJ2" s="103"/>
      <c r="MQK2" s="104"/>
      <c r="MQL2" s="103"/>
      <c r="MQM2" s="104"/>
      <c r="MQN2" s="103"/>
      <c r="MQO2" s="104"/>
      <c r="MQP2" s="103"/>
      <c r="MQQ2" s="104"/>
      <c r="MQR2" s="103"/>
      <c r="MQS2" s="104"/>
      <c r="MQT2" s="103"/>
      <c r="MQU2" s="104"/>
      <c r="MQV2" s="103"/>
      <c r="MQW2" s="104"/>
      <c r="MQX2" s="103"/>
      <c r="MQY2" s="104"/>
      <c r="MQZ2" s="103"/>
      <c r="MRA2" s="104"/>
      <c r="MRB2" s="103"/>
      <c r="MRC2" s="104"/>
      <c r="MRD2" s="103"/>
      <c r="MRE2" s="104"/>
      <c r="MRF2" s="103"/>
      <c r="MRG2" s="104"/>
      <c r="MRH2" s="103"/>
      <c r="MRI2" s="104"/>
      <c r="MRJ2" s="103"/>
      <c r="MRK2" s="104"/>
      <c r="MRL2" s="103"/>
      <c r="MRM2" s="104"/>
      <c r="MRN2" s="103"/>
      <c r="MRO2" s="104"/>
      <c r="MRP2" s="103"/>
      <c r="MRQ2" s="104"/>
      <c r="MRR2" s="103"/>
      <c r="MRS2" s="104"/>
      <c r="MRT2" s="103"/>
      <c r="MRU2" s="104"/>
      <c r="MRV2" s="103"/>
      <c r="MRW2" s="104"/>
      <c r="MRX2" s="103"/>
      <c r="MRY2" s="104"/>
      <c r="MRZ2" s="103"/>
      <c r="MSA2" s="104"/>
      <c r="MSB2" s="103"/>
      <c r="MSC2" s="104"/>
      <c r="MSD2" s="103"/>
      <c r="MSE2" s="104"/>
      <c r="MSF2" s="103"/>
      <c r="MSG2" s="104"/>
      <c r="MSH2" s="103"/>
      <c r="MSI2" s="104"/>
      <c r="MSJ2" s="103"/>
      <c r="MSK2" s="104"/>
      <c r="MSL2" s="103"/>
      <c r="MSM2" s="104"/>
      <c r="MSN2" s="103"/>
      <c r="MSO2" s="104"/>
      <c r="MSP2" s="103"/>
      <c r="MSQ2" s="104"/>
      <c r="MSR2" s="103"/>
      <c r="MSS2" s="104"/>
      <c r="MST2" s="103"/>
      <c r="MSU2" s="104"/>
      <c r="MSV2" s="103"/>
      <c r="MSW2" s="104"/>
      <c r="MSX2" s="103"/>
      <c r="MSY2" s="104"/>
      <c r="MSZ2" s="103"/>
      <c r="MTA2" s="104"/>
      <c r="MTB2" s="103"/>
      <c r="MTC2" s="104"/>
      <c r="MTD2" s="103"/>
      <c r="MTE2" s="104"/>
      <c r="MTF2" s="103"/>
      <c r="MTG2" s="104"/>
      <c r="MTH2" s="103"/>
      <c r="MTI2" s="104"/>
      <c r="MTJ2" s="103"/>
      <c r="MTK2" s="104"/>
      <c r="MTL2" s="103"/>
      <c r="MTM2" s="104"/>
      <c r="MTN2" s="103"/>
      <c r="MTO2" s="104"/>
      <c r="MTP2" s="103"/>
      <c r="MTQ2" s="104"/>
      <c r="MTR2" s="103"/>
      <c r="MTS2" s="104"/>
      <c r="MTT2" s="103"/>
      <c r="MTU2" s="104"/>
      <c r="MTV2" s="103"/>
      <c r="MTW2" s="104"/>
      <c r="MTX2" s="103"/>
      <c r="MTY2" s="104"/>
      <c r="MTZ2" s="103"/>
      <c r="MUA2" s="104"/>
      <c r="MUB2" s="103"/>
      <c r="MUC2" s="104"/>
      <c r="MUD2" s="103"/>
      <c r="MUE2" s="104"/>
      <c r="MUF2" s="103"/>
      <c r="MUG2" s="104"/>
      <c r="MUH2" s="103"/>
      <c r="MUI2" s="104"/>
      <c r="MUJ2" s="103"/>
      <c r="MUK2" s="104"/>
      <c r="MUL2" s="103"/>
      <c r="MUM2" s="104"/>
      <c r="MUN2" s="103"/>
      <c r="MUO2" s="104"/>
      <c r="MUP2" s="103"/>
      <c r="MUQ2" s="104"/>
      <c r="MUR2" s="103"/>
      <c r="MUS2" s="104"/>
      <c r="MUT2" s="103"/>
      <c r="MUU2" s="104"/>
      <c r="MUV2" s="103"/>
      <c r="MUW2" s="104"/>
      <c r="MUX2" s="103"/>
      <c r="MUY2" s="104"/>
      <c r="MUZ2" s="103"/>
      <c r="MVA2" s="104"/>
      <c r="MVB2" s="103"/>
      <c r="MVC2" s="104"/>
      <c r="MVD2" s="103"/>
      <c r="MVE2" s="104"/>
      <c r="MVF2" s="103"/>
      <c r="MVG2" s="104"/>
      <c r="MVH2" s="103"/>
      <c r="MVI2" s="104"/>
      <c r="MVJ2" s="103"/>
      <c r="MVK2" s="104"/>
      <c r="MVL2" s="103"/>
      <c r="MVM2" s="104"/>
      <c r="MVN2" s="103"/>
      <c r="MVO2" s="104"/>
      <c r="MVP2" s="103"/>
      <c r="MVQ2" s="104"/>
      <c r="MVR2" s="103"/>
      <c r="MVS2" s="104"/>
      <c r="MVT2" s="103"/>
      <c r="MVU2" s="104"/>
      <c r="MVV2" s="103"/>
      <c r="MVW2" s="104"/>
      <c r="MVX2" s="103"/>
      <c r="MVY2" s="104"/>
      <c r="MVZ2" s="103"/>
      <c r="MWA2" s="104"/>
      <c r="MWB2" s="103"/>
      <c r="MWC2" s="104"/>
      <c r="MWD2" s="103"/>
      <c r="MWE2" s="104"/>
      <c r="MWF2" s="103"/>
      <c r="MWG2" s="104"/>
      <c r="MWH2" s="103"/>
      <c r="MWI2" s="104"/>
      <c r="MWJ2" s="103"/>
      <c r="MWK2" s="104"/>
      <c r="MWL2" s="103"/>
      <c r="MWM2" s="104"/>
      <c r="MWN2" s="103"/>
      <c r="MWO2" s="104"/>
      <c r="MWP2" s="103"/>
      <c r="MWQ2" s="104"/>
      <c r="MWR2" s="103"/>
      <c r="MWS2" s="104"/>
      <c r="MWT2" s="103"/>
      <c r="MWU2" s="104"/>
      <c r="MWV2" s="103"/>
      <c r="MWW2" s="104"/>
      <c r="MWX2" s="103"/>
      <c r="MWY2" s="104"/>
      <c r="MWZ2" s="103"/>
      <c r="MXA2" s="104"/>
      <c r="MXB2" s="103"/>
      <c r="MXC2" s="104"/>
      <c r="MXD2" s="103"/>
      <c r="MXE2" s="104"/>
      <c r="MXF2" s="103"/>
      <c r="MXG2" s="104"/>
      <c r="MXH2" s="103"/>
      <c r="MXI2" s="104"/>
      <c r="MXJ2" s="103"/>
      <c r="MXK2" s="104"/>
      <c r="MXL2" s="103"/>
      <c r="MXM2" s="104"/>
      <c r="MXN2" s="103"/>
      <c r="MXO2" s="104"/>
      <c r="MXP2" s="103"/>
      <c r="MXQ2" s="104"/>
      <c r="MXR2" s="103"/>
      <c r="MXS2" s="104"/>
      <c r="MXT2" s="103"/>
      <c r="MXU2" s="104"/>
      <c r="MXV2" s="103"/>
      <c r="MXW2" s="104"/>
      <c r="MXX2" s="103"/>
      <c r="MXY2" s="104"/>
      <c r="MXZ2" s="103"/>
      <c r="MYA2" s="104"/>
      <c r="MYB2" s="103"/>
      <c r="MYC2" s="104"/>
      <c r="MYD2" s="103"/>
      <c r="MYE2" s="104"/>
      <c r="MYF2" s="103"/>
      <c r="MYG2" s="104"/>
      <c r="MYH2" s="103"/>
      <c r="MYI2" s="104"/>
      <c r="MYJ2" s="103"/>
      <c r="MYK2" s="104"/>
      <c r="MYL2" s="103"/>
      <c r="MYM2" s="104"/>
      <c r="MYN2" s="103"/>
      <c r="MYO2" s="104"/>
      <c r="MYP2" s="103"/>
      <c r="MYQ2" s="104"/>
      <c r="MYR2" s="103"/>
      <c r="MYS2" s="104"/>
      <c r="MYT2" s="103"/>
      <c r="MYU2" s="104"/>
      <c r="MYV2" s="103"/>
      <c r="MYW2" s="104"/>
      <c r="MYX2" s="103"/>
      <c r="MYY2" s="104"/>
      <c r="MYZ2" s="103"/>
      <c r="MZA2" s="104"/>
      <c r="MZB2" s="103"/>
      <c r="MZC2" s="104"/>
      <c r="MZD2" s="103"/>
      <c r="MZE2" s="104"/>
      <c r="MZF2" s="103"/>
      <c r="MZG2" s="104"/>
      <c r="MZH2" s="103"/>
      <c r="MZI2" s="104"/>
      <c r="MZJ2" s="103"/>
      <c r="MZK2" s="104"/>
      <c r="MZL2" s="103"/>
      <c r="MZM2" s="104"/>
      <c r="MZN2" s="103"/>
      <c r="MZO2" s="104"/>
      <c r="MZP2" s="103"/>
      <c r="MZQ2" s="104"/>
      <c r="MZR2" s="103"/>
      <c r="MZS2" s="104"/>
      <c r="MZT2" s="103"/>
      <c r="MZU2" s="104"/>
      <c r="MZV2" s="103"/>
      <c r="MZW2" s="104"/>
      <c r="MZX2" s="103"/>
      <c r="MZY2" s="104"/>
      <c r="MZZ2" s="103"/>
      <c r="NAA2" s="104"/>
      <c r="NAB2" s="103"/>
      <c r="NAC2" s="104"/>
      <c r="NAD2" s="103"/>
      <c r="NAE2" s="104"/>
      <c r="NAF2" s="103"/>
      <c r="NAG2" s="104"/>
      <c r="NAH2" s="103"/>
      <c r="NAI2" s="104"/>
      <c r="NAJ2" s="103"/>
      <c r="NAK2" s="104"/>
      <c r="NAL2" s="103"/>
      <c r="NAM2" s="104"/>
      <c r="NAN2" s="103"/>
      <c r="NAO2" s="104"/>
      <c r="NAP2" s="103"/>
      <c r="NAQ2" s="104"/>
      <c r="NAR2" s="103"/>
      <c r="NAS2" s="104"/>
      <c r="NAT2" s="103"/>
      <c r="NAU2" s="104"/>
      <c r="NAV2" s="103"/>
      <c r="NAW2" s="104"/>
      <c r="NAX2" s="103"/>
      <c r="NAY2" s="104"/>
      <c r="NAZ2" s="103"/>
      <c r="NBA2" s="104"/>
      <c r="NBB2" s="103"/>
      <c r="NBC2" s="104"/>
      <c r="NBD2" s="103"/>
      <c r="NBE2" s="104"/>
      <c r="NBF2" s="103"/>
      <c r="NBG2" s="104"/>
      <c r="NBH2" s="103"/>
      <c r="NBI2" s="104"/>
      <c r="NBJ2" s="103"/>
      <c r="NBK2" s="104"/>
      <c r="NBL2" s="103"/>
      <c r="NBM2" s="104"/>
      <c r="NBN2" s="103"/>
      <c r="NBO2" s="104"/>
      <c r="NBP2" s="103"/>
      <c r="NBQ2" s="104"/>
      <c r="NBR2" s="103"/>
      <c r="NBS2" s="104"/>
      <c r="NBT2" s="103"/>
      <c r="NBU2" s="104"/>
      <c r="NBV2" s="103"/>
      <c r="NBW2" s="104"/>
      <c r="NBX2" s="103"/>
      <c r="NBY2" s="104"/>
      <c r="NBZ2" s="103"/>
      <c r="NCA2" s="104"/>
      <c r="NCB2" s="103"/>
      <c r="NCC2" s="104"/>
      <c r="NCD2" s="103"/>
      <c r="NCE2" s="104"/>
      <c r="NCF2" s="103"/>
      <c r="NCG2" s="104"/>
      <c r="NCH2" s="103"/>
      <c r="NCI2" s="104"/>
      <c r="NCJ2" s="103"/>
      <c r="NCK2" s="104"/>
      <c r="NCL2" s="103"/>
      <c r="NCM2" s="104"/>
      <c r="NCN2" s="103"/>
      <c r="NCO2" s="104"/>
      <c r="NCP2" s="103"/>
      <c r="NCQ2" s="104"/>
      <c r="NCR2" s="103"/>
      <c r="NCS2" s="104"/>
      <c r="NCT2" s="103"/>
      <c r="NCU2" s="104"/>
      <c r="NCV2" s="103"/>
      <c r="NCW2" s="104"/>
      <c r="NCX2" s="103"/>
      <c r="NCY2" s="104"/>
      <c r="NCZ2" s="103"/>
      <c r="NDA2" s="104"/>
      <c r="NDB2" s="103"/>
      <c r="NDC2" s="104"/>
      <c r="NDD2" s="103"/>
      <c r="NDE2" s="104"/>
      <c r="NDF2" s="103"/>
      <c r="NDG2" s="104"/>
      <c r="NDH2" s="103"/>
      <c r="NDI2" s="104"/>
      <c r="NDJ2" s="103"/>
      <c r="NDK2" s="104"/>
      <c r="NDL2" s="103"/>
      <c r="NDM2" s="104"/>
      <c r="NDN2" s="103"/>
      <c r="NDO2" s="104"/>
      <c r="NDP2" s="103"/>
      <c r="NDQ2" s="104"/>
      <c r="NDR2" s="103"/>
      <c r="NDS2" s="104"/>
      <c r="NDT2" s="103"/>
      <c r="NDU2" s="104"/>
      <c r="NDV2" s="103"/>
      <c r="NDW2" s="104"/>
      <c r="NDX2" s="103"/>
      <c r="NDY2" s="104"/>
      <c r="NDZ2" s="103"/>
      <c r="NEA2" s="104"/>
      <c r="NEB2" s="103"/>
      <c r="NEC2" s="104"/>
      <c r="NED2" s="103"/>
      <c r="NEE2" s="104"/>
      <c r="NEF2" s="103"/>
      <c r="NEG2" s="104"/>
      <c r="NEH2" s="103"/>
      <c r="NEI2" s="104"/>
      <c r="NEJ2" s="103"/>
      <c r="NEK2" s="104"/>
      <c r="NEL2" s="103"/>
      <c r="NEM2" s="104"/>
      <c r="NEN2" s="103"/>
      <c r="NEO2" s="104"/>
      <c r="NEP2" s="103"/>
      <c r="NEQ2" s="104"/>
      <c r="NER2" s="103"/>
      <c r="NES2" s="104"/>
      <c r="NET2" s="103"/>
      <c r="NEU2" s="104"/>
      <c r="NEV2" s="103"/>
      <c r="NEW2" s="104"/>
      <c r="NEX2" s="103"/>
      <c r="NEY2" s="104"/>
      <c r="NEZ2" s="103"/>
      <c r="NFA2" s="104"/>
      <c r="NFB2" s="103"/>
      <c r="NFC2" s="104"/>
      <c r="NFD2" s="103"/>
      <c r="NFE2" s="104"/>
      <c r="NFF2" s="103"/>
      <c r="NFG2" s="104"/>
      <c r="NFH2" s="103"/>
      <c r="NFI2" s="104"/>
      <c r="NFJ2" s="103"/>
      <c r="NFK2" s="104"/>
      <c r="NFL2" s="103"/>
      <c r="NFM2" s="104"/>
      <c r="NFN2" s="103"/>
      <c r="NFO2" s="104"/>
      <c r="NFP2" s="103"/>
      <c r="NFQ2" s="104"/>
      <c r="NFR2" s="103"/>
      <c r="NFS2" s="104"/>
      <c r="NFT2" s="103"/>
      <c r="NFU2" s="104"/>
      <c r="NFV2" s="103"/>
      <c r="NFW2" s="104"/>
      <c r="NFX2" s="103"/>
      <c r="NFY2" s="104"/>
      <c r="NFZ2" s="103"/>
      <c r="NGA2" s="104"/>
      <c r="NGB2" s="103"/>
      <c r="NGC2" s="104"/>
      <c r="NGD2" s="103"/>
      <c r="NGE2" s="104"/>
      <c r="NGF2" s="103"/>
      <c r="NGG2" s="104"/>
      <c r="NGH2" s="103"/>
      <c r="NGI2" s="104"/>
      <c r="NGJ2" s="103"/>
      <c r="NGK2" s="104"/>
      <c r="NGL2" s="103"/>
      <c r="NGM2" s="104"/>
      <c r="NGN2" s="103"/>
      <c r="NGO2" s="104"/>
      <c r="NGP2" s="103"/>
      <c r="NGQ2" s="104"/>
      <c r="NGR2" s="103"/>
      <c r="NGS2" s="104"/>
      <c r="NGT2" s="103"/>
      <c r="NGU2" s="104"/>
      <c r="NGV2" s="103"/>
      <c r="NGW2" s="104"/>
      <c r="NGX2" s="103"/>
      <c r="NGY2" s="104"/>
      <c r="NGZ2" s="103"/>
      <c r="NHA2" s="104"/>
      <c r="NHB2" s="103"/>
      <c r="NHC2" s="104"/>
      <c r="NHD2" s="103"/>
      <c r="NHE2" s="104"/>
      <c r="NHF2" s="103"/>
      <c r="NHG2" s="104"/>
      <c r="NHH2" s="103"/>
      <c r="NHI2" s="104"/>
      <c r="NHJ2" s="103"/>
      <c r="NHK2" s="104"/>
      <c r="NHL2" s="103"/>
      <c r="NHM2" s="104"/>
      <c r="NHN2" s="103"/>
      <c r="NHO2" s="104"/>
      <c r="NHP2" s="103"/>
      <c r="NHQ2" s="104"/>
      <c r="NHR2" s="103"/>
      <c r="NHS2" s="104"/>
      <c r="NHT2" s="103"/>
      <c r="NHU2" s="104"/>
      <c r="NHV2" s="103"/>
      <c r="NHW2" s="104"/>
      <c r="NHX2" s="103"/>
      <c r="NHY2" s="104"/>
      <c r="NHZ2" s="103"/>
      <c r="NIA2" s="104"/>
      <c r="NIB2" s="103"/>
      <c r="NIC2" s="104"/>
      <c r="NID2" s="103"/>
      <c r="NIE2" s="104"/>
      <c r="NIF2" s="103"/>
      <c r="NIG2" s="104"/>
      <c r="NIH2" s="103"/>
      <c r="NII2" s="104"/>
      <c r="NIJ2" s="103"/>
      <c r="NIK2" s="104"/>
      <c r="NIL2" s="103"/>
      <c r="NIM2" s="104"/>
      <c r="NIN2" s="103"/>
      <c r="NIO2" s="104"/>
      <c r="NIP2" s="103"/>
      <c r="NIQ2" s="104"/>
      <c r="NIR2" s="103"/>
      <c r="NIS2" s="104"/>
      <c r="NIT2" s="103"/>
      <c r="NIU2" s="104"/>
      <c r="NIV2" s="103"/>
      <c r="NIW2" s="104"/>
      <c r="NIX2" s="103"/>
      <c r="NIY2" s="104"/>
      <c r="NIZ2" s="103"/>
      <c r="NJA2" s="104"/>
      <c r="NJB2" s="103"/>
      <c r="NJC2" s="104"/>
      <c r="NJD2" s="103"/>
      <c r="NJE2" s="104"/>
      <c r="NJF2" s="103"/>
      <c r="NJG2" s="104"/>
      <c r="NJH2" s="103"/>
      <c r="NJI2" s="104"/>
      <c r="NJJ2" s="103"/>
      <c r="NJK2" s="104"/>
      <c r="NJL2" s="103"/>
      <c r="NJM2" s="104"/>
      <c r="NJN2" s="103"/>
      <c r="NJO2" s="104"/>
      <c r="NJP2" s="103"/>
      <c r="NJQ2" s="104"/>
      <c r="NJR2" s="103"/>
      <c r="NJS2" s="104"/>
      <c r="NJT2" s="103"/>
      <c r="NJU2" s="104"/>
      <c r="NJV2" s="103"/>
      <c r="NJW2" s="104"/>
      <c r="NJX2" s="103"/>
      <c r="NJY2" s="104"/>
      <c r="NJZ2" s="103"/>
      <c r="NKA2" s="104"/>
      <c r="NKB2" s="103"/>
      <c r="NKC2" s="104"/>
      <c r="NKD2" s="103"/>
      <c r="NKE2" s="104"/>
      <c r="NKF2" s="103"/>
      <c r="NKG2" s="104"/>
      <c r="NKH2" s="103"/>
      <c r="NKI2" s="104"/>
      <c r="NKJ2" s="103"/>
      <c r="NKK2" s="104"/>
      <c r="NKL2" s="103"/>
      <c r="NKM2" s="104"/>
      <c r="NKN2" s="103"/>
      <c r="NKO2" s="104"/>
      <c r="NKP2" s="103"/>
      <c r="NKQ2" s="104"/>
      <c r="NKR2" s="103"/>
      <c r="NKS2" s="104"/>
      <c r="NKT2" s="103"/>
      <c r="NKU2" s="104"/>
      <c r="NKV2" s="103"/>
      <c r="NKW2" s="104"/>
      <c r="NKX2" s="103"/>
      <c r="NKY2" s="104"/>
      <c r="NKZ2" s="103"/>
      <c r="NLA2" s="104"/>
      <c r="NLB2" s="103"/>
      <c r="NLC2" s="104"/>
      <c r="NLD2" s="103"/>
      <c r="NLE2" s="104"/>
      <c r="NLF2" s="103"/>
      <c r="NLG2" s="104"/>
      <c r="NLH2" s="103"/>
      <c r="NLI2" s="104"/>
      <c r="NLJ2" s="103"/>
      <c r="NLK2" s="104"/>
      <c r="NLL2" s="103"/>
      <c r="NLM2" s="104"/>
      <c r="NLN2" s="103"/>
      <c r="NLO2" s="104"/>
      <c r="NLP2" s="103"/>
      <c r="NLQ2" s="104"/>
      <c r="NLR2" s="103"/>
      <c r="NLS2" s="104"/>
      <c r="NLT2" s="103"/>
      <c r="NLU2" s="104"/>
      <c r="NLV2" s="103"/>
      <c r="NLW2" s="104"/>
      <c r="NLX2" s="103"/>
      <c r="NLY2" s="104"/>
      <c r="NLZ2" s="103"/>
      <c r="NMA2" s="104"/>
      <c r="NMB2" s="103"/>
      <c r="NMC2" s="104"/>
      <c r="NMD2" s="103"/>
      <c r="NME2" s="104"/>
      <c r="NMF2" s="103"/>
      <c r="NMG2" s="104"/>
      <c r="NMH2" s="103"/>
      <c r="NMI2" s="104"/>
      <c r="NMJ2" s="103"/>
      <c r="NMK2" s="104"/>
      <c r="NML2" s="103"/>
      <c r="NMM2" s="104"/>
      <c r="NMN2" s="103"/>
      <c r="NMO2" s="104"/>
      <c r="NMP2" s="103"/>
      <c r="NMQ2" s="104"/>
      <c r="NMR2" s="103"/>
      <c r="NMS2" s="104"/>
      <c r="NMT2" s="103"/>
      <c r="NMU2" s="104"/>
      <c r="NMV2" s="103"/>
      <c r="NMW2" s="104"/>
      <c r="NMX2" s="103"/>
      <c r="NMY2" s="104"/>
      <c r="NMZ2" s="103"/>
      <c r="NNA2" s="104"/>
      <c r="NNB2" s="103"/>
      <c r="NNC2" s="104"/>
      <c r="NND2" s="103"/>
      <c r="NNE2" s="104"/>
      <c r="NNF2" s="103"/>
      <c r="NNG2" s="104"/>
      <c r="NNH2" s="103"/>
      <c r="NNI2" s="104"/>
      <c r="NNJ2" s="103"/>
      <c r="NNK2" s="104"/>
      <c r="NNL2" s="103"/>
      <c r="NNM2" s="104"/>
      <c r="NNN2" s="103"/>
      <c r="NNO2" s="104"/>
      <c r="NNP2" s="103"/>
      <c r="NNQ2" s="104"/>
      <c r="NNR2" s="103"/>
      <c r="NNS2" s="104"/>
      <c r="NNT2" s="103"/>
      <c r="NNU2" s="104"/>
      <c r="NNV2" s="103"/>
      <c r="NNW2" s="104"/>
      <c r="NNX2" s="103"/>
      <c r="NNY2" s="104"/>
      <c r="NNZ2" s="103"/>
      <c r="NOA2" s="104"/>
      <c r="NOB2" s="103"/>
      <c r="NOC2" s="104"/>
      <c r="NOD2" s="103"/>
      <c r="NOE2" s="104"/>
      <c r="NOF2" s="103"/>
      <c r="NOG2" s="104"/>
      <c r="NOH2" s="103"/>
      <c r="NOI2" s="104"/>
      <c r="NOJ2" s="103"/>
      <c r="NOK2" s="104"/>
      <c r="NOL2" s="103"/>
      <c r="NOM2" s="104"/>
      <c r="NON2" s="103"/>
      <c r="NOO2" s="104"/>
      <c r="NOP2" s="103"/>
      <c r="NOQ2" s="104"/>
      <c r="NOR2" s="103"/>
      <c r="NOS2" s="104"/>
      <c r="NOT2" s="103"/>
      <c r="NOU2" s="104"/>
      <c r="NOV2" s="103"/>
      <c r="NOW2" s="104"/>
      <c r="NOX2" s="103"/>
      <c r="NOY2" s="104"/>
      <c r="NOZ2" s="103"/>
      <c r="NPA2" s="104"/>
      <c r="NPB2" s="103"/>
      <c r="NPC2" s="104"/>
      <c r="NPD2" s="103"/>
      <c r="NPE2" s="104"/>
      <c r="NPF2" s="103"/>
      <c r="NPG2" s="104"/>
      <c r="NPH2" s="103"/>
      <c r="NPI2" s="104"/>
      <c r="NPJ2" s="103"/>
      <c r="NPK2" s="104"/>
      <c r="NPL2" s="103"/>
      <c r="NPM2" s="104"/>
      <c r="NPN2" s="103"/>
      <c r="NPO2" s="104"/>
      <c r="NPP2" s="103"/>
      <c r="NPQ2" s="104"/>
      <c r="NPR2" s="103"/>
      <c r="NPS2" s="104"/>
      <c r="NPT2" s="103"/>
      <c r="NPU2" s="104"/>
      <c r="NPV2" s="103"/>
      <c r="NPW2" s="104"/>
      <c r="NPX2" s="103"/>
      <c r="NPY2" s="104"/>
      <c r="NPZ2" s="103"/>
      <c r="NQA2" s="104"/>
      <c r="NQB2" s="103"/>
      <c r="NQC2" s="104"/>
      <c r="NQD2" s="103"/>
      <c r="NQE2" s="104"/>
      <c r="NQF2" s="103"/>
      <c r="NQG2" s="104"/>
      <c r="NQH2" s="103"/>
      <c r="NQI2" s="104"/>
      <c r="NQJ2" s="103"/>
      <c r="NQK2" s="104"/>
      <c r="NQL2" s="103"/>
      <c r="NQM2" s="104"/>
      <c r="NQN2" s="103"/>
      <c r="NQO2" s="104"/>
      <c r="NQP2" s="103"/>
      <c r="NQQ2" s="104"/>
      <c r="NQR2" s="103"/>
      <c r="NQS2" s="104"/>
      <c r="NQT2" s="103"/>
      <c r="NQU2" s="104"/>
      <c r="NQV2" s="103"/>
      <c r="NQW2" s="104"/>
      <c r="NQX2" s="103"/>
      <c r="NQY2" s="104"/>
      <c r="NQZ2" s="103"/>
      <c r="NRA2" s="104"/>
      <c r="NRB2" s="103"/>
      <c r="NRC2" s="104"/>
      <c r="NRD2" s="103"/>
      <c r="NRE2" s="104"/>
      <c r="NRF2" s="103"/>
      <c r="NRG2" s="104"/>
      <c r="NRH2" s="103"/>
      <c r="NRI2" s="104"/>
      <c r="NRJ2" s="103"/>
      <c r="NRK2" s="104"/>
      <c r="NRL2" s="103"/>
      <c r="NRM2" s="104"/>
      <c r="NRN2" s="103"/>
      <c r="NRO2" s="104"/>
      <c r="NRP2" s="103"/>
      <c r="NRQ2" s="104"/>
      <c r="NRR2" s="103"/>
      <c r="NRS2" s="104"/>
      <c r="NRT2" s="103"/>
      <c r="NRU2" s="104"/>
      <c r="NRV2" s="103"/>
      <c r="NRW2" s="104"/>
      <c r="NRX2" s="103"/>
      <c r="NRY2" s="104"/>
      <c r="NRZ2" s="103"/>
      <c r="NSA2" s="104"/>
      <c r="NSB2" s="103"/>
      <c r="NSC2" s="104"/>
      <c r="NSD2" s="103"/>
      <c r="NSE2" s="104"/>
      <c r="NSF2" s="103"/>
      <c r="NSG2" s="104"/>
      <c r="NSH2" s="103"/>
      <c r="NSI2" s="104"/>
      <c r="NSJ2" s="103"/>
      <c r="NSK2" s="104"/>
      <c r="NSL2" s="103"/>
      <c r="NSM2" s="104"/>
      <c r="NSN2" s="103"/>
      <c r="NSO2" s="104"/>
      <c r="NSP2" s="103"/>
      <c r="NSQ2" s="104"/>
      <c r="NSR2" s="103"/>
      <c r="NSS2" s="104"/>
      <c r="NST2" s="103"/>
      <c r="NSU2" s="104"/>
      <c r="NSV2" s="103"/>
      <c r="NSW2" s="104"/>
      <c r="NSX2" s="103"/>
      <c r="NSY2" s="104"/>
      <c r="NSZ2" s="103"/>
      <c r="NTA2" s="104"/>
      <c r="NTB2" s="103"/>
      <c r="NTC2" s="104"/>
      <c r="NTD2" s="103"/>
      <c r="NTE2" s="104"/>
      <c r="NTF2" s="103"/>
      <c r="NTG2" s="104"/>
      <c r="NTH2" s="103"/>
      <c r="NTI2" s="104"/>
      <c r="NTJ2" s="103"/>
      <c r="NTK2" s="104"/>
      <c r="NTL2" s="103"/>
      <c r="NTM2" s="104"/>
      <c r="NTN2" s="103"/>
      <c r="NTO2" s="104"/>
      <c r="NTP2" s="103"/>
      <c r="NTQ2" s="104"/>
      <c r="NTR2" s="103"/>
      <c r="NTS2" s="104"/>
      <c r="NTT2" s="103"/>
      <c r="NTU2" s="104"/>
      <c r="NTV2" s="103"/>
      <c r="NTW2" s="104"/>
      <c r="NTX2" s="103"/>
      <c r="NTY2" s="104"/>
      <c r="NTZ2" s="103"/>
      <c r="NUA2" s="104"/>
      <c r="NUB2" s="103"/>
      <c r="NUC2" s="104"/>
      <c r="NUD2" s="103"/>
      <c r="NUE2" s="104"/>
      <c r="NUF2" s="103"/>
      <c r="NUG2" s="104"/>
      <c r="NUH2" s="103"/>
      <c r="NUI2" s="104"/>
      <c r="NUJ2" s="103"/>
      <c r="NUK2" s="104"/>
      <c r="NUL2" s="103"/>
      <c r="NUM2" s="104"/>
      <c r="NUN2" s="103"/>
      <c r="NUO2" s="104"/>
      <c r="NUP2" s="103"/>
      <c r="NUQ2" s="104"/>
      <c r="NUR2" s="103"/>
      <c r="NUS2" s="104"/>
      <c r="NUT2" s="103"/>
      <c r="NUU2" s="104"/>
      <c r="NUV2" s="103"/>
      <c r="NUW2" s="104"/>
      <c r="NUX2" s="103"/>
      <c r="NUY2" s="104"/>
      <c r="NUZ2" s="103"/>
      <c r="NVA2" s="104"/>
      <c r="NVB2" s="103"/>
      <c r="NVC2" s="104"/>
      <c r="NVD2" s="103"/>
      <c r="NVE2" s="104"/>
      <c r="NVF2" s="103"/>
      <c r="NVG2" s="104"/>
      <c r="NVH2" s="103"/>
      <c r="NVI2" s="104"/>
      <c r="NVJ2" s="103"/>
      <c r="NVK2" s="104"/>
      <c r="NVL2" s="103"/>
      <c r="NVM2" s="104"/>
      <c r="NVN2" s="103"/>
      <c r="NVO2" s="104"/>
      <c r="NVP2" s="103"/>
      <c r="NVQ2" s="104"/>
      <c r="NVR2" s="103"/>
      <c r="NVS2" s="104"/>
      <c r="NVT2" s="103"/>
      <c r="NVU2" s="104"/>
      <c r="NVV2" s="103"/>
      <c r="NVW2" s="104"/>
      <c r="NVX2" s="103"/>
      <c r="NVY2" s="104"/>
      <c r="NVZ2" s="103"/>
      <c r="NWA2" s="104"/>
      <c r="NWB2" s="103"/>
      <c r="NWC2" s="104"/>
      <c r="NWD2" s="103"/>
      <c r="NWE2" s="104"/>
      <c r="NWF2" s="103"/>
      <c r="NWG2" s="104"/>
      <c r="NWH2" s="103"/>
      <c r="NWI2" s="104"/>
      <c r="NWJ2" s="103"/>
      <c r="NWK2" s="104"/>
      <c r="NWL2" s="103"/>
      <c r="NWM2" s="104"/>
      <c r="NWN2" s="103"/>
      <c r="NWO2" s="104"/>
      <c r="NWP2" s="103"/>
      <c r="NWQ2" s="104"/>
      <c r="NWR2" s="103"/>
      <c r="NWS2" s="104"/>
      <c r="NWT2" s="103"/>
      <c r="NWU2" s="104"/>
      <c r="NWV2" s="103"/>
      <c r="NWW2" s="104"/>
      <c r="NWX2" s="103"/>
      <c r="NWY2" s="104"/>
      <c r="NWZ2" s="103"/>
      <c r="NXA2" s="104"/>
      <c r="NXB2" s="103"/>
      <c r="NXC2" s="104"/>
      <c r="NXD2" s="103"/>
      <c r="NXE2" s="104"/>
      <c r="NXF2" s="103"/>
      <c r="NXG2" s="104"/>
      <c r="NXH2" s="103"/>
      <c r="NXI2" s="104"/>
      <c r="NXJ2" s="103"/>
      <c r="NXK2" s="104"/>
      <c r="NXL2" s="103"/>
      <c r="NXM2" s="104"/>
      <c r="NXN2" s="103"/>
      <c r="NXO2" s="104"/>
      <c r="NXP2" s="103"/>
      <c r="NXQ2" s="104"/>
      <c r="NXR2" s="103"/>
      <c r="NXS2" s="104"/>
      <c r="NXT2" s="103"/>
      <c r="NXU2" s="104"/>
      <c r="NXV2" s="103"/>
      <c r="NXW2" s="104"/>
      <c r="NXX2" s="103"/>
      <c r="NXY2" s="104"/>
      <c r="NXZ2" s="103"/>
      <c r="NYA2" s="104"/>
      <c r="NYB2" s="103"/>
      <c r="NYC2" s="104"/>
      <c r="NYD2" s="103"/>
      <c r="NYE2" s="104"/>
      <c r="NYF2" s="103"/>
      <c r="NYG2" s="104"/>
      <c r="NYH2" s="103"/>
      <c r="NYI2" s="104"/>
      <c r="NYJ2" s="103"/>
      <c r="NYK2" s="104"/>
      <c r="NYL2" s="103"/>
      <c r="NYM2" s="104"/>
      <c r="NYN2" s="103"/>
      <c r="NYO2" s="104"/>
      <c r="NYP2" s="103"/>
      <c r="NYQ2" s="104"/>
      <c r="NYR2" s="103"/>
      <c r="NYS2" s="104"/>
      <c r="NYT2" s="103"/>
      <c r="NYU2" s="104"/>
      <c r="NYV2" s="103"/>
      <c r="NYW2" s="104"/>
      <c r="NYX2" s="103"/>
      <c r="NYY2" s="104"/>
      <c r="NYZ2" s="103"/>
      <c r="NZA2" s="104"/>
      <c r="NZB2" s="103"/>
      <c r="NZC2" s="104"/>
      <c r="NZD2" s="103"/>
      <c r="NZE2" s="104"/>
      <c r="NZF2" s="103"/>
      <c r="NZG2" s="104"/>
      <c r="NZH2" s="103"/>
      <c r="NZI2" s="104"/>
      <c r="NZJ2" s="103"/>
      <c r="NZK2" s="104"/>
      <c r="NZL2" s="103"/>
      <c r="NZM2" s="104"/>
      <c r="NZN2" s="103"/>
      <c r="NZO2" s="104"/>
      <c r="NZP2" s="103"/>
      <c r="NZQ2" s="104"/>
      <c r="NZR2" s="103"/>
      <c r="NZS2" s="104"/>
      <c r="NZT2" s="103"/>
      <c r="NZU2" s="104"/>
      <c r="NZV2" s="103"/>
      <c r="NZW2" s="104"/>
      <c r="NZX2" s="103"/>
      <c r="NZY2" s="104"/>
      <c r="NZZ2" s="103"/>
      <c r="OAA2" s="104"/>
      <c r="OAB2" s="103"/>
      <c r="OAC2" s="104"/>
      <c r="OAD2" s="103"/>
      <c r="OAE2" s="104"/>
      <c r="OAF2" s="103"/>
      <c r="OAG2" s="104"/>
      <c r="OAH2" s="103"/>
      <c r="OAI2" s="104"/>
      <c r="OAJ2" s="103"/>
      <c r="OAK2" s="104"/>
      <c r="OAL2" s="103"/>
      <c r="OAM2" s="104"/>
      <c r="OAN2" s="103"/>
      <c r="OAO2" s="104"/>
      <c r="OAP2" s="103"/>
      <c r="OAQ2" s="104"/>
      <c r="OAR2" s="103"/>
      <c r="OAS2" s="104"/>
      <c r="OAT2" s="103"/>
      <c r="OAU2" s="104"/>
      <c r="OAV2" s="103"/>
      <c r="OAW2" s="104"/>
      <c r="OAX2" s="103"/>
      <c r="OAY2" s="104"/>
      <c r="OAZ2" s="103"/>
      <c r="OBA2" s="104"/>
      <c r="OBB2" s="103"/>
      <c r="OBC2" s="104"/>
      <c r="OBD2" s="103"/>
      <c r="OBE2" s="104"/>
      <c r="OBF2" s="103"/>
      <c r="OBG2" s="104"/>
      <c r="OBH2" s="103"/>
      <c r="OBI2" s="104"/>
      <c r="OBJ2" s="103"/>
      <c r="OBK2" s="104"/>
      <c r="OBL2" s="103"/>
      <c r="OBM2" s="104"/>
      <c r="OBN2" s="103"/>
      <c r="OBO2" s="104"/>
      <c r="OBP2" s="103"/>
      <c r="OBQ2" s="104"/>
      <c r="OBR2" s="103"/>
      <c r="OBS2" s="104"/>
      <c r="OBT2" s="103"/>
      <c r="OBU2" s="104"/>
      <c r="OBV2" s="103"/>
      <c r="OBW2" s="104"/>
      <c r="OBX2" s="103"/>
      <c r="OBY2" s="104"/>
      <c r="OBZ2" s="103"/>
      <c r="OCA2" s="104"/>
      <c r="OCB2" s="103"/>
      <c r="OCC2" s="104"/>
      <c r="OCD2" s="103"/>
      <c r="OCE2" s="104"/>
      <c r="OCF2" s="103"/>
      <c r="OCG2" s="104"/>
      <c r="OCH2" s="103"/>
      <c r="OCI2" s="104"/>
      <c r="OCJ2" s="103"/>
      <c r="OCK2" s="104"/>
      <c r="OCL2" s="103"/>
      <c r="OCM2" s="104"/>
      <c r="OCN2" s="103"/>
      <c r="OCO2" s="104"/>
      <c r="OCP2" s="103"/>
      <c r="OCQ2" s="104"/>
      <c r="OCR2" s="103"/>
      <c r="OCS2" s="104"/>
      <c r="OCT2" s="103"/>
      <c r="OCU2" s="104"/>
      <c r="OCV2" s="103"/>
      <c r="OCW2" s="104"/>
      <c r="OCX2" s="103"/>
      <c r="OCY2" s="104"/>
      <c r="OCZ2" s="103"/>
      <c r="ODA2" s="104"/>
      <c r="ODB2" s="103"/>
      <c r="ODC2" s="104"/>
      <c r="ODD2" s="103"/>
      <c r="ODE2" s="104"/>
      <c r="ODF2" s="103"/>
      <c r="ODG2" s="104"/>
      <c r="ODH2" s="103"/>
      <c r="ODI2" s="104"/>
      <c r="ODJ2" s="103"/>
      <c r="ODK2" s="104"/>
      <c r="ODL2" s="103"/>
      <c r="ODM2" s="104"/>
      <c r="ODN2" s="103"/>
      <c r="ODO2" s="104"/>
      <c r="ODP2" s="103"/>
      <c r="ODQ2" s="104"/>
      <c r="ODR2" s="103"/>
      <c r="ODS2" s="104"/>
      <c r="ODT2" s="103"/>
      <c r="ODU2" s="104"/>
      <c r="ODV2" s="103"/>
      <c r="ODW2" s="104"/>
      <c r="ODX2" s="103"/>
      <c r="ODY2" s="104"/>
      <c r="ODZ2" s="103"/>
      <c r="OEA2" s="104"/>
      <c r="OEB2" s="103"/>
      <c r="OEC2" s="104"/>
      <c r="OED2" s="103"/>
      <c r="OEE2" s="104"/>
      <c r="OEF2" s="103"/>
      <c r="OEG2" s="104"/>
      <c r="OEH2" s="103"/>
      <c r="OEI2" s="104"/>
      <c r="OEJ2" s="103"/>
      <c r="OEK2" s="104"/>
      <c r="OEL2" s="103"/>
      <c r="OEM2" s="104"/>
      <c r="OEN2" s="103"/>
      <c r="OEO2" s="104"/>
      <c r="OEP2" s="103"/>
      <c r="OEQ2" s="104"/>
      <c r="OER2" s="103"/>
      <c r="OES2" s="104"/>
      <c r="OET2" s="103"/>
      <c r="OEU2" s="104"/>
      <c r="OEV2" s="103"/>
      <c r="OEW2" s="104"/>
      <c r="OEX2" s="103"/>
      <c r="OEY2" s="104"/>
      <c r="OEZ2" s="103"/>
      <c r="OFA2" s="104"/>
      <c r="OFB2" s="103"/>
      <c r="OFC2" s="104"/>
      <c r="OFD2" s="103"/>
      <c r="OFE2" s="104"/>
      <c r="OFF2" s="103"/>
      <c r="OFG2" s="104"/>
      <c r="OFH2" s="103"/>
      <c r="OFI2" s="104"/>
      <c r="OFJ2" s="103"/>
      <c r="OFK2" s="104"/>
      <c r="OFL2" s="103"/>
      <c r="OFM2" s="104"/>
      <c r="OFN2" s="103"/>
      <c r="OFO2" s="104"/>
      <c r="OFP2" s="103"/>
      <c r="OFQ2" s="104"/>
      <c r="OFR2" s="103"/>
      <c r="OFS2" s="104"/>
      <c r="OFT2" s="103"/>
      <c r="OFU2" s="104"/>
      <c r="OFV2" s="103"/>
      <c r="OFW2" s="104"/>
      <c r="OFX2" s="103"/>
      <c r="OFY2" s="104"/>
      <c r="OFZ2" s="103"/>
      <c r="OGA2" s="104"/>
      <c r="OGB2" s="103"/>
      <c r="OGC2" s="104"/>
      <c r="OGD2" s="103"/>
      <c r="OGE2" s="104"/>
      <c r="OGF2" s="103"/>
      <c r="OGG2" s="104"/>
      <c r="OGH2" s="103"/>
      <c r="OGI2" s="104"/>
      <c r="OGJ2" s="103"/>
      <c r="OGK2" s="104"/>
      <c r="OGL2" s="103"/>
      <c r="OGM2" s="104"/>
      <c r="OGN2" s="103"/>
      <c r="OGO2" s="104"/>
      <c r="OGP2" s="103"/>
      <c r="OGQ2" s="104"/>
      <c r="OGR2" s="103"/>
      <c r="OGS2" s="104"/>
      <c r="OGT2" s="103"/>
      <c r="OGU2" s="104"/>
      <c r="OGV2" s="103"/>
      <c r="OGW2" s="104"/>
      <c r="OGX2" s="103"/>
      <c r="OGY2" s="104"/>
      <c r="OGZ2" s="103"/>
      <c r="OHA2" s="104"/>
      <c r="OHB2" s="103"/>
      <c r="OHC2" s="104"/>
      <c r="OHD2" s="103"/>
      <c r="OHE2" s="104"/>
      <c r="OHF2" s="103"/>
      <c r="OHG2" s="104"/>
      <c r="OHH2" s="103"/>
      <c r="OHI2" s="104"/>
      <c r="OHJ2" s="103"/>
      <c r="OHK2" s="104"/>
      <c r="OHL2" s="103"/>
      <c r="OHM2" s="104"/>
      <c r="OHN2" s="103"/>
      <c r="OHO2" s="104"/>
      <c r="OHP2" s="103"/>
      <c r="OHQ2" s="104"/>
      <c r="OHR2" s="103"/>
      <c r="OHS2" s="104"/>
      <c r="OHT2" s="103"/>
      <c r="OHU2" s="104"/>
      <c r="OHV2" s="103"/>
      <c r="OHW2" s="104"/>
      <c r="OHX2" s="103"/>
      <c r="OHY2" s="104"/>
      <c r="OHZ2" s="103"/>
      <c r="OIA2" s="104"/>
      <c r="OIB2" s="103"/>
      <c r="OIC2" s="104"/>
      <c r="OID2" s="103"/>
      <c r="OIE2" s="104"/>
      <c r="OIF2" s="103"/>
      <c r="OIG2" s="104"/>
      <c r="OIH2" s="103"/>
      <c r="OII2" s="104"/>
      <c r="OIJ2" s="103"/>
      <c r="OIK2" s="104"/>
      <c r="OIL2" s="103"/>
      <c r="OIM2" s="104"/>
      <c r="OIN2" s="103"/>
      <c r="OIO2" s="104"/>
      <c r="OIP2" s="103"/>
      <c r="OIQ2" s="104"/>
      <c r="OIR2" s="103"/>
      <c r="OIS2" s="104"/>
      <c r="OIT2" s="103"/>
      <c r="OIU2" s="104"/>
      <c r="OIV2" s="103"/>
      <c r="OIW2" s="104"/>
      <c r="OIX2" s="103"/>
      <c r="OIY2" s="104"/>
      <c r="OIZ2" s="103"/>
      <c r="OJA2" s="104"/>
      <c r="OJB2" s="103"/>
      <c r="OJC2" s="104"/>
      <c r="OJD2" s="103"/>
      <c r="OJE2" s="104"/>
      <c r="OJF2" s="103"/>
      <c r="OJG2" s="104"/>
      <c r="OJH2" s="103"/>
      <c r="OJI2" s="104"/>
      <c r="OJJ2" s="103"/>
      <c r="OJK2" s="104"/>
      <c r="OJL2" s="103"/>
      <c r="OJM2" s="104"/>
      <c r="OJN2" s="103"/>
      <c r="OJO2" s="104"/>
      <c r="OJP2" s="103"/>
      <c r="OJQ2" s="104"/>
      <c r="OJR2" s="103"/>
      <c r="OJS2" s="104"/>
      <c r="OJT2" s="103"/>
      <c r="OJU2" s="104"/>
      <c r="OJV2" s="103"/>
      <c r="OJW2" s="104"/>
      <c r="OJX2" s="103"/>
      <c r="OJY2" s="104"/>
      <c r="OJZ2" s="103"/>
      <c r="OKA2" s="104"/>
      <c r="OKB2" s="103"/>
      <c r="OKC2" s="104"/>
      <c r="OKD2" s="103"/>
      <c r="OKE2" s="104"/>
      <c r="OKF2" s="103"/>
      <c r="OKG2" s="104"/>
      <c r="OKH2" s="103"/>
      <c r="OKI2" s="104"/>
      <c r="OKJ2" s="103"/>
      <c r="OKK2" s="104"/>
      <c r="OKL2" s="103"/>
      <c r="OKM2" s="104"/>
      <c r="OKN2" s="103"/>
      <c r="OKO2" s="104"/>
      <c r="OKP2" s="103"/>
      <c r="OKQ2" s="104"/>
      <c r="OKR2" s="103"/>
      <c r="OKS2" s="104"/>
      <c r="OKT2" s="103"/>
      <c r="OKU2" s="104"/>
      <c r="OKV2" s="103"/>
      <c r="OKW2" s="104"/>
      <c r="OKX2" s="103"/>
      <c r="OKY2" s="104"/>
      <c r="OKZ2" s="103"/>
      <c r="OLA2" s="104"/>
      <c r="OLB2" s="103"/>
      <c r="OLC2" s="104"/>
      <c r="OLD2" s="103"/>
      <c r="OLE2" s="104"/>
      <c r="OLF2" s="103"/>
      <c r="OLG2" s="104"/>
      <c r="OLH2" s="103"/>
      <c r="OLI2" s="104"/>
      <c r="OLJ2" s="103"/>
      <c r="OLK2" s="104"/>
      <c r="OLL2" s="103"/>
      <c r="OLM2" s="104"/>
      <c r="OLN2" s="103"/>
      <c r="OLO2" s="104"/>
      <c r="OLP2" s="103"/>
      <c r="OLQ2" s="104"/>
      <c r="OLR2" s="103"/>
      <c r="OLS2" s="104"/>
      <c r="OLT2" s="103"/>
      <c r="OLU2" s="104"/>
      <c r="OLV2" s="103"/>
      <c r="OLW2" s="104"/>
      <c r="OLX2" s="103"/>
      <c r="OLY2" s="104"/>
      <c r="OLZ2" s="103"/>
      <c r="OMA2" s="104"/>
      <c r="OMB2" s="103"/>
      <c r="OMC2" s="104"/>
      <c r="OMD2" s="103"/>
      <c r="OME2" s="104"/>
      <c r="OMF2" s="103"/>
      <c r="OMG2" s="104"/>
      <c r="OMH2" s="103"/>
      <c r="OMI2" s="104"/>
      <c r="OMJ2" s="103"/>
      <c r="OMK2" s="104"/>
      <c r="OML2" s="103"/>
      <c r="OMM2" s="104"/>
      <c r="OMN2" s="103"/>
      <c r="OMO2" s="104"/>
      <c r="OMP2" s="103"/>
      <c r="OMQ2" s="104"/>
      <c r="OMR2" s="103"/>
      <c r="OMS2" s="104"/>
      <c r="OMT2" s="103"/>
      <c r="OMU2" s="104"/>
      <c r="OMV2" s="103"/>
      <c r="OMW2" s="104"/>
      <c r="OMX2" s="103"/>
      <c r="OMY2" s="104"/>
      <c r="OMZ2" s="103"/>
      <c r="ONA2" s="104"/>
      <c r="ONB2" s="103"/>
      <c r="ONC2" s="104"/>
      <c r="OND2" s="103"/>
      <c r="ONE2" s="104"/>
      <c r="ONF2" s="103"/>
      <c r="ONG2" s="104"/>
      <c r="ONH2" s="103"/>
      <c r="ONI2" s="104"/>
      <c r="ONJ2" s="103"/>
      <c r="ONK2" s="104"/>
      <c r="ONL2" s="103"/>
      <c r="ONM2" s="104"/>
      <c r="ONN2" s="103"/>
      <c r="ONO2" s="104"/>
      <c r="ONP2" s="103"/>
      <c r="ONQ2" s="104"/>
      <c r="ONR2" s="103"/>
      <c r="ONS2" s="104"/>
      <c r="ONT2" s="103"/>
      <c r="ONU2" s="104"/>
      <c r="ONV2" s="103"/>
      <c r="ONW2" s="104"/>
      <c r="ONX2" s="103"/>
      <c r="ONY2" s="104"/>
      <c r="ONZ2" s="103"/>
      <c r="OOA2" s="104"/>
      <c r="OOB2" s="103"/>
      <c r="OOC2" s="104"/>
      <c r="OOD2" s="103"/>
      <c r="OOE2" s="104"/>
      <c r="OOF2" s="103"/>
      <c r="OOG2" s="104"/>
      <c r="OOH2" s="103"/>
      <c r="OOI2" s="104"/>
      <c r="OOJ2" s="103"/>
      <c r="OOK2" s="104"/>
      <c r="OOL2" s="103"/>
      <c r="OOM2" s="104"/>
      <c r="OON2" s="103"/>
      <c r="OOO2" s="104"/>
      <c r="OOP2" s="103"/>
      <c r="OOQ2" s="104"/>
      <c r="OOR2" s="103"/>
      <c r="OOS2" s="104"/>
      <c r="OOT2" s="103"/>
      <c r="OOU2" s="104"/>
      <c r="OOV2" s="103"/>
      <c r="OOW2" s="104"/>
      <c r="OOX2" s="103"/>
      <c r="OOY2" s="104"/>
      <c r="OOZ2" s="103"/>
      <c r="OPA2" s="104"/>
      <c r="OPB2" s="103"/>
      <c r="OPC2" s="104"/>
      <c r="OPD2" s="103"/>
      <c r="OPE2" s="104"/>
      <c r="OPF2" s="103"/>
      <c r="OPG2" s="104"/>
      <c r="OPH2" s="103"/>
      <c r="OPI2" s="104"/>
      <c r="OPJ2" s="103"/>
      <c r="OPK2" s="104"/>
      <c r="OPL2" s="103"/>
      <c r="OPM2" s="104"/>
      <c r="OPN2" s="103"/>
      <c r="OPO2" s="104"/>
      <c r="OPP2" s="103"/>
      <c r="OPQ2" s="104"/>
      <c r="OPR2" s="103"/>
      <c r="OPS2" s="104"/>
      <c r="OPT2" s="103"/>
      <c r="OPU2" s="104"/>
      <c r="OPV2" s="103"/>
      <c r="OPW2" s="104"/>
      <c r="OPX2" s="103"/>
      <c r="OPY2" s="104"/>
      <c r="OPZ2" s="103"/>
      <c r="OQA2" s="104"/>
      <c r="OQB2" s="103"/>
      <c r="OQC2" s="104"/>
      <c r="OQD2" s="103"/>
      <c r="OQE2" s="104"/>
      <c r="OQF2" s="103"/>
      <c r="OQG2" s="104"/>
      <c r="OQH2" s="103"/>
      <c r="OQI2" s="104"/>
      <c r="OQJ2" s="103"/>
      <c r="OQK2" s="104"/>
      <c r="OQL2" s="103"/>
      <c r="OQM2" s="104"/>
      <c r="OQN2" s="103"/>
      <c r="OQO2" s="104"/>
      <c r="OQP2" s="103"/>
      <c r="OQQ2" s="104"/>
      <c r="OQR2" s="103"/>
      <c r="OQS2" s="104"/>
      <c r="OQT2" s="103"/>
      <c r="OQU2" s="104"/>
      <c r="OQV2" s="103"/>
      <c r="OQW2" s="104"/>
      <c r="OQX2" s="103"/>
      <c r="OQY2" s="104"/>
      <c r="OQZ2" s="103"/>
      <c r="ORA2" s="104"/>
      <c r="ORB2" s="103"/>
      <c r="ORC2" s="104"/>
      <c r="ORD2" s="103"/>
      <c r="ORE2" s="104"/>
      <c r="ORF2" s="103"/>
      <c r="ORG2" s="104"/>
      <c r="ORH2" s="103"/>
      <c r="ORI2" s="104"/>
      <c r="ORJ2" s="103"/>
      <c r="ORK2" s="104"/>
      <c r="ORL2" s="103"/>
      <c r="ORM2" s="104"/>
      <c r="ORN2" s="103"/>
      <c r="ORO2" s="104"/>
      <c r="ORP2" s="103"/>
      <c r="ORQ2" s="104"/>
      <c r="ORR2" s="103"/>
      <c r="ORS2" s="104"/>
      <c r="ORT2" s="103"/>
      <c r="ORU2" s="104"/>
      <c r="ORV2" s="103"/>
      <c r="ORW2" s="104"/>
      <c r="ORX2" s="103"/>
      <c r="ORY2" s="104"/>
      <c r="ORZ2" s="103"/>
      <c r="OSA2" s="104"/>
      <c r="OSB2" s="103"/>
      <c r="OSC2" s="104"/>
      <c r="OSD2" s="103"/>
      <c r="OSE2" s="104"/>
      <c r="OSF2" s="103"/>
      <c r="OSG2" s="104"/>
      <c r="OSH2" s="103"/>
      <c r="OSI2" s="104"/>
      <c r="OSJ2" s="103"/>
      <c r="OSK2" s="104"/>
      <c r="OSL2" s="103"/>
      <c r="OSM2" s="104"/>
      <c r="OSN2" s="103"/>
      <c r="OSO2" s="104"/>
      <c r="OSP2" s="103"/>
      <c r="OSQ2" s="104"/>
      <c r="OSR2" s="103"/>
      <c r="OSS2" s="104"/>
      <c r="OST2" s="103"/>
      <c r="OSU2" s="104"/>
      <c r="OSV2" s="103"/>
      <c r="OSW2" s="104"/>
      <c r="OSX2" s="103"/>
      <c r="OSY2" s="104"/>
      <c r="OSZ2" s="103"/>
      <c r="OTA2" s="104"/>
      <c r="OTB2" s="103"/>
      <c r="OTC2" s="104"/>
      <c r="OTD2" s="103"/>
      <c r="OTE2" s="104"/>
      <c r="OTF2" s="103"/>
      <c r="OTG2" s="104"/>
      <c r="OTH2" s="103"/>
      <c r="OTI2" s="104"/>
      <c r="OTJ2" s="103"/>
      <c r="OTK2" s="104"/>
      <c r="OTL2" s="103"/>
      <c r="OTM2" s="104"/>
      <c r="OTN2" s="103"/>
      <c r="OTO2" s="104"/>
      <c r="OTP2" s="103"/>
      <c r="OTQ2" s="104"/>
      <c r="OTR2" s="103"/>
      <c r="OTS2" s="104"/>
      <c r="OTT2" s="103"/>
      <c r="OTU2" s="104"/>
      <c r="OTV2" s="103"/>
      <c r="OTW2" s="104"/>
      <c r="OTX2" s="103"/>
      <c r="OTY2" s="104"/>
      <c r="OTZ2" s="103"/>
      <c r="OUA2" s="104"/>
      <c r="OUB2" s="103"/>
      <c r="OUC2" s="104"/>
      <c r="OUD2" s="103"/>
      <c r="OUE2" s="104"/>
      <c r="OUF2" s="103"/>
      <c r="OUG2" s="104"/>
      <c r="OUH2" s="103"/>
      <c r="OUI2" s="104"/>
      <c r="OUJ2" s="103"/>
      <c r="OUK2" s="104"/>
      <c r="OUL2" s="103"/>
      <c r="OUM2" s="104"/>
      <c r="OUN2" s="103"/>
      <c r="OUO2" s="104"/>
      <c r="OUP2" s="103"/>
      <c r="OUQ2" s="104"/>
      <c r="OUR2" s="103"/>
      <c r="OUS2" s="104"/>
      <c r="OUT2" s="103"/>
      <c r="OUU2" s="104"/>
      <c r="OUV2" s="103"/>
      <c r="OUW2" s="104"/>
      <c r="OUX2" s="103"/>
      <c r="OUY2" s="104"/>
      <c r="OUZ2" s="103"/>
      <c r="OVA2" s="104"/>
      <c r="OVB2" s="103"/>
      <c r="OVC2" s="104"/>
      <c r="OVD2" s="103"/>
      <c r="OVE2" s="104"/>
      <c r="OVF2" s="103"/>
      <c r="OVG2" s="104"/>
      <c r="OVH2" s="103"/>
      <c r="OVI2" s="104"/>
      <c r="OVJ2" s="103"/>
      <c r="OVK2" s="104"/>
      <c r="OVL2" s="103"/>
      <c r="OVM2" s="104"/>
      <c r="OVN2" s="103"/>
      <c r="OVO2" s="104"/>
      <c r="OVP2" s="103"/>
      <c r="OVQ2" s="104"/>
      <c r="OVR2" s="103"/>
      <c r="OVS2" s="104"/>
      <c r="OVT2" s="103"/>
      <c r="OVU2" s="104"/>
      <c r="OVV2" s="103"/>
      <c r="OVW2" s="104"/>
      <c r="OVX2" s="103"/>
      <c r="OVY2" s="104"/>
      <c r="OVZ2" s="103"/>
      <c r="OWA2" s="104"/>
      <c r="OWB2" s="103"/>
      <c r="OWC2" s="104"/>
      <c r="OWD2" s="103"/>
      <c r="OWE2" s="104"/>
      <c r="OWF2" s="103"/>
      <c r="OWG2" s="104"/>
      <c r="OWH2" s="103"/>
      <c r="OWI2" s="104"/>
      <c r="OWJ2" s="103"/>
      <c r="OWK2" s="104"/>
      <c r="OWL2" s="103"/>
      <c r="OWM2" s="104"/>
      <c r="OWN2" s="103"/>
      <c r="OWO2" s="104"/>
      <c r="OWP2" s="103"/>
      <c r="OWQ2" s="104"/>
      <c r="OWR2" s="103"/>
      <c r="OWS2" s="104"/>
      <c r="OWT2" s="103"/>
      <c r="OWU2" s="104"/>
      <c r="OWV2" s="103"/>
      <c r="OWW2" s="104"/>
      <c r="OWX2" s="103"/>
      <c r="OWY2" s="104"/>
      <c r="OWZ2" s="103"/>
      <c r="OXA2" s="104"/>
      <c r="OXB2" s="103"/>
      <c r="OXC2" s="104"/>
      <c r="OXD2" s="103"/>
      <c r="OXE2" s="104"/>
      <c r="OXF2" s="103"/>
      <c r="OXG2" s="104"/>
      <c r="OXH2" s="103"/>
      <c r="OXI2" s="104"/>
      <c r="OXJ2" s="103"/>
      <c r="OXK2" s="104"/>
      <c r="OXL2" s="103"/>
      <c r="OXM2" s="104"/>
      <c r="OXN2" s="103"/>
      <c r="OXO2" s="104"/>
      <c r="OXP2" s="103"/>
      <c r="OXQ2" s="104"/>
      <c r="OXR2" s="103"/>
      <c r="OXS2" s="104"/>
      <c r="OXT2" s="103"/>
      <c r="OXU2" s="104"/>
      <c r="OXV2" s="103"/>
      <c r="OXW2" s="104"/>
      <c r="OXX2" s="103"/>
      <c r="OXY2" s="104"/>
      <c r="OXZ2" s="103"/>
      <c r="OYA2" s="104"/>
      <c r="OYB2" s="103"/>
      <c r="OYC2" s="104"/>
      <c r="OYD2" s="103"/>
      <c r="OYE2" s="104"/>
      <c r="OYF2" s="103"/>
      <c r="OYG2" s="104"/>
      <c r="OYH2" s="103"/>
      <c r="OYI2" s="104"/>
      <c r="OYJ2" s="103"/>
      <c r="OYK2" s="104"/>
      <c r="OYL2" s="103"/>
      <c r="OYM2" s="104"/>
      <c r="OYN2" s="103"/>
      <c r="OYO2" s="104"/>
      <c r="OYP2" s="103"/>
      <c r="OYQ2" s="104"/>
      <c r="OYR2" s="103"/>
      <c r="OYS2" s="104"/>
      <c r="OYT2" s="103"/>
      <c r="OYU2" s="104"/>
      <c r="OYV2" s="103"/>
      <c r="OYW2" s="104"/>
      <c r="OYX2" s="103"/>
      <c r="OYY2" s="104"/>
      <c r="OYZ2" s="103"/>
      <c r="OZA2" s="104"/>
      <c r="OZB2" s="103"/>
      <c r="OZC2" s="104"/>
      <c r="OZD2" s="103"/>
      <c r="OZE2" s="104"/>
      <c r="OZF2" s="103"/>
      <c r="OZG2" s="104"/>
      <c r="OZH2" s="103"/>
      <c r="OZI2" s="104"/>
      <c r="OZJ2" s="103"/>
      <c r="OZK2" s="104"/>
      <c r="OZL2" s="103"/>
      <c r="OZM2" s="104"/>
      <c r="OZN2" s="103"/>
      <c r="OZO2" s="104"/>
      <c r="OZP2" s="103"/>
      <c r="OZQ2" s="104"/>
      <c r="OZR2" s="103"/>
      <c r="OZS2" s="104"/>
      <c r="OZT2" s="103"/>
      <c r="OZU2" s="104"/>
      <c r="OZV2" s="103"/>
      <c r="OZW2" s="104"/>
      <c r="OZX2" s="103"/>
      <c r="OZY2" s="104"/>
      <c r="OZZ2" s="103"/>
      <c r="PAA2" s="104"/>
      <c r="PAB2" s="103"/>
      <c r="PAC2" s="104"/>
      <c r="PAD2" s="103"/>
      <c r="PAE2" s="104"/>
      <c r="PAF2" s="103"/>
      <c r="PAG2" s="104"/>
      <c r="PAH2" s="103"/>
      <c r="PAI2" s="104"/>
      <c r="PAJ2" s="103"/>
      <c r="PAK2" s="104"/>
      <c r="PAL2" s="103"/>
      <c r="PAM2" s="104"/>
      <c r="PAN2" s="103"/>
      <c r="PAO2" s="104"/>
      <c r="PAP2" s="103"/>
      <c r="PAQ2" s="104"/>
      <c r="PAR2" s="103"/>
      <c r="PAS2" s="104"/>
      <c r="PAT2" s="103"/>
      <c r="PAU2" s="104"/>
      <c r="PAV2" s="103"/>
      <c r="PAW2" s="104"/>
      <c r="PAX2" s="103"/>
      <c r="PAY2" s="104"/>
      <c r="PAZ2" s="103"/>
      <c r="PBA2" s="104"/>
      <c r="PBB2" s="103"/>
      <c r="PBC2" s="104"/>
      <c r="PBD2" s="103"/>
      <c r="PBE2" s="104"/>
      <c r="PBF2" s="103"/>
      <c r="PBG2" s="104"/>
      <c r="PBH2" s="103"/>
      <c r="PBI2" s="104"/>
      <c r="PBJ2" s="103"/>
      <c r="PBK2" s="104"/>
      <c r="PBL2" s="103"/>
      <c r="PBM2" s="104"/>
      <c r="PBN2" s="103"/>
      <c r="PBO2" s="104"/>
      <c r="PBP2" s="103"/>
      <c r="PBQ2" s="104"/>
      <c r="PBR2" s="103"/>
      <c r="PBS2" s="104"/>
      <c r="PBT2" s="103"/>
      <c r="PBU2" s="104"/>
      <c r="PBV2" s="103"/>
      <c r="PBW2" s="104"/>
      <c r="PBX2" s="103"/>
      <c r="PBY2" s="104"/>
      <c r="PBZ2" s="103"/>
      <c r="PCA2" s="104"/>
      <c r="PCB2" s="103"/>
      <c r="PCC2" s="104"/>
      <c r="PCD2" s="103"/>
      <c r="PCE2" s="104"/>
      <c r="PCF2" s="103"/>
      <c r="PCG2" s="104"/>
      <c r="PCH2" s="103"/>
      <c r="PCI2" s="104"/>
      <c r="PCJ2" s="103"/>
      <c r="PCK2" s="104"/>
      <c r="PCL2" s="103"/>
      <c r="PCM2" s="104"/>
      <c r="PCN2" s="103"/>
      <c r="PCO2" s="104"/>
      <c r="PCP2" s="103"/>
      <c r="PCQ2" s="104"/>
      <c r="PCR2" s="103"/>
      <c r="PCS2" s="104"/>
      <c r="PCT2" s="103"/>
      <c r="PCU2" s="104"/>
      <c r="PCV2" s="103"/>
      <c r="PCW2" s="104"/>
      <c r="PCX2" s="103"/>
      <c r="PCY2" s="104"/>
      <c r="PCZ2" s="103"/>
      <c r="PDA2" s="104"/>
      <c r="PDB2" s="103"/>
      <c r="PDC2" s="104"/>
      <c r="PDD2" s="103"/>
      <c r="PDE2" s="104"/>
      <c r="PDF2" s="103"/>
      <c r="PDG2" s="104"/>
      <c r="PDH2" s="103"/>
      <c r="PDI2" s="104"/>
      <c r="PDJ2" s="103"/>
      <c r="PDK2" s="104"/>
      <c r="PDL2" s="103"/>
      <c r="PDM2" s="104"/>
      <c r="PDN2" s="103"/>
      <c r="PDO2" s="104"/>
      <c r="PDP2" s="103"/>
      <c r="PDQ2" s="104"/>
      <c r="PDR2" s="103"/>
      <c r="PDS2" s="104"/>
      <c r="PDT2" s="103"/>
      <c r="PDU2" s="104"/>
      <c r="PDV2" s="103"/>
      <c r="PDW2" s="104"/>
      <c r="PDX2" s="103"/>
      <c r="PDY2" s="104"/>
      <c r="PDZ2" s="103"/>
      <c r="PEA2" s="104"/>
      <c r="PEB2" s="103"/>
      <c r="PEC2" s="104"/>
      <c r="PED2" s="103"/>
      <c r="PEE2" s="104"/>
      <c r="PEF2" s="103"/>
      <c r="PEG2" s="104"/>
      <c r="PEH2" s="103"/>
      <c r="PEI2" s="104"/>
      <c r="PEJ2" s="103"/>
      <c r="PEK2" s="104"/>
      <c r="PEL2" s="103"/>
      <c r="PEM2" s="104"/>
      <c r="PEN2" s="103"/>
      <c r="PEO2" s="104"/>
      <c r="PEP2" s="103"/>
      <c r="PEQ2" s="104"/>
      <c r="PER2" s="103"/>
      <c r="PES2" s="104"/>
      <c r="PET2" s="103"/>
      <c r="PEU2" s="104"/>
      <c r="PEV2" s="103"/>
      <c r="PEW2" s="104"/>
      <c r="PEX2" s="103"/>
      <c r="PEY2" s="104"/>
      <c r="PEZ2" s="103"/>
      <c r="PFA2" s="104"/>
      <c r="PFB2" s="103"/>
      <c r="PFC2" s="104"/>
      <c r="PFD2" s="103"/>
      <c r="PFE2" s="104"/>
      <c r="PFF2" s="103"/>
      <c r="PFG2" s="104"/>
      <c r="PFH2" s="103"/>
      <c r="PFI2" s="104"/>
      <c r="PFJ2" s="103"/>
      <c r="PFK2" s="104"/>
      <c r="PFL2" s="103"/>
      <c r="PFM2" s="104"/>
      <c r="PFN2" s="103"/>
      <c r="PFO2" s="104"/>
      <c r="PFP2" s="103"/>
      <c r="PFQ2" s="104"/>
      <c r="PFR2" s="103"/>
      <c r="PFS2" s="104"/>
      <c r="PFT2" s="103"/>
      <c r="PFU2" s="104"/>
      <c r="PFV2" s="103"/>
      <c r="PFW2" s="104"/>
      <c r="PFX2" s="103"/>
      <c r="PFY2" s="104"/>
      <c r="PFZ2" s="103"/>
      <c r="PGA2" s="104"/>
      <c r="PGB2" s="103"/>
      <c r="PGC2" s="104"/>
      <c r="PGD2" s="103"/>
      <c r="PGE2" s="104"/>
      <c r="PGF2" s="103"/>
      <c r="PGG2" s="104"/>
      <c r="PGH2" s="103"/>
      <c r="PGI2" s="104"/>
      <c r="PGJ2" s="103"/>
      <c r="PGK2" s="104"/>
      <c r="PGL2" s="103"/>
      <c r="PGM2" s="104"/>
      <c r="PGN2" s="103"/>
      <c r="PGO2" s="104"/>
      <c r="PGP2" s="103"/>
      <c r="PGQ2" s="104"/>
      <c r="PGR2" s="103"/>
      <c r="PGS2" s="104"/>
      <c r="PGT2" s="103"/>
      <c r="PGU2" s="104"/>
      <c r="PGV2" s="103"/>
      <c r="PGW2" s="104"/>
      <c r="PGX2" s="103"/>
      <c r="PGY2" s="104"/>
      <c r="PGZ2" s="103"/>
      <c r="PHA2" s="104"/>
      <c r="PHB2" s="103"/>
      <c r="PHC2" s="104"/>
      <c r="PHD2" s="103"/>
      <c r="PHE2" s="104"/>
      <c r="PHF2" s="103"/>
      <c r="PHG2" s="104"/>
      <c r="PHH2" s="103"/>
      <c r="PHI2" s="104"/>
      <c r="PHJ2" s="103"/>
      <c r="PHK2" s="104"/>
      <c r="PHL2" s="103"/>
      <c r="PHM2" s="104"/>
      <c r="PHN2" s="103"/>
      <c r="PHO2" s="104"/>
      <c r="PHP2" s="103"/>
      <c r="PHQ2" s="104"/>
      <c r="PHR2" s="103"/>
      <c r="PHS2" s="104"/>
      <c r="PHT2" s="103"/>
      <c r="PHU2" s="104"/>
      <c r="PHV2" s="103"/>
      <c r="PHW2" s="104"/>
      <c r="PHX2" s="103"/>
      <c r="PHY2" s="104"/>
      <c r="PHZ2" s="103"/>
      <c r="PIA2" s="104"/>
      <c r="PIB2" s="103"/>
      <c r="PIC2" s="104"/>
      <c r="PID2" s="103"/>
      <c r="PIE2" s="104"/>
      <c r="PIF2" s="103"/>
      <c r="PIG2" s="104"/>
      <c r="PIH2" s="103"/>
      <c r="PII2" s="104"/>
      <c r="PIJ2" s="103"/>
      <c r="PIK2" s="104"/>
      <c r="PIL2" s="103"/>
      <c r="PIM2" s="104"/>
      <c r="PIN2" s="103"/>
      <c r="PIO2" s="104"/>
      <c r="PIP2" s="103"/>
      <c r="PIQ2" s="104"/>
      <c r="PIR2" s="103"/>
      <c r="PIS2" s="104"/>
      <c r="PIT2" s="103"/>
      <c r="PIU2" s="104"/>
      <c r="PIV2" s="103"/>
      <c r="PIW2" s="104"/>
      <c r="PIX2" s="103"/>
      <c r="PIY2" s="104"/>
      <c r="PIZ2" s="103"/>
      <c r="PJA2" s="104"/>
      <c r="PJB2" s="103"/>
      <c r="PJC2" s="104"/>
      <c r="PJD2" s="103"/>
      <c r="PJE2" s="104"/>
      <c r="PJF2" s="103"/>
      <c r="PJG2" s="104"/>
      <c r="PJH2" s="103"/>
      <c r="PJI2" s="104"/>
      <c r="PJJ2" s="103"/>
      <c r="PJK2" s="104"/>
      <c r="PJL2" s="103"/>
      <c r="PJM2" s="104"/>
      <c r="PJN2" s="103"/>
      <c r="PJO2" s="104"/>
      <c r="PJP2" s="103"/>
      <c r="PJQ2" s="104"/>
      <c r="PJR2" s="103"/>
      <c r="PJS2" s="104"/>
      <c r="PJT2" s="103"/>
      <c r="PJU2" s="104"/>
      <c r="PJV2" s="103"/>
      <c r="PJW2" s="104"/>
      <c r="PJX2" s="103"/>
      <c r="PJY2" s="104"/>
      <c r="PJZ2" s="103"/>
      <c r="PKA2" s="104"/>
      <c r="PKB2" s="103"/>
      <c r="PKC2" s="104"/>
      <c r="PKD2" s="103"/>
      <c r="PKE2" s="104"/>
      <c r="PKF2" s="103"/>
      <c r="PKG2" s="104"/>
      <c r="PKH2" s="103"/>
      <c r="PKI2" s="104"/>
      <c r="PKJ2" s="103"/>
      <c r="PKK2" s="104"/>
      <c r="PKL2" s="103"/>
      <c r="PKM2" s="104"/>
      <c r="PKN2" s="103"/>
      <c r="PKO2" s="104"/>
      <c r="PKP2" s="103"/>
      <c r="PKQ2" s="104"/>
      <c r="PKR2" s="103"/>
      <c r="PKS2" s="104"/>
      <c r="PKT2" s="103"/>
      <c r="PKU2" s="104"/>
      <c r="PKV2" s="103"/>
      <c r="PKW2" s="104"/>
      <c r="PKX2" s="103"/>
      <c r="PKY2" s="104"/>
      <c r="PKZ2" s="103"/>
      <c r="PLA2" s="104"/>
      <c r="PLB2" s="103"/>
      <c r="PLC2" s="104"/>
      <c r="PLD2" s="103"/>
      <c r="PLE2" s="104"/>
      <c r="PLF2" s="103"/>
      <c r="PLG2" s="104"/>
      <c r="PLH2" s="103"/>
      <c r="PLI2" s="104"/>
      <c r="PLJ2" s="103"/>
      <c r="PLK2" s="104"/>
      <c r="PLL2" s="103"/>
      <c r="PLM2" s="104"/>
      <c r="PLN2" s="103"/>
      <c r="PLO2" s="104"/>
      <c r="PLP2" s="103"/>
      <c r="PLQ2" s="104"/>
      <c r="PLR2" s="103"/>
      <c r="PLS2" s="104"/>
      <c r="PLT2" s="103"/>
      <c r="PLU2" s="104"/>
      <c r="PLV2" s="103"/>
      <c r="PLW2" s="104"/>
      <c r="PLX2" s="103"/>
      <c r="PLY2" s="104"/>
      <c r="PLZ2" s="103"/>
      <c r="PMA2" s="104"/>
      <c r="PMB2" s="103"/>
      <c r="PMC2" s="104"/>
      <c r="PMD2" s="103"/>
      <c r="PME2" s="104"/>
      <c r="PMF2" s="103"/>
      <c r="PMG2" s="104"/>
      <c r="PMH2" s="103"/>
      <c r="PMI2" s="104"/>
      <c r="PMJ2" s="103"/>
      <c r="PMK2" s="104"/>
      <c r="PML2" s="103"/>
      <c r="PMM2" s="104"/>
      <c r="PMN2" s="103"/>
      <c r="PMO2" s="104"/>
      <c r="PMP2" s="103"/>
      <c r="PMQ2" s="104"/>
      <c r="PMR2" s="103"/>
      <c r="PMS2" s="104"/>
      <c r="PMT2" s="103"/>
      <c r="PMU2" s="104"/>
      <c r="PMV2" s="103"/>
      <c r="PMW2" s="104"/>
      <c r="PMX2" s="103"/>
      <c r="PMY2" s="104"/>
      <c r="PMZ2" s="103"/>
      <c r="PNA2" s="104"/>
      <c r="PNB2" s="103"/>
      <c r="PNC2" s="104"/>
      <c r="PND2" s="103"/>
      <c r="PNE2" s="104"/>
      <c r="PNF2" s="103"/>
      <c r="PNG2" s="104"/>
      <c r="PNH2" s="103"/>
      <c r="PNI2" s="104"/>
      <c r="PNJ2" s="103"/>
      <c r="PNK2" s="104"/>
      <c r="PNL2" s="103"/>
      <c r="PNM2" s="104"/>
      <c r="PNN2" s="103"/>
      <c r="PNO2" s="104"/>
      <c r="PNP2" s="103"/>
      <c r="PNQ2" s="104"/>
      <c r="PNR2" s="103"/>
      <c r="PNS2" s="104"/>
      <c r="PNT2" s="103"/>
      <c r="PNU2" s="104"/>
      <c r="PNV2" s="103"/>
      <c r="PNW2" s="104"/>
      <c r="PNX2" s="103"/>
      <c r="PNY2" s="104"/>
      <c r="PNZ2" s="103"/>
      <c r="POA2" s="104"/>
      <c r="POB2" s="103"/>
      <c r="POC2" s="104"/>
      <c r="POD2" s="103"/>
      <c r="POE2" s="104"/>
      <c r="POF2" s="103"/>
      <c r="POG2" s="104"/>
      <c r="POH2" s="103"/>
      <c r="POI2" s="104"/>
      <c r="POJ2" s="103"/>
      <c r="POK2" s="104"/>
      <c r="POL2" s="103"/>
      <c r="POM2" s="104"/>
      <c r="PON2" s="103"/>
      <c r="POO2" s="104"/>
      <c r="POP2" s="103"/>
      <c r="POQ2" s="104"/>
      <c r="POR2" s="103"/>
      <c r="POS2" s="104"/>
      <c r="POT2" s="103"/>
      <c r="POU2" s="104"/>
      <c r="POV2" s="103"/>
      <c r="POW2" s="104"/>
      <c r="POX2" s="103"/>
      <c r="POY2" s="104"/>
      <c r="POZ2" s="103"/>
      <c r="PPA2" s="104"/>
      <c r="PPB2" s="103"/>
      <c r="PPC2" s="104"/>
      <c r="PPD2" s="103"/>
      <c r="PPE2" s="104"/>
      <c r="PPF2" s="103"/>
      <c r="PPG2" s="104"/>
      <c r="PPH2" s="103"/>
      <c r="PPI2" s="104"/>
      <c r="PPJ2" s="103"/>
      <c r="PPK2" s="104"/>
      <c r="PPL2" s="103"/>
      <c r="PPM2" s="104"/>
      <c r="PPN2" s="103"/>
      <c r="PPO2" s="104"/>
      <c r="PPP2" s="103"/>
      <c r="PPQ2" s="104"/>
      <c r="PPR2" s="103"/>
      <c r="PPS2" s="104"/>
      <c r="PPT2" s="103"/>
      <c r="PPU2" s="104"/>
      <c r="PPV2" s="103"/>
      <c r="PPW2" s="104"/>
      <c r="PPX2" s="103"/>
      <c r="PPY2" s="104"/>
      <c r="PPZ2" s="103"/>
      <c r="PQA2" s="104"/>
      <c r="PQB2" s="103"/>
      <c r="PQC2" s="104"/>
      <c r="PQD2" s="103"/>
      <c r="PQE2" s="104"/>
      <c r="PQF2" s="103"/>
      <c r="PQG2" s="104"/>
      <c r="PQH2" s="103"/>
      <c r="PQI2" s="104"/>
      <c r="PQJ2" s="103"/>
      <c r="PQK2" s="104"/>
      <c r="PQL2" s="103"/>
      <c r="PQM2" s="104"/>
      <c r="PQN2" s="103"/>
      <c r="PQO2" s="104"/>
      <c r="PQP2" s="103"/>
      <c r="PQQ2" s="104"/>
      <c r="PQR2" s="103"/>
      <c r="PQS2" s="104"/>
      <c r="PQT2" s="103"/>
      <c r="PQU2" s="104"/>
      <c r="PQV2" s="103"/>
      <c r="PQW2" s="104"/>
      <c r="PQX2" s="103"/>
      <c r="PQY2" s="104"/>
      <c r="PQZ2" s="103"/>
      <c r="PRA2" s="104"/>
      <c r="PRB2" s="103"/>
      <c r="PRC2" s="104"/>
      <c r="PRD2" s="103"/>
      <c r="PRE2" s="104"/>
      <c r="PRF2" s="103"/>
      <c r="PRG2" s="104"/>
      <c r="PRH2" s="103"/>
      <c r="PRI2" s="104"/>
      <c r="PRJ2" s="103"/>
      <c r="PRK2" s="104"/>
      <c r="PRL2" s="103"/>
      <c r="PRM2" s="104"/>
      <c r="PRN2" s="103"/>
      <c r="PRO2" s="104"/>
      <c r="PRP2" s="103"/>
      <c r="PRQ2" s="104"/>
      <c r="PRR2" s="103"/>
      <c r="PRS2" s="104"/>
      <c r="PRT2" s="103"/>
      <c r="PRU2" s="104"/>
      <c r="PRV2" s="103"/>
      <c r="PRW2" s="104"/>
      <c r="PRX2" s="103"/>
      <c r="PRY2" s="104"/>
      <c r="PRZ2" s="103"/>
      <c r="PSA2" s="104"/>
      <c r="PSB2" s="103"/>
      <c r="PSC2" s="104"/>
      <c r="PSD2" s="103"/>
      <c r="PSE2" s="104"/>
      <c r="PSF2" s="103"/>
      <c r="PSG2" s="104"/>
      <c r="PSH2" s="103"/>
      <c r="PSI2" s="104"/>
      <c r="PSJ2" s="103"/>
      <c r="PSK2" s="104"/>
      <c r="PSL2" s="103"/>
      <c r="PSM2" s="104"/>
      <c r="PSN2" s="103"/>
      <c r="PSO2" s="104"/>
      <c r="PSP2" s="103"/>
      <c r="PSQ2" s="104"/>
      <c r="PSR2" s="103"/>
      <c r="PSS2" s="104"/>
      <c r="PST2" s="103"/>
      <c r="PSU2" s="104"/>
      <c r="PSV2" s="103"/>
      <c r="PSW2" s="104"/>
      <c r="PSX2" s="103"/>
      <c r="PSY2" s="104"/>
      <c r="PSZ2" s="103"/>
      <c r="PTA2" s="104"/>
      <c r="PTB2" s="103"/>
      <c r="PTC2" s="104"/>
      <c r="PTD2" s="103"/>
      <c r="PTE2" s="104"/>
      <c r="PTF2" s="103"/>
      <c r="PTG2" s="104"/>
      <c r="PTH2" s="103"/>
      <c r="PTI2" s="104"/>
      <c r="PTJ2" s="103"/>
      <c r="PTK2" s="104"/>
      <c r="PTL2" s="103"/>
      <c r="PTM2" s="104"/>
      <c r="PTN2" s="103"/>
      <c r="PTO2" s="104"/>
      <c r="PTP2" s="103"/>
      <c r="PTQ2" s="104"/>
      <c r="PTR2" s="103"/>
      <c r="PTS2" s="104"/>
      <c r="PTT2" s="103"/>
      <c r="PTU2" s="104"/>
      <c r="PTV2" s="103"/>
      <c r="PTW2" s="104"/>
      <c r="PTX2" s="103"/>
      <c r="PTY2" s="104"/>
      <c r="PTZ2" s="103"/>
      <c r="PUA2" s="104"/>
      <c r="PUB2" s="103"/>
      <c r="PUC2" s="104"/>
      <c r="PUD2" s="103"/>
      <c r="PUE2" s="104"/>
      <c r="PUF2" s="103"/>
      <c r="PUG2" s="104"/>
      <c r="PUH2" s="103"/>
      <c r="PUI2" s="104"/>
      <c r="PUJ2" s="103"/>
      <c r="PUK2" s="104"/>
      <c r="PUL2" s="103"/>
      <c r="PUM2" s="104"/>
      <c r="PUN2" s="103"/>
      <c r="PUO2" s="104"/>
      <c r="PUP2" s="103"/>
      <c r="PUQ2" s="104"/>
      <c r="PUR2" s="103"/>
      <c r="PUS2" s="104"/>
      <c r="PUT2" s="103"/>
      <c r="PUU2" s="104"/>
      <c r="PUV2" s="103"/>
      <c r="PUW2" s="104"/>
      <c r="PUX2" s="103"/>
      <c r="PUY2" s="104"/>
      <c r="PUZ2" s="103"/>
      <c r="PVA2" s="104"/>
      <c r="PVB2" s="103"/>
      <c r="PVC2" s="104"/>
      <c r="PVD2" s="103"/>
      <c r="PVE2" s="104"/>
      <c r="PVF2" s="103"/>
      <c r="PVG2" s="104"/>
      <c r="PVH2" s="103"/>
      <c r="PVI2" s="104"/>
      <c r="PVJ2" s="103"/>
      <c r="PVK2" s="104"/>
      <c r="PVL2" s="103"/>
      <c r="PVM2" s="104"/>
      <c r="PVN2" s="103"/>
      <c r="PVO2" s="104"/>
      <c r="PVP2" s="103"/>
      <c r="PVQ2" s="104"/>
      <c r="PVR2" s="103"/>
      <c r="PVS2" s="104"/>
      <c r="PVT2" s="103"/>
      <c r="PVU2" s="104"/>
      <c r="PVV2" s="103"/>
      <c r="PVW2" s="104"/>
      <c r="PVX2" s="103"/>
      <c r="PVY2" s="104"/>
      <c r="PVZ2" s="103"/>
      <c r="PWA2" s="104"/>
      <c r="PWB2" s="103"/>
      <c r="PWC2" s="104"/>
      <c r="PWD2" s="103"/>
      <c r="PWE2" s="104"/>
      <c r="PWF2" s="103"/>
      <c r="PWG2" s="104"/>
      <c r="PWH2" s="103"/>
      <c r="PWI2" s="104"/>
      <c r="PWJ2" s="103"/>
      <c r="PWK2" s="104"/>
      <c r="PWL2" s="103"/>
      <c r="PWM2" s="104"/>
      <c r="PWN2" s="103"/>
      <c r="PWO2" s="104"/>
      <c r="PWP2" s="103"/>
      <c r="PWQ2" s="104"/>
      <c r="PWR2" s="103"/>
      <c r="PWS2" s="104"/>
      <c r="PWT2" s="103"/>
      <c r="PWU2" s="104"/>
      <c r="PWV2" s="103"/>
      <c r="PWW2" s="104"/>
      <c r="PWX2" s="103"/>
      <c r="PWY2" s="104"/>
      <c r="PWZ2" s="103"/>
      <c r="PXA2" s="104"/>
      <c r="PXB2" s="103"/>
      <c r="PXC2" s="104"/>
      <c r="PXD2" s="103"/>
      <c r="PXE2" s="104"/>
      <c r="PXF2" s="103"/>
      <c r="PXG2" s="104"/>
      <c r="PXH2" s="103"/>
      <c r="PXI2" s="104"/>
      <c r="PXJ2" s="103"/>
      <c r="PXK2" s="104"/>
      <c r="PXL2" s="103"/>
      <c r="PXM2" s="104"/>
      <c r="PXN2" s="103"/>
      <c r="PXO2" s="104"/>
      <c r="PXP2" s="103"/>
      <c r="PXQ2" s="104"/>
      <c r="PXR2" s="103"/>
      <c r="PXS2" s="104"/>
      <c r="PXT2" s="103"/>
      <c r="PXU2" s="104"/>
      <c r="PXV2" s="103"/>
      <c r="PXW2" s="104"/>
      <c r="PXX2" s="103"/>
      <c r="PXY2" s="104"/>
      <c r="PXZ2" s="103"/>
      <c r="PYA2" s="104"/>
      <c r="PYB2" s="103"/>
      <c r="PYC2" s="104"/>
      <c r="PYD2" s="103"/>
      <c r="PYE2" s="104"/>
      <c r="PYF2" s="103"/>
      <c r="PYG2" s="104"/>
      <c r="PYH2" s="103"/>
      <c r="PYI2" s="104"/>
      <c r="PYJ2" s="103"/>
      <c r="PYK2" s="104"/>
      <c r="PYL2" s="103"/>
      <c r="PYM2" s="104"/>
      <c r="PYN2" s="103"/>
      <c r="PYO2" s="104"/>
      <c r="PYP2" s="103"/>
      <c r="PYQ2" s="104"/>
      <c r="PYR2" s="103"/>
      <c r="PYS2" s="104"/>
      <c r="PYT2" s="103"/>
      <c r="PYU2" s="104"/>
      <c r="PYV2" s="103"/>
      <c r="PYW2" s="104"/>
      <c r="PYX2" s="103"/>
      <c r="PYY2" s="104"/>
      <c r="PYZ2" s="103"/>
      <c r="PZA2" s="104"/>
      <c r="PZB2" s="103"/>
      <c r="PZC2" s="104"/>
      <c r="PZD2" s="103"/>
      <c r="PZE2" s="104"/>
      <c r="PZF2" s="103"/>
      <c r="PZG2" s="104"/>
      <c r="PZH2" s="103"/>
      <c r="PZI2" s="104"/>
      <c r="PZJ2" s="103"/>
      <c r="PZK2" s="104"/>
      <c r="PZL2" s="103"/>
      <c r="PZM2" s="104"/>
      <c r="PZN2" s="103"/>
      <c r="PZO2" s="104"/>
      <c r="PZP2" s="103"/>
      <c r="PZQ2" s="104"/>
      <c r="PZR2" s="103"/>
      <c r="PZS2" s="104"/>
      <c r="PZT2" s="103"/>
      <c r="PZU2" s="104"/>
      <c r="PZV2" s="103"/>
      <c r="PZW2" s="104"/>
      <c r="PZX2" s="103"/>
      <c r="PZY2" s="104"/>
      <c r="PZZ2" s="103"/>
      <c r="QAA2" s="104"/>
      <c r="QAB2" s="103"/>
      <c r="QAC2" s="104"/>
      <c r="QAD2" s="103"/>
      <c r="QAE2" s="104"/>
      <c r="QAF2" s="103"/>
      <c r="QAG2" s="104"/>
      <c r="QAH2" s="103"/>
      <c r="QAI2" s="104"/>
      <c r="QAJ2" s="103"/>
      <c r="QAK2" s="104"/>
      <c r="QAL2" s="103"/>
      <c r="QAM2" s="104"/>
      <c r="QAN2" s="103"/>
      <c r="QAO2" s="104"/>
      <c r="QAP2" s="103"/>
      <c r="QAQ2" s="104"/>
      <c r="QAR2" s="103"/>
      <c r="QAS2" s="104"/>
      <c r="QAT2" s="103"/>
      <c r="QAU2" s="104"/>
      <c r="QAV2" s="103"/>
      <c r="QAW2" s="104"/>
      <c r="QAX2" s="103"/>
      <c r="QAY2" s="104"/>
      <c r="QAZ2" s="103"/>
      <c r="QBA2" s="104"/>
      <c r="QBB2" s="103"/>
      <c r="QBC2" s="104"/>
      <c r="QBD2" s="103"/>
      <c r="QBE2" s="104"/>
      <c r="QBF2" s="103"/>
      <c r="QBG2" s="104"/>
      <c r="QBH2" s="103"/>
      <c r="QBI2" s="104"/>
      <c r="QBJ2" s="103"/>
      <c r="QBK2" s="104"/>
      <c r="QBL2" s="103"/>
      <c r="QBM2" s="104"/>
      <c r="QBN2" s="103"/>
      <c r="QBO2" s="104"/>
      <c r="QBP2" s="103"/>
      <c r="QBQ2" s="104"/>
      <c r="QBR2" s="103"/>
      <c r="QBS2" s="104"/>
      <c r="QBT2" s="103"/>
      <c r="QBU2" s="104"/>
      <c r="QBV2" s="103"/>
      <c r="QBW2" s="104"/>
      <c r="QBX2" s="103"/>
      <c r="QBY2" s="104"/>
      <c r="QBZ2" s="103"/>
      <c r="QCA2" s="104"/>
      <c r="QCB2" s="103"/>
      <c r="QCC2" s="104"/>
      <c r="QCD2" s="103"/>
      <c r="QCE2" s="104"/>
      <c r="QCF2" s="103"/>
      <c r="QCG2" s="104"/>
      <c r="QCH2" s="103"/>
      <c r="QCI2" s="104"/>
      <c r="QCJ2" s="103"/>
      <c r="QCK2" s="104"/>
      <c r="QCL2" s="103"/>
      <c r="QCM2" s="104"/>
      <c r="QCN2" s="103"/>
      <c r="QCO2" s="104"/>
      <c r="QCP2" s="103"/>
      <c r="QCQ2" s="104"/>
      <c r="QCR2" s="103"/>
      <c r="QCS2" s="104"/>
      <c r="QCT2" s="103"/>
      <c r="QCU2" s="104"/>
      <c r="QCV2" s="103"/>
      <c r="QCW2" s="104"/>
      <c r="QCX2" s="103"/>
      <c r="QCY2" s="104"/>
      <c r="QCZ2" s="103"/>
      <c r="QDA2" s="104"/>
      <c r="QDB2" s="103"/>
      <c r="QDC2" s="104"/>
      <c r="QDD2" s="103"/>
      <c r="QDE2" s="104"/>
      <c r="QDF2" s="103"/>
      <c r="QDG2" s="104"/>
      <c r="QDH2" s="103"/>
      <c r="QDI2" s="104"/>
      <c r="QDJ2" s="103"/>
      <c r="QDK2" s="104"/>
      <c r="QDL2" s="103"/>
      <c r="QDM2" s="104"/>
      <c r="QDN2" s="103"/>
      <c r="QDO2" s="104"/>
      <c r="QDP2" s="103"/>
      <c r="QDQ2" s="104"/>
      <c r="QDR2" s="103"/>
      <c r="QDS2" s="104"/>
      <c r="QDT2" s="103"/>
      <c r="QDU2" s="104"/>
      <c r="QDV2" s="103"/>
      <c r="QDW2" s="104"/>
      <c r="QDX2" s="103"/>
      <c r="QDY2" s="104"/>
      <c r="QDZ2" s="103"/>
      <c r="QEA2" s="104"/>
      <c r="QEB2" s="103"/>
      <c r="QEC2" s="104"/>
      <c r="QED2" s="103"/>
      <c r="QEE2" s="104"/>
      <c r="QEF2" s="103"/>
      <c r="QEG2" s="104"/>
      <c r="QEH2" s="103"/>
      <c r="QEI2" s="104"/>
      <c r="QEJ2" s="103"/>
      <c r="QEK2" s="104"/>
      <c r="QEL2" s="103"/>
      <c r="QEM2" s="104"/>
      <c r="QEN2" s="103"/>
      <c r="QEO2" s="104"/>
      <c r="QEP2" s="103"/>
      <c r="QEQ2" s="104"/>
      <c r="QER2" s="103"/>
      <c r="QES2" s="104"/>
      <c r="QET2" s="103"/>
      <c r="QEU2" s="104"/>
      <c r="QEV2" s="103"/>
      <c r="QEW2" s="104"/>
      <c r="QEX2" s="103"/>
      <c r="QEY2" s="104"/>
      <c r="QEZ2" s="103"/>
      <c r="QFA2" s="104"/>
      <c r="QFB2" s="103"/>
      <c r="QFC2" s="104"/>
      <c r="QFD2" s="103"/>
      <c r="QFE2" s="104"/>
      <c r="QFF2" s="103"/>
      <c r="QFG2" s="104"/>
      <c r="QFH2" s="103"/>
      <c r="QFI2" s="104"/>
      <c r="QFJ2" s="103"/>
      <c r="QFK2" s="104"/>
      <c r="QFL2" s="103"/>
      <c r="QFM2" s="104"/>
      <c r="QFN2" s="103"/>
      <c r="QFO2" s="104"/>
      <c r="QFP2" s="103"/>
      <c r="QFQ2" s="104"/>
      <c r="QFR2" s="103"/>
      <c r="QFS2" s="104"/>
      <c r="QFT2" s="103"/>
      <c r="QFU2" s="104"/>
      <c r="QFV2" s="103"/>
      <c r="QFW2" s="104"/>
      <c r="QFX2" s="103"/>
      <c r="QFY2" s="104"/>
      <c r="QFZ2" s="103"/>
      <c r="QGA2" s="104"/>
      <c r="QGB2" s="103"/>
      <c r="QGC2" s="104"/>
      <c r="QGD2" s="103"/>
      <c r="QGE2" s="104"/>
      <c r="QGF2" s="103"/>
      <c r="QGG2" s="104"/>
      <c r="QGH2" s="103"/>
      <c r="QGI2" s="104"/>
      <c r="QGJ2" s="103"/>
      <c r="QGK2" s="104"/>
      <c r="QGL2" s="103"/>
      <c r="QGM2" s="104"/>
      <c r="QGN2" s="103"/>
      <c r="QGO2" s="104"/>
      <c r="QGP2" s="103"/>
      <c r="QGQ2" s="104"/>
      <c r="QGR2" s="103"/>
      <c r="QGS2" s="104"/>
      <c r="QGT2" s="103"/>
      <c r="QGU2" s="104"/>
      <c r="QGV2" s="103"/>
      <c r="QGW2" s="104"/>
      <c r="QGX2" s="103"/>
      <c r="QGY2" s="104"/>
      <c r="QGZ2" s="103"/>
      <c r="QHA2" s="104"/>
      <c r="QHB2" s="103"/>
      <c r="QHC2" s="104"/>
      <c r="QHD2" s="103"/>
      <c r="QHE2" s="104"/>
      <c r="QHF2" s="103"/>
      <c r="QHG2" s="104"/>
      <c r="QHH2" s="103"/>
      <c r="QHI2" s="104"/>
      <c r="QHJ2" s="103"/>
      <c r="QHK2" s="104"/>
      <c r="QHL2" s="103"/>
      <c r="QHM2" s="104"/>
      <c r="QHN2" s="103"/>
      <c r="QHO2" s="104"/>
      <c r="QHP2" s="103"/>
      <c r="QHQ2" s="104"/>
      <c r="QHR2" s="103"/>
      <c r="QHS2" s="104"/>
      <c r="QHT2" s="103"/>
      <c r="QHU2" s="104"/>
      <c r="QHV2" s="103"/>
      <c r="QHW2" s="104"/>
      <c r="QHX2" s="103"/>
      <c r="QHY2" s="104"/>
      <c r="QHZ2" s="103"/>
      <c r="QIA2" s="104"/>
      <c r="QIB2" s="103"/>
      <c r="QIC2" s="104"/>
      <c r="QID2" s="103"/>
      <c r="QIE2" s="104"/>
      <c r="QIF2" s="103"/>
      <c r="QIG2" s="104"/>
      <c r="QIH2" s="103"/>
      <c r="QII2" s="104"/>
      <c r="QIJ2" s="103"/>
      <c r="QIK2" s="104"/>
      <c r="QIL2" s="103"/>
      <c r="QIM2" s="104"/>
      <c r="QIN2" s="103"/>
      <c r="QIO2" s="104"/>
      <c r="QIP2" s="103"/>
      <c r="QIQ2" s="104"/>
      <c r="QIR2" s="103"/>
      <c r="QIS2" s="104"/>
      <c r="QIT2" s="103"/>
      <c r="QIU2" s="104"/>
      <c r="QIV2" s="103"/>
      <c r="QIW2" s="104"/>
      <c r="QIX2" s="103"/>
      <c r="QIY2" s="104"/>
      <c r="QIZ2" s="103"/>
      <c r="QJA2" s="104"/>
      <c r="QJB2" s="103"/>
      <c r="QJC2" s="104"/>
      <c r="QJD2" s="103"/>
      <c r="QJE2" s="104"/>
      <c r="QJF2" s="103"/>
      <c r="QJG2" s="104"/>
      <c r="QJH2" s="103"/>
      <c r="QJI2" s="104"/>
      <c r="QJJ2" s="103"/>
      <c r="QJK2" s="104"/>
      <c r="QJL2" s="103"/>
      <c r="QJM2" s="104"/>
      <c r="QJN2" s="103"/>
      <c r="QJO2" s="104"/>
      <c r="QJP2" s="103"/>
      <c r="QJQ2" s="104"/>
      <c r="QJR2" s="103"/>
      <c r="QJS2" s="104"/>
      <c r="QJT2" s="103"/>
      <c r="QJU2" s="104"/>
      <c r="QJV2" s="103"/>
      <c r="QJW2" s="104"/>
      <c r="QJX2" s="103"/>
      <c r="QJY2" s="104"/>
      <c r="QJZ2" s="103"/>
      <c r="QKA2" s="104"/>
      <c r="QKB2" s="103"/>
      <c r="QKC2" s="104"/>
      <c r="QKD2" s="103"/>
      <c r="QKE2" s="104"/>
      <c r="QKF2" s="103"/>
      <c r="QKG2" s="104"/>
      <c r="QKH2" s="103"/>
      <c r="QKI2" s="104"/>
      <c r="QKJ2" s="103"/>
      <c r="QKK2" s="104"/>
      <c r="QKL2" s="103"/>
      <c r="QKM2" s="104"/>
      <c r="QKN2" s="103"/>
      <c r="QKO2" s="104"/>
      <c r="QKP2" s="103"/>
      <c r="QKQ2" s="104"/>
      <c r="QKR2" s="103"/>
      <c r="QKS2" s="104"/>
      <c r="QKT2" s="103"/>
      <c r="QKU2" s="104"/>
      <c r="QKV2" s="103"/>
      <c r="QKW2" s="104"/>
      <c r="QKX2" s="103"/>
      <c r="QKY2" s="104"/>
      <c r="QKZ2" s="103"/>
      <c r="QLA2" s="104"/>
      <c r="QLB2" s="103"/>
      <c r="QLC2" s="104"/>
      <c r="QLD2" s="103"/>
      <c r="QLE2" s="104"/>
      <c r="QLF2" s="103"/>
      <c r="QLG2" s="104"/>
      <c r="QLH2" s="103"/>
      <c r="QLI2" s="104"/>
      <c r="QLJ2" s="103"/>
      <c r="QLK2" s="104"/>
      <c r="QLL2" s="103"/>
      <c r="QLM2" s="104"/>
      <c r="QLN2" s="103"/>
      <c r="QLO2" s="104"/>
      <c r="QLP2" s="103"/>
      <c r="QLQ2" s="104"/>
      <c r="QLR2" s="103"/>
      <c r="QLS2" s="104"/>
      <c r="QLT2" s="103"/>
      <c r="QLU2" s="104"/>
      <c r="QLV2" s="103"/>
      <c r="QLW2" s="104"/>
      <c r="QLX2" s="103"/>
      <c r="QLY2" s="104"/>
      <c r="QLZ2" s="103"/>
      <c r="QMA2" s="104"/>
      <c r="QMB2" s="103"/>
      <c r="QMC2" s="104"/>
      <c r="QMD2" s="103"/>
      <c r="QME2" s="104"/>
      <c r="QMF2" s="103"/>
      <c r="QMG2" s="104"/>
      <c r="QMH2" s="103"/>
      <c r="QMI2" s="104"/>
      <c r="QMJ2" s="103"/>
      <c r="QMK2" s="104"/>
      <c r="QML2" s="103"/>
      <c r="QMM2" s="104"/>
      <c r="QMN2" s="103"/>
      <c r="QMO2" s="104"/>
      <c r="QMP2" s="103"/>
      <c r="QMQ2" s="104"/>
      <c r="QMR2" s="103"/>
      <c r="QMS2" s="104"/>
      <c r="QMT2" s="103"/>
      <c r="QMU2" s="104"/>
      <c r="QMV2" s="103"/>
      <c r="QMW2" s="104"/>
      <c r="QMX2" s="103"/>
      <c r="QMY2" s="104"/>
      <c r="QMZ2" s="103"/>
      <c r="QNA2" s="104"/>
      <c r="QNB2" s="103"/>
      <c r="QNC2" s="104"/>
      <c r="QND2" s="103"/>
      <c r="QNE2" s="104"/>
      <c r="QNF2" s="103"/>
      <c r="QNG2" s="104"/>
      <c r="QNH2" s="103"/>
      <c r="QNI2" s="104"/>
      <c r="QNJ2" s="103"/>
      <c r="QNK2" s="104"/>
      <c r="QNL2" s="103"/>
      <c r="QNM2" s="104"/>
      <c r="QNN2" s="103"/>
      <c r="QNO2" s="104"/>
      <c r="QNP2" s="103"/>
      <c r="QNQ2" s="104"/>
      <c r="QNR2" s="103"/>
      <c r="QNS2" s="104"/>
      <c r="QNT2" s="103"/>
      <c r="QNU2" s="104"/>
      <c r="QNV2" s="103"/>
      <c r="QNW2" s="104"/>
      <c r="QNX2" s="103"/>
      <c r="QNY2" s="104"/>
      <c r="QNZ2" s="103"/>
      <c r="QOA2" s="104"/>
      <c r="QOB2" s="103"/>
      <c r="QOC2" s="104"/>
      <c r="QOD2" s="103"/>
      <c r="QOE2" s="104"/>
      <c r="QOF2" s="103"/>
      <c r="QOG2" s="104"/>
      <c r="QOH2" s="103"/>
      <c r="QOI2" s="104"/>
      <c r="QOJ2" s="103"/>
      <c r="QOK2" s="104"/>
      <c r="QOL2" s="103"/>
      <c r="QOM2" s="104"/>
      <c r="QON2" s="103"/>
      <c r="QOO2" s="104"/>
      <c r="QOP2" s="103"/>
      <c r="QOQ2" s="104"/>
      <c r="QOR2" s="103"/>
      <c r="QOS2" s="104"/>
      <c r="QOT2" s="103"/>
      <c r="QOU2" s="104"/>
      <c r="QOV2" s="103"/>
      <c r="QOW2" s="104"/>
      <c r="QOX2" s="103"/>
      <c r="QOY2" s="104"/>
      <c r="QOZ2" s="103"/>
      <c r="QPA2" s="104"/>
      <c r="QPB2" s="103"/>
      <c r="QPC2" s="104"/>
      <c r="QPD2" s="103"/>
      <c r="QPE2" s="104"/>
      <c r="QPF2" s="103"/>
      <c r="QPG2" s="104"/>
      <c r="QPH2" s="103"/>
      <c r="QPI2" s="104"/>
      <c r="QPJ2" s="103"/>
      <c r="QPK2" s="104"/>
      <c r="QPL2" s="103"/>
      <c r="QPM2" s="104"/>
      <c r="QPN2" s="103"/>
      <c r="QPO2" s="104"/>
      <c r="QPP2" s="103"/>
      <c r="QPQ2" s="104"/>
      <c r="QPR2" s="103"/>
      <c r="QPS2" s="104"/>
      <c r="QPT2" s="103"/>
      <c r="QPU2" s="104"/>
      <c r="QPV2" s="103"/>
      <c r="QPW2" s="104"/>
      <c r="QPX2" s="103"/>
      <c r="QPY2" s="104"/>
      <c r="QPZ2" s="103"/>
      <c r="QQA2" s="104"/>
      <c r="QQB2" s="103"/>
      <c r="QQC2" s="104"/>
      <c r="QQD2" s="103"/>
      <c r="QQE2" s="104"/>
      <c r="QQF2" s="103"/>
      <c r="QQG2" s="104"/>
      <c r="QQH2" s="103"/>
      <c r="QQI2" s="104"/>
      <c r="QQJ2" s="103"/>
      <c r="QQK2" s="104"/>
      <c r="QQL2" s="103"/>
      <c r="QQM2" s="104"/>
      <c r="QQN2" s="103"/>
      <c r="QQO2" s="104"/>
      <c r="QQP2" s="103"/>
      <c r="QQQ2" s="104"/>
      <c r="QQR2" s="103"/>
      <c r="QQS2" s="104"/>
      <c r="QQT2" s="103"/>
      <c r="QQU2" s="104"/>
      <c r="QQV2" s="103"/>
      <c r="QQW2" s="104"/>
      <c r="QQX2" s="103"/>
      <c r="QQY2" s="104"/>
      <c r="QQZ2" s="103"/>
      <c r="QRA2" s="104"/>
      <c r="QRB2" s="103"/>
      <c r="QRC2" s="104"/>
      <c r="QRD2" s="103"/>
      <c r="QRE2" s="104"/>
      <c r="QRF2" s="103"/>
      <c r="QRG2" s="104"/>
      <c r="QRH2" s="103"/>
      <c r="QRI2" s="104"/>
      <c r="QRJ2" s="103"/>
      <c r="QRK2" s="104"/>
      <c r="QRL2" s="103"/>
      <c r="QRM2" s="104"/>
      <c r="QRN2" s="103"/>
      <c r="QRO2" s="104"/>
      <c r="QRP2" s="103"/>
      <c r="QRQ2" s="104"/>
      <c r="QRR2" s="103"/>
      <c r="QRS2" s="104"/>
      <c r="QRT2" s="103"/>
      <c r="QRU2" s="104"/>
      <c r="QRV2" s="103"/>
      <c r="QRW2" s="104"/>
      <c r="QRX2" s="103"/>
      <c r="QRY2" s="104"/>
      <c r="QRZ2" s="103"/>
      <c r="QSA2" s="104"/>
      <c r="QSB2" s="103"/>
      <c r="QSC2" s="104"/>
      <c r="QSD2" s="103"/>
      <c r="QSE2" s="104"/>
      <c r="QSF2" s="103"/>
      <c r="QSG2" s="104"/>
      <c r="QSH2" s="103"/>
      <c r="QSI2" s="104"/>
      <c r="QSJ2" s="103"/>
      <c r="QSK2" s="104"/>
      <c r="QSL2" s="103"/>
      <c r="QSM2" s="104"/>
      <c r="QSN2" s="103"/>
      <c r="QSO2" s="104"/>
      <c r="QSP2" s="103"/>
      <c r="QSQ2" s="104"/>
      <c r="QSR2" s="103"/>
      <c r="QSS2" s="104"/>
      <c r="QST2" s="103"/>
      <c r="QSU2" s="104"/>
      <c r="QSV2" s="103"/>
      <c r="QSW2" s="104"/>
      <c r="QSX2" s="103"/>
      <c r="QSY2" s="104"/>
      <c r="QSZ2" s="103"/>
      <c r="QTA2" s="104"/>
      <c r="QTB2" s="103"/>
      <c r="QTC2" s="104"/>
      <c r="QTD2" s="103"/>
      <c r="QTE2" s="104"/>
      <c r="QTF2" s="103"/>
      <c r="QTG2" s="104"/>
      <c r="QTH2" s="103"/>
      <c r="QTI2" s="104"/>
      <c r="QTJ2" s="103"/>
      <c r="QTK2" s="104"/>
      <c r="QTL2" s="103"/>
      <c r="QTM2" s="104"/>
      <c r="QTN2" s="103"/>
      <c r="QTO2" s="104"/>
      <c r="QTP2" s="103"/>
      <c r="QTQ2" s="104"/>
      <c r="QTR2" s="103"/>
      <c r="QTS2" s="104"/>
      <c r="QTT2" s="103"/>
      <c r="QTU2" s="104"/>
      <c r="QTV2" s="103"/>
      <c r="QTW2" s="104"/>
      <c r="QTX2" s="103"/>
      <c r="QTY2" s="104"/>
      <c r="QTZ2" s="103"/>
      <c r="QUA2" s="104"/>
      <c r="QUB2" s="103"/>
      <c r="QUC2" s="104"/>
      <c r="QUD2" s="103"/>
      <c r="QUE2" s="104"/>
      <c r="QUF2" s="103"/>
      <c r="QUG2" s="104"/>
      <c r="QUH2" s="103"/>
      <c r="QUI2" s="104"/>
      <c r="QUJ2" s="103"/>
      <c r="QUK2" s="104"/>
      <c r="QUL2" s="103"/>
      <c r="QUM2" s="104"/>
      <c r="QUN2" s="103"/>
      <c r="QUO2" s="104"/>
      <c r="QUP2" s="103"/>
      <c r="QUQ2" s="104"/>
      <c r="QUR2" s="103"/>
      <c r="QUS2" s="104"/>
      <c r="QUT2" s="103"/>
      <c r="QUU2" s="104"/>
      <c r="QUV2" s="103"/>
      <c r="QUW2" s="104"/>
      <c r="QUX2" s="103"/>
      <c r="QUY2" s="104"/>
      <c r="QUZ2" s="103"/>
      <c r="QVA2" s="104"/>
      <c r="QVB2" s="103"/>
      <c r="QVC2" s="104"/>
      <c r="QVD2" s="103"/>
      <c r="QVE2" s="104"/>
      <c r="QVF2" s="103"/>
      <c r="QVG2" s="104"/>
      <c r="QVH2" s="103"/>
      <c r="QVI2" s="104"/>
      <c r="QVJ2" s="103"/>
      <c r="QVK2" s="104"/>
      <c r="QVL2" s="103"/>
      <c r="QVM2" s="104"/>
      <c r="QVN2" s="103"/>
      <c r="QVO2" s="104"/>
      <c r="QVP2" s="103"/>
      <c r="QVQ2" s="104"/>
      <c r="QVR2" s="103"/>
      <c r="QVS2" s="104"/>
      <c r="QVT2" s="103"/>
      <c r="QVU2" s="104"/>
      <c r="QVV2" s="103"/>
      <c r="QVW2" s="104"/>
      <c r="QVX2" s="103"/>
      <c r="QVY2" s="104"/>
      <c r="QVZ2" s="103"/>
      <c r="QWA2" s="104"/>
      <c r="QWB2" s="103"/>
      <c r="QWC2" s="104"/>
      <c r="QWD2" s="103"/>
      <c r="QWE2" s="104"/>
      <c r="QWF2" s="103"/>
      <c r="QWG2" s="104"/>
      <c r="QWH2" s="103"/>
      <c r="QWI2" s="104"/>
      <c r="QWJ2" s="103"/>
      <c r="QWK2" s="104"/>
      <c r="QWL2" s="103"/>
      <c r="QWM2" s="104"/>
      <c r="QWN2" s="103"/>
      <c r="QWO2" s="104"/>
      <c r="QWP2" s="103"/>
      <c r="QWQ2" s="104"/>
      <c r="QWR2" s="103"/>
      <c r="QWS2" s="104"/>
      <c r="QWT2" s="103"/>
      <c r="QWU2" s="104"/>
      <c r="QWV2" s="103"/>
      <c r="QWW2" s="104"/>
      <c r="QWX2" s="103"/>
      <c r="QWY2" s="104"/>
      <c r="QWZ2" s="103"/>
      <c r="QXA2" s="104"/>
      <c r="QXB2" s="103"/>
      <c r="QXC2" s="104"/>
      <c r="QXD2" s="103"/>
      <c r="QXE2" s="104"/>
      <c r="QXF2" s="103"/>
      <c r="QXG2" s="104"/>
      <c r="QXH2" s="103"/>
      <c r="QXI2" s="104"/>
      <c r="QXJ2" s="103"/>
      <c r="QXK2" s="104"/>
      <c r="QXL2" s="103"/>
      <c r="QXM2" s="104"/>
      <c r="QXN2" s="103"/>
      <c r="QXO2" s="104"/>
      <c r="QXP2" s="103"/>
      <c r="QXQ2" s="104"/>
      <c r="QXR2" s="103"/>
      <c r="QXS2" s="104"/>
      <c r="QXT2" s="103"/>
      <c r="QXU2" s="104"/>
      <c r="QXV2" s="103"/>
      <c r="QXW2" s="104"/>
      <c r="QXX2" s="103"/>
      <c r="QXY2" s="104"/>
      <c r="QXZ2" s="103"/>
      <c r="QYA2" s="104"/>
      <c r="QYB2" s="103"/>
      <c r="QYC2" s="104"/>
      <c r="QYD2" s="103"/>
      <c r="QYE2" s="104"/>
      <c r="QYF2" s="103"/>
      <c r="QYG2" s="104"/>
      <c r="QYH2" s="103"/>
      <c r="QYI2" s="104"/>
      <c r="QYJ2" s="103"/>
      <c r="QYK2" s="104"/>
      <c r="QYL2" s="103"/>
      <c r="QYM2" s="104"/>
      <c r="QYN2" s="103"/>
      <c r="QYO2" s="104"/>
      <c r="QYP2" s="103"/>
      <c r="QYQ2" s="104"/>
      <c r="QYR2" s="103"/>
      <c r="QYS2" s="104"/>
      <c r="QYT2" s="103"/>
      <c r="QYU2" s="104"/>
      <c r="QYV2" s="103"/>
      <c r="QYW2" s="104"/>
      <c r="QYX2" s="103"/>
      <c r="QYY2" s="104"/>
      <c r="QYZ2" s="103"/>
      <c r="QZA2" s="104"/>
      <c r="QZB2" s="103"/>
      <c r="QZC2" s="104"/>
      <c r="QZD2" s="103"/>
      <c r="QZE2" s="104"/>
      <c r="QZF2" s="103"/>
      <c r="QZG2" s="104"/>
      <c r="QZH2" s="103"/>
      <c r="QZI2" s="104"/>
      <c r="QZJ2" s="103"/>
      <c r="QZK2" s="104"/>
      <c r="QZL2" s="103"/>
      <c r="QZM2" s="104"/>
      <c r="QZN2" s="103"/>
      <c r="QZO2" s="104"/>
      <c r="QZP2" s="103"/>
      <c r="QZQ2" s="104"/>
      <c r="QZR2" s="103"/>
      <c r="QZS2" s="104"/>
      <c r="QZT2" s="103"/>
      <c r="QZU2" s="104"/>
      <c r="QZV2" s="103"/>
      <c r="QZW2" s="104"/>
      <c r="QZX2" s="103"/>
      <c r="QZY2" s="104"/>
      <c r="QZZ2" s="103"/>
      <c r="RAA2" s="104"/>
      <c r="RAB2" s="103"/>
      <c r="RAC2" s="104"/>
      <c r="RAD2" s="103"/>
      <c r="RAE2" s="104"/>
      <c r="RAF2" s="103"/>
      <c r="RAG2" s="104"/>
      <c r="RAH2" s="103"/>
      <c r="RAI2" s="104"/>
      <c r="RAJ2" s="103"/>
      <c r="RAK2" s="104"/>
      <c r="RAL2" s="103"/>
      <c r="RAM2" s="104"/>
      <c r="RAN2" s="103"/>
      <c r="RAO2" s="104"/>
      <c r="RAP2" s="103"/>
      <c r="RAQ2" s="104"/>
      <c r="RAR2" s="103"/>
      <c r="RAS2" s="104"/>
      <c r="RAT2" s="103"/>
      <c r="RAU2" s="104"/>
      <c r="RAV2" s="103"/>
      <c r="RAW2" s="104"/>
      <c r="RAX2" s="103"/>
      <c r="RAY2" s="104"/>
      <c r="RAZ2" s="103"/>
      <c r="RBA2" s="104"/>
      <c r="RBB2" s="103"/>
      <c r="RBC2" s="104"/>
      <c r="RBD2" s="103"/>
      <c r="RBE2" s="104"/>
      <c r="RBF2" s="103"/>
      <c r="RBG2" s="104"/>
      <c r="RBH2" s="103"/>
      <c r="RBI2" s="104"/>
      <c r="RBJ2" s="103"/>
      <c r="RBK2" s="104"/>
      <c r="RBL2" s="103"/>
      <c r="RBM2" s="104"/>
      <c r="RBN2" s="103"/>
      <c r="RBO2" s="104"/>
      <c r="RBP2" s="103"/>
      <c r="RBQ2" s="104"/>
      <c r="RBR2" s="103"/>
      <c r="RBS2" s="104"/>
      <c r="RBT2" s="103"/>
      <c r="RBU2" s="104"/>
      <c r="RBV2" s="103"/>
      <c r="RBW2" s="104"/>
      <c r="RBX2" s="103"/>
      <c r="RBY2" s="104"/>
      <c r="RBZ2" s="103"/>
      <c r="RCA2" s="104"/>
      <c r="RCB2" s="103"/>
      <c r="RCC2" s="104"/>
      <c r="RCD2" s="103"/>
      <c r="RCE2" s="104"/>
      <c r="RCF2" s="103"/>
      <c r="RCG2" s="104"/>
      <c r="RCH2" s="103"/>
      <c r="RCI2" s="104"/>
      <c r="RCJ2" s="103"/>
      <c r="RCK2" s="104"/>
      <c r="RCL2" s="103"/>
      <c r="RCM2" s="104"/>
      <c r="RCN2" s="103"/>
      <c r="RCO2" s="104"/>
      <c r="RCP2" s="103"/>
      <c r="RCQ2" s="104"/>
      <c r="RCR2" s="103"/>
      <c r="RCS2" s="104"/>
      <c r="RCT2" s="103"/>
      <c r="RCU2" s="104"/>
      <c r="RCV2" s="103"/>
      <c r="RCW2" s="104"/>
      <c r="RCX2" s="103"/>
      <c r="RCY2" s="104"/>
      <c r="RCZ2" s="103"/>
      <c r="RDA2" s="104"/>
      <c r="RDB2" s="103"/>
      <c r="RDC2" s="104"/>
      <c r="RDD2" s="103"/>
      <c r="RDE2" s="104"/>
      <c r="RDF2" s="103"/>
      <c r="RDG2" s="104"/>
      <c r="RDH2" s="103"/>
      <c r="RDI2" s="104"/>
      <c r="RDJ2" s="103"/>
      <c r="RDK2" s="104"/>
      <c r="RDL2" s="103"/>
      <c r="RDM2" s="104"/>
      <c r="RDN2" s="103"/>
      <c r="RDO2" s="104"/>
      <c r="RDP2" s="103"/>
      <c r="RDQ2" s="104"/>
      <c r="RDR2" s="103"/>
      <c r="RDS2" s="104"/>
      <c r="RDT2" s="103"/>
      <c r="RDU2" s="104"/>
      <c r="RDV2" s="103"/>
      <c r="RDW2" s="104"/>
      <c r="RDX2" s="103"/>
      <c r="RDY2" s="104"/>
      <c r="RDZ2" s="103"/>
      <c r="REA2" s="104"/>
      <c r="REB2" s="103"/>
      <c r="REC2" s="104"/>
      <c r="RED2" s="103"/>
      <c r="REE2" s="104"/>
      <c r="REF2" s="103"/>
      <c r="REG2" s="104"/>
      <c r="REH2" s="103"/>
      <c r="REI2" s="104"/>
      <c r="REJ2" s="103"/>
      <c r="REK2" s="104"/>
      <c r="REL2" s="103"/>
      <c r="REM2" s="104"/>
      <c r="REN2" s="103"/>
      <c r="REO2" s="104"/>
      <c r="REP2" s="103"/>
      <c r="REQ2" s="104"/>
      <c r="RER2" s="103"/>
      <c r="RES2" s="104"/>
      <c r="RET2" s="103"/>
      <c r="REU2" s="104"/>
      <c r="REV2" s="103"/>
      <c r="REW2" s="104"/>
      <c r="REX2" s="103"/>
      <c r="REY2" s="104"/>
      <c r="REZ2" s="103"/>
      <c r="RFA2" s="104"/>
      <c r="RFB2" s="103"/>
      <c r="RFC2" s="104"/>
      <c r="RFD2" s="103"/>
      <c r="RFE2" s="104"/>
      <c r="RFF2" s="103"/>
      <c r="RFG2" s="104"/>
      <c r="RFH2" s="103"/>
      <c r="RFI2" s="104"/>
      <c r="RFJ2" s="103"/>
      <c r="RFK2" s="104"/>
      <c r="RFL2" s="103"/>
      <c r="RFM2" s="104"/>
      <c r="RFN2" s="103"/>
      <c r="RFO2" s="104"/>
      <c r="RFP2" s="103"/>
      <c r="RFQ2" s="104"/>
      <c r="RFR2" s="103"/>
      <c r="RFS2" s="104"/>
      <c r="RFT2" s="103"/>
      <c r="RFU2" s="104"/>
      <c r="RFV2" s="103"/>
      <c r="RFW2" s="104"/>
      <c r="RFX2" s="103"/>
      <c r="RFY2" s="104"/>
      <c r="RFZ2" s="103"/>
      <c r="RGA2" s="104"/>
      <c r="RGB2" s="103"/>
      <c r="RGC2" s="104"/>
      <c r="RGD2" s="103"/>
      <c r="RGE2" s="104"/>
      <c r="RGF2" s="103"/>
      <c r="RGG2" s="104"/>
      <c r="RGH2" s="103"/>
      <c r="RGI2" s="104"/>
      <c r="RGJ2" s="103"/>
      <c r="RGK2" s="104"/>
      <c r="RGL2" s="103"/>
      <c r="RGM2" s="104"/>
      <c r="RGN2" s="103"/>
      <c r="RGO2" s="104"/>
      <c r="RGP2" s="103"/>
      <c r="RGQ2" s="104"/>
      <c r="RGR2" s="103"/>
      <c r="RGS2" s="104"/>
      <c r="RGT2" s="103"/>
      <c r="RGU2" s="104"/>
      <c r="RGV2" s="103"/>
      <c r="RGW2" s="104"/>
      <c r="RGX2" s="103"/>
      <c r="RGY2" s="104"/>
      <c r="RGZ2" s="103"/>
      <c r="RHA2" s="104"/>
      <c r="RHB2" s="103"/>
      <c r="RHC2" s="104"/>
      <c r="RHD2" s="103"/>
      <c r="RHE2" s="104"/>
      <c r="RHF2" s="103"/>
      <c r="RHG2" s="104"/>
      <c r="RHH2" s="103"/>
      <c r="RHI2" s="104"/>
      <c r="RHJ2" s="103"/>
      <c r="RHK2" s="104"/>
      <c r="RHL2" s="103"/>
      <c r="RHM2" s="104"/>
      <c r="RHN2" s="103"/>
      <c r="RHO2" s="104"/>
      <c r="RHP2" s="103"/>
      <c r="RHQ2" s="104"/>
      <c r="RHR2" s="103"/>
      <c r="RHS2" s="104"/>
      <c r="RHT2" s="103"/>
      <c r="RHU2" s="104"/>
      <c r="RHV2" s="103"/>
      <c r="RHW2" s="104"/>
      <c r="RHX2" s="103"/>
      <c r="RHY2" s="104"/>
      <c r="RHZ2" s="103"/>
      <c r="RIA2" s="104"/>
      <c r="RIB2" s="103"/>
      <c r="RIC2" s="104"/>
      <c r="RID2" s="103"/>
      <c r="RIE2" s="104"/>
      <c r="RIF2" s="103"/>
      <c r="RIG2" s="104"/>
      <c r="RIH2" s="103"/>
      <c r="RII2" s="104"/>
      <c r="RIJ2" s="103"/>
      <c r="RIK2" s="104"/>
      <c r="RIL2" s="103"/>
      <c r="RIM2" s="104"/>
      <c r="RIN2" s="103"/>
      <c r="RIO2" s="104"/>
      <c r="RIP2" s="103"/>
      <c r="RIQ2" s="104"/>
      <c r="RIR2" s="103"/>
      <c r="RIS2" s="104"/>
      <c r="RIT2" s="103"/>
      <c r="RIU2" s="104"/>
      <c r="RIV2" s="103"/>
      <c r="RIW2" s="104"/>
      <c r="RIX2" s="103"/>
      <c r="RIY2" s="104"/>
      <c r="RIZ2" s="103"/>
      <c r="RJA2" s="104"/>
      <c r="RJB2" s="103"/>
      <c r="RJC2" s="104"/>
      <c r="RJD2" s="103"/>
      <c r="RJE2" s="104"/>
      <c r="RJF2" s="103"/>
      <c r="RJG2" s="104"/>
      <c r="RJH2" s="103"/>
      <c r="RJI2" s="104"/>
      <c r="RJJ2" s="103"/>
      <c r="RJK2" s="104"/>
      <c r="RJL2" s="103"/>
      <c r="RJM2" s="104"/>
      <c r="RJN2" s="103"/>
      <c r="RJO2" s="104"/>
      <c r="RJP2" s="103"/>
      <c r="RJQ2" s="104"/>
      <c r="RJR2" s="103"/>
      <c r="RJS2" s="104"/>
      <c r="RJT2" s="103"/>
      <c r="RJU2" s="104"/>
      <c r="RJV2" s="103"/>
      <c r="RJW2" s="104"/>
      <c r="RJX2" s="103"/>
      <c r="RJY2" s="104"/>
      <c r="RJZ2" s="103"/>
      <c r="RKA2" s="104"/>
      <c r="RKB2" s="103"/>
      <c r="RKC2" s="104"/>
      <c r="RKD2" s="103"/>
      <c r="RKE2" s="104"/>
      <c r="RKF2" s="103"/>
      <c r="RKG2" s="104"/>
      <c r="RKH2" s="103"/>
      <c r="RKI2" s="104"/>
      <c r="RKJ2" s="103"/>
      <c r="RKK2" s="104"/>
      <c r="RKL2" s="103"/>
      <c r="RKM2" s="104"/>
      <c r="RKN2" s="103"/>
      <c r="RKO2" s="104"/>
      <c r="RKP2" s="103"/>
      <c r="RKQ2" s="104"/>
      <c r="RKR2" s="103"/>
      <c r="RKS2" s="104"/>
      <c r="RKT2" s="103"/>
      <c r="RKU2" s="104"/>
      <c r="RKV2" s="103"/>
      <c r="RKW2" s="104"/>
      <c r="RKX2" s="103"/>
      <c r="RKY2" s="104"/>
      <c r="RKZ2" s="103"/>
      <c r="RLA2" s="104"/>
      <c r="RLB2" s="103"/>
      <c r="RLC2" s="104"/>
      <c r="RLD2" s="103"/>
      <c r="RLE2" s="104"/>
      <c r="RLF2" s="103"/>
      <c r="RLG2" s="104"/>
      <c r="RLH2" s="103"/>
      <c r="RLI2" s="104"/>
      <c r="RLJ2" s="103"/>
      <c r="RLK2" s="104"/>
      <c r="RLL2" s="103"/>
      <c r="RLM2" s="104"/>
      <c r="RLN2" s="103"/>
      <c r="RLO2" s="104"/>
      <c r="RLP2" s="103"/>
      <c r="RLQ2" s="104"/>
      <c r="RLR2" s="103"/>
      <c r="RLS2" s="104"/>
      <c r="RLT2" s="103"/>
      <c r="RLU2" s="104"/>
      <c r="RLV2" s="103"/>
      <c r="RLW2" s="104"/>
      <c r="RLX2" s="103"/>
      <c r="RLY2" s="104"/>
      <c r="RLZ2" s="103"/>
      <c r="RMA2" s="104"/>
      <c r="RMB2" s="103"/>
      <c r="RMC2" s="104"/>
      <c r="RMD2" s="103"/>
      <c r="RME2" s="104"/>
      <c r="RMF2" s="103"/>
      <c r="RMG2" s="104"/>
      <c r="RMH2" s="103"/>
      <c r="RMI2" s="104"/>
      <c r="RMJ2" s="103"/>
      <c r="RMK2" s="104"/>
      <c r="RML2" s="103"/>
      <c r="RMM2" s="104"/>
      <c r="RMN2" s="103"/>
      <c r="RMO2" s="104"/>
      <c r="RMP2" s="103"/>
      <c r="RMQ2" s="104"/>
      <c r="RMR2" s="103"/>
      <c r="RMS2" s="104"/>
      <c r="RMT2" s="103"/>
      <c r="RMU2" s="104"/>
      <c r="RMV2" s="103"/>
      <c r="RMW2" s="104"/>
      <c r="RMX2" s="103"/>
      <c r="RMY2" s="104"/>
      <c r="RMZ2" s="103"/>
      <c r="RNA2" s="104"/>
      <c r="RNB2" s="103"/>
      <c r="RNC2" s="104"/>
      <c r="RND2" s="103"/>
      <c r="RNE2" s="104"/>
      <c r="RNF2" s="103"/>
      <c r="RNG2" s="104"/>
      <c r="RNH2" s="103"/>
      <c r="RNI2" s="104"/>
      <c r="RNJ2" s="103"/>
      <c r="RNK2" s="104"/>
      <c r="RNL2" s="103"/>
      <c r="RNM2" s="104"/>
      <c r="RNN2" s="103"/>
      <c r="RNO2" s="104"/>
      <c r="RNP2" s="103"/>
      <c r="RNQ2" s="104"/>
      <c r="RNR2" s="103"/>
      <c r="RNS2" s="104"/>
      <c r="RNT2" s="103"/>
      <c r="RNU2" s="104"/>
      <c r="RNV2" s="103"/>
      <c r="RNW2" s="104"/>
      <c r="RNX2" s="103"/>
      <c r="RNY2" s="104"/>
      <c r="RNZ2" s="103"/>
      <c r="ROA2" s="104"/>
      <c r="ROB2" s="103"/>
      <c r="ROC2" s="104"/>
      <c r="ROD2" s="103"/>
      <c r="ROE2" s="104"/>
      <c r="ROF2" s="103"/>
      <c r="ROG2" s="104"/>
      <c r="ROH2" s="103"/>
      <c r="ROI2" s="104"/>
      <c r="ROJ2" s="103"/>
      <c r="ROK2" s="104"/>
      <c r="ROL2" s="103"/>
      <c r="ROM2" s="104"/>
      <c r="RON2" s="103"/>
      <c r="ROO2" s="104"/>
      <c r="ROP2" s="103"/>
      <c r="ROQ2" s="104"/>
      <c r="ROR2" s="103"/>
      <c r="ROS2" s="104"/>
      <c r="ROT2" s="103"/>
      <c r="ROU2" s="104"/>
      <c r="ROV2" s="103"/>
      <c r="ROW2" s="104"/>
      <c r="ROX2" s="103"/>
      <c r="ROY2" s="104"/>
      <c r="ROZ2" s="103"/>
      <c r="RPA2" s="104"/>
      <c r="RPB2" s="103"/>
      <c r="RPC2" s="104"/>
      <c r="RPD2" s="103"/>
      <c r="RPE2" s="104"/>
      <c r="RPF2" s="103"/>
      <c r="RPG2" s="104"/>
      <c r="RPH2" s="103"/>
      <c r="RPI2" s="104"/>
      <c r="RPJ2" s="103"/>
      <c r="RPK2" s="104"/>
      <c r="RPL2" s="103"/>
      <c r="RPM2" s="104"/>
      <c r="RPN2" s="103"/>
      <c r="RPO2" s="104"/>
      <c r="RPP2" s="103"/>
      <c r="RPQ2" s="104"/>
      <c r="RPR2" s="103"/>
      <c r="RPS2" s="104"/>
      <c r="RPT2" s="103"/>
      <c r="RPU2" s="104"/>
      <c r="RPV2" s="103"/>
      <c r="RPW2" s="104"/>
      <c r="RPX2" s="103"/>
      <c r="RPY2" s="104"/>
      <c r="RPZ2" s="103"/>
      <c r="RQA2" s="104"/>
      <c r="RQB2" s="103"/>
      <c r="RQC2" s="104"/>
      <c r="RQD2" s="103"/>
      <c r="RQE2" s="104"/>
      <c r="RQF2" s="103"/>
      <c r="RQG2" s="104"/>
      <c r="RQH2" s="103"/>
      <c r="RQI2" s="104"/>
      <c r="RQJ2" s="103"/>
      <c r="RQK2" s="104"/>
      <c r="RQL2" s="103"/>
      <c r="RQM2" s="104"/>
      <c r="RQN2" s="103"/>
      <c r="RQO2" s="104"/>
      <c r="RQP2" s="103"/>
      <c r="RQQ2" s="104"/>
      <c r="RQR2" s="103"/>
      <c r="RQS2" s="104"/>
      <c r="RQT2" s="103"/>
      <c r="RQU2" s="104"/>
      <c r="RQV2" s="103"/>
      <c r="RQW2" s="104"/>
      <c r="RQX2" s="103"/>
      <c r="RQY2" s="104"/>
      <c r="RQZ2" s="103"/>
      <c r="RRA2" s="104"/>
      <c r="RRB2" s="103"/>
      <c r="RRC2" s="104"/>
      <c r="RRD2" s="103"/>
      <c r="RRE2" s="104"/>
      <c r="RRF2" s="103"/>
      <c r="RRG2" s="104"/>
      <c r="RRH2" s="103"/>
      <c r="RRI2" s="104"/>
      <c r="RRJ2" s="103"/>
      <c r="RRK2" s="104"/>
      <c r="RRL2" s="103"/>
      <c r="RRM2" s="104"/>
      <c r="RRN2" s="103"/>
      <c r="RRO2" s="104"/>
      <c r="RRP2" s="103"/>
      <c r="RRQ2" s="104"/>
      <c r="RRR2" s="103"/>
      <c r="RRS2" s="104"/>
      <c r="RRT2" s="103"/>
      <c r="RRU2" s="104"/>
      <c r="RRV2" s="103"/>
      <c r="RRW2" s="104"/>
      <c r="RRX2" s="103"/>
      <c r="RRY2" s="104"/>
      <c r="RRZ2" s="103"/>
      <c r="RSA2" s="104"/>
      <c r="RSB2" s="103"/>
      <c r="RSC2" s="104"/>
      <c r="RSD2" s="103"/>
      <c r="RSE2" s="104"/>
      <c r="RSF2" s="103"/>
      <c r="RSG2" s="104"/>
      <c r="RSH2" s="103"/>
      <c r="RSI2" s="104"/>
      <c r="RSJ2" s="103"/>
      <c r="RSK2" s="104"/>
      <c r="RSL2" s="103"/>
      <c r="RSM2" s="104"/>
      <c r="RSN2" s="103"/>
      <c r="RSO2" s="104"/>
      <c r="RSP2" s="103"/>
      <c r="RSQ2" s="104"/>
      <c r="RSR2" s="103"/>
      <c r="RSS2" s="104"/>
      <c r="RST2" s="103"/>
      <c r="RSU2" s="104"/>
      <c r="RSV2" s="103"/>
      <c r="RSW2" s="104"/>
      <c r="RSX2" s="103"/>
      <c r="RSY2" s="104"/>
      <c r="RSZ2" s="103"/>
      <c r="RTA2" s="104"/>
      <c r="RTB2" s="103"/>
      <c r="RTC2" s="104"/>
      <c r="RTD2" s="103"/>
      <c r="RTE2" s="104"/>
      <c r="RTF2" s="103"/>
      <c r="RTG2" s="104"/>
      <c r="RTH2" s="103"/>
      <c r="RTI2" s="104"/>
      <c r="RTJ2" s="103"/>
      <c r="RTK2" s="104"/>
      <c r="RTL2" s="103"/>
      <c r="RTM2" s="104"/>
      <c r="RTN2" s="103"/>
      <c r="RTO2" s="104"/>
      <c r="RTP2" s="103"/>
      <c r="RTQ2" s="104"/>
      <c r="RTR2" s="103"/>
      <c r="RTS2" s="104"/>
      <c r="RTT2" s="103"/>
      <c r="RTU2" s="104"/>
      <c r="RTV2" s="103"/>
      <c r="RTW2" s="104"/>
      <c r="RTX2" s="103"/>
      <c r="RTY2" s="104"/>
      <c r="RTZ2" s="103"/>
      <c r="RUA2" s="104"/>
      <c r="RUB2" s="103"/>
      <c r="RUC2" s="104"/>
      <c r="RUD2" s="103"/>
      <c r="RUE2" s="104"/>
      <c r="RUF2" s="103"/>
      <c r="RUG2" s="104"/>
      <c r="RUH2" s="103"/>
      <c r="RUI2" s="104"/>
      <c r="RUJ2" s="103"/>
      <c r="RUK2" s="104"/>
      <c r="RUL2" s="103"/>
      <c r="RUM2" s="104"/>
      <c r="RUN2" s="103"/>
      <c r="RUO2" s="104"/>
      <c r="RUP2" s="103"/>
      <c r="RUQ2" s="104"/>
      <c r="RUR2" s="103"/>
      <c r="RUS2" s="104"/>
      <c r="RUT2" s="103"/>
      <c r="RUU2" s="104"/>
      <c r="RUV2" s="103"/>
      <c r="RUW2" s="104"/>
      <c r="RUX2" s="103"/>
      <c r="RUY2" s="104"/>
      <c r="RUZ2" s="103"/>
      <c r="RVA2" s="104"/>
      <c r="RVB2" s="103"/>
      <c r="RVC2" s="104"/>
      <c r="RVD2" s="103"/>
      <c r="RVE2" s="104"/>
      <c r="RVF2" s="103"/>
      <c r="RVG2" s="104"/>
      <c r="RVH2" s="103"/>
      <c r="RVI2" s="104"/>
      <c r="RVJ2" s="103"/>
      <c r="RVK2" s="104"/>
      <c r="RVL2" s="103"/>
      <c r="RVM2" s="104"/>
      <c r="RVN2" s="103"/>
      <c r="RVO2" s="104"/>
      <c r="RVP2" s="103"/>
      <c r="RVQ2" s="104"/>
      <c r="RVR2" s="103"/>
      <c r="RVS2" s="104"/>
      <c r="RVT2" s="103"/>
      <c r="RVU2" s="104"/>
      <c r="RVV2" s="103"/>
      <c r="RVW2" s="104"/>
      <c r="RVX2" s="103"/>
      <c r="RVY2" s="104"/>
      <c r="RVZ2" s="103"/>
      <c r="RWA2" s="104"/>
      <c r="RWB2" s="103"/>
      <c r="RWC2" s="104"/>
      <c r="RWD2" s="103"/>
      <c r="RWE2" s="104"/>
      <c r="RWF2" s="103"/>
      <c r="RWG2" s="104"/>
      <c r="RWH2" s="103"/>
      <c r="RWI2" s="104"/>
      <c r="RWJ2" s="103"/>
      <c r="RWK2" s="104"/>
      <c r="RWL2" s="103"/>
      <c r="RWM2" s="104"/>
      <c r="RWN2" s="103"/>
      <c r="RWO2" s="104"/>
      <c r="RWP2" s="103"/>
      <c r="RWQ2" s="104"/>
      <c r="RWR2" s="103"/>
      <c r="RWS2" s="104"/>
      <c r="RWT2" s="103"/>
      <c r="RWU2" s="104"/>
      <c r="RWV2" s="103"/>
      <c r="RWW2" s="104"/>
      <c r="RWX2" s="103"/>
      <c r="RWY2" s="104"/>
      <c r="RWZ2" s="103"/>
      <c r="RXA2" s="104"/>
      <c r="RXB2" s="103"/>
      <c r="RXC2" s="104"/>
      <c r="RXD2" s="103"/>
      <c r="RXE2" s="104"/>
      <c r="RXF2" s="103"/>
      <c r="RXG2" s="104"/>
      <c r="RXH2" s="103"/>
      <c r="RXI2" s="104"/>
      <c r="RXJ2" s="103"/>
      <c r="RXK2" s="104"/>
      <c r="RXL2" s="103"/>
      <c r="RXM2" s="104"/>
      <c r="RXN2" s="103"/>
      <c r="RXO2" s="104"/>
      <c r="RXP2" s="103"/>
      <c r="RXQ2" s="104"/>
      <c r="RXR2" s="103"/>
      <c r="RXS2" s="104"/>
      <c r="RXT2" s="103"/>
      <c r="RXU2" s="104"/>
      <c r="RXV2" s="103"/>
      <c r="RXW2" s="104"/>
      <c r="RXX2" s="103"/>
      <c r="RXY2" s="104"/>
      <c r="RXZ2" s="103"/>
      <c r="RYA2" s="104"/>
      <c r="RYB2" s="103"/>
      <c r="RYC2" s="104"/>
      <c r="RYD2" s="103"/>
      <c r="RYE2" s="104"/>
      <c r="RYF2" s="103"/>
      <c r="RYG2" s="104"/>
      <c r="RYH2" s="103"/>
      <c r="RYI2" s="104"/>
      <c r="RYJ2" s="103"/>
      <c r="RYK2" s="104"/>
      <c r="RYL2" s="103"/>
      <c r="RYM2" s="104"/>
      <c r="RYN2" s="103"/>
      <c r="RYO2" s="104"/>
      <c r="RYP2" s="103"/>
      <c r="RYQ2" s="104"/>
      <c r="RYR2" s="103"/>
      <c r="RYS2" s="104"/>
      <c r="RYT2" s="103"/>
      <c r="RYU2" s="104"/>
      <c r="RYV2" s="103"/>
      <c r="RYW2" s="104"/>
      <c r="RYX2" s="103"/>
      <c r="RYY2" s="104"/>
      <c r="RYZ2" s="103"/>
      <c r="RZA2" s="104"/>
      <c r="RZB2" s="103"/>
      <c r="RZC2" s="104"/>
      <c r="RZD2" s="103"/>
      <c r="RZE2" s="104"/>
      <c r="RZF2" s="103"/>
      <c r="RZG2" s="104"/>
      <c r="RZH2" s="103"/>
      <c r="RZI2" s="104"/>
      <c r="RZJ2" s="103"/>
      <c r="RZK2" s="104"/>
      <c r="RZL2" s="103"/>
      <c r="RZM2" s="104"/>
      <c r="RZN2" s="103"/>
      <c r="RZO2" s="104"/>
      <c r="RZP2" s="103"/>
      <c r="RZQ2" s="104"/>
      <c r="RZR2" s="103"/>
      <c r="RZS2" s="104"/>
      <c r="RZT2" s="103"/>
      <c r="RZU2" s="104"/>
      <c r="RZV2" s="103"/>
      <c r="RZW2" s="104"/>
      <c r="RZX2" s="103"/>
      <c r="RZY2" s="104"/>
      <c r="RZZ2" s="103"/>
      <c r="SAA2" s="104"/>
      <c r="SAB2" s="103"/>
      <c r="SAC2" s="104"/>
      <c r="SAD2" s="103"/>
      <c r="SAE2" s="104"/>
      <c r="SAF2" s="103"/>
      <c r="SAG2" s="104"/>
      <c r="SAH2" s="103"/>
      <c r="SAI2" s="104"/>
      <c r="SAJ2" s="103"/>
      <c r="SAK2" s="104"/>
      <c r="SAL2" s="103"/>
      <c r="SAM2" s="104"/>
      <c r="SAN2" s="103"/>
      <c r="SAO2" s="104"/>
      <c r="SAP2" s="103"/>
      <c r="SAQ2" s="104"/>
      <c r="SAR2" s="103"/>
      <c r="SAS2" s="104"/>
      <c r="SAT2" s="103"/>
      <c r="SAU2" s="104"/>
      <c r="SAV2" s="103"/>
      <c r="SAW2" s="104"/>
      <c r="SAX2" s="103"/>
      <c r="SAY2" s="104"/>
      <c r="SAZ2" s="103"/>
      <c r="SBA2" s="104"/>
      <c r="SBB2" s="103"/>
      <c r="SBC2" s="104"/>
      <c r="SBD2" s="103"/>
      <c r="SBE2" s="104"/>
      <c r="SBF2" s="103"/>
      <c r="SBG2" s="104"/>
      <c r="SBH2" s="103"/>
      <c r="SBI2" s="104"/>
      <c r="SBJ2" s="103"/>
      <c r="SBK2" s="104"/>
      <c r="SBL2" s="103"/>
      <c r="SBM2" s="104"/>
      <c r="SBN2" s="103"/>
      <c r="SBO2" s="104"/>
      <c r="SBP2" s="103"/>
      <c r="SBQ2" s="104"/>
      <c r="SBR2" s="103"/>
      <c r="SBS2" s="104"/>
      <c r="SBT2" s="103"/>
      <c r="SBU2" s="104"/>
      <c r="SBV2" s="103"/>
      <c r="SBW2" s="104"/>
      <c r="SBX2" s="103"/>
      <c r="SBY2" s="104"/>
      <c r="SBZ2" s="103"/>
      <c r="SCA2" s="104"/>
      <c r="SCB2" s="103"/>
      <c r="SCC2" s="104"/>
      <c r="SCD2" s="103"/>
      <c r="SCE2" s="104"/>
      <c r="SCF2" s="103"/>
      <c r="SCG2" s="104"/>
      <c r="SCH2" s="103"/>
      <c r="SCI2" s="104"/>
      <c r="SCJ2" s="103"/>
      <c r="SCK2" s="104"/>
      <c r="SCL2" s="103"/>
      <c r="SCM2" s="104"/>
      <c r="SCN2" s="103"/>
      <c r="SCO2" s="104"/>
      <c r="SCP2" s="103"/>
      <c r="SCQ2" s="104"/>
      <c r="SCR2" s="103"/>
      <c r="SCS2" s="104"/>
      <c r="SCT2" s="103"/>
      <c r="SCU2" s="104"/>
      <c r="SCV2" s="103"/>
      <c r="SCW2" s="104"/>
      <c r="SCX2" s="103"/>
      <c r="SCY2" s="104"/>
      <c r="SCZ2" s="103"/>
      <c r="SDA2" s="104"/>
      <c r="SDB2" s="103"/>
      <c r="SDC2" s="104"/>
      <c r="SDD2" s="103"/>
      <c r="SDE2" s="104"/>
      <c r="SDF2" s="103"/>
      <c r="SDG2" s="104"/>
      <c r="SDH2" s="103"/>
      <c r="SDI2" s="104"/>
      <c r="SDJ2" s="103"/>
      <c r="SDK2" s="104"/>
      <c r="SDL2" s="103"/>
      <c r="SDM2" s="104"/>
      <c r="SDN2" s="103"/>
      <c r="SDO2" s="104"/>
      <c r="SDP2" s="103"/>
      <c r="SDQ2" s="104"/>
      <c r="SDR2" s="103"/>
      <c r="SDS2" s="104"/>
      <c r="SDT2" s="103"/>
      <c r="SDU2" s="104"/>
      <c r="SDV2" s="103"/>
      <c r="SDW2" s="104"/>
      <c r="SDX2" s="103"/>
      <c r="SDY2" s="104"/>
      <c r="SDZ2" s="103"/>
      <c r="SEA2" s="104"/>
      <c r="SEB2" s="103"/>
      <c r="SEC2" s="104"/>
      <c r="SED2" s="103"/>
      <c r="SEE2" s="104"/>
      <c r="SEF2" s="103"/>
      <c r="SEG2" s="104"/>
      <c r="SEH2" s="103"/>
      <c r="SEI2" s="104"/>
      <c r="SEJ2" s="103"/>
      <c r="SEK2" s="104"/>
      <c r="SEL2" s="103"/>
      <c r="SEM2" s="104"/>
      <c r="SEN2" s="103"/>
      <c r="SEO2" s="104"/>
      <c r="SEP2" s="103"/>
      <c r="SEQ2" s="104"/>
      <c r="SER2" s="103"/>
      <c r="SES2" s="104"/>
      <c r="SET2" s="103"/>
      <c r="SEU2" s="104"/>
      <c r="SEV2" s="103"/>
      <c r="SEW2" s="104"/>
      <c r="SEX2" s="103"/>
      <c r="SEY2" s="104"/>
      <c r="SEZ2" s="103"/>
      <c r="SFA2" s="104"/>
      <c r="SFB2" s="103"/>
      <c r="SFC2" s="104"/>
      <c r="SFD2" s="103"/>
      <c r="SFE2" s="104"/>
      <c r="SFF2" s="103"/>
      <c r="SFG2" s="104"/>
      <c r="SFH2" s="103"/>
      <c r="SFI2" s="104"/>
      <c r="SFJ2" s="103"/>
      <c r="SFK2" s="104"/>
      <c r="SFL2" s="103"/>
      <c r="SFM2" s="104"/>
      <c r="SFN2" s="103"/>
      <c r="SFO2" s="104"/>
      <c r="SFP2" s="103"/>
      <c r="SFQ2" s="104"/>
      <c r="SFR2" s="103"/>
      <c r="SFS2" s="104"/>
      <c r="SFT2" s="103"/>
      <c r="SFU2" s="104"/>
      <c r="SFV2" s="103"/>
      <c r="SFW2" s="104"/>
      <c r="SFX2" s="103"/>
      <c r="SFY2" s="104"/>
      <c r="SFZ2" s="103"/>
      <c r="SGA2" s="104"/>
      <c r="SGB2" s="103"/>
      <c r="SGC2" s="104"/>
      <c r="SGD2" s="103"/>
      <c r="SGE2" s="104"/>
      <c r="SGF2" s="103"/>
      <c r="SGG2" s="104"/>
      <c r="SGH2" s="103"/>
      <c r="SGI2" s="104"/>
      <c r="SGJ2" s="103"/>
      <c r="SGK2" s="104"/>
      <c r="SGL2" s="103"/>
      <c r="SGM2" s="104"/>
      <c r="SGN2" s="103"/>
      <c r="SGO2" s="104"/>
      <c r="SGP2" s="103"/>
      <c r="SGQ2" s="104"/>
      <c r="SGR2" s="103"/>
      <c r="SGS2" s="104"/>
      <c r="SGT2" s="103"/>
      <c r="SGU2" s="104"/>
      <c r="SGV2" s="103"/>
      <c r="SGW2" s="104"/>
      <c r="SGX2" s="103"/>
      <c r="SGY2" s="104"/>
      <c r="SGZ2" s="103"/>
      <c r="SHA2" s="104"/>
      <c r="SHB2" s="103"/>
      <c r="SHC2" s="104"/>
      <c r="SHD2" s="103"/>
      <c r="SHE2" s="104"/>
      <c r="SHF2" s="103"/>
      <c r="SHG2" s="104"/>
      <c r="SHH2" s="103"/>
      <c r="SHI2" s="104"/>
      <c r="SHJ2" s="103"/>
      <c r="SHK2" s="104"/>
      <c r="SHL2" s="103"/>
      <c r="SHM2" s="104"/>
      <c r="SHN2" s="103"/>
      <c r="SHO2" s="104"/>
      <c r="SHP2" s="103"/>
      <c r="SHQ2" s="104"/>
      <c r="SHR2" s="103"/>
      <c r="SHS2" s="104"/>
      <c r="SHT2" s="103"/>
      <c r="SHU2" s="104"/>
      <c r="SHV2" s="103"/>
      <c r="SHW2" s="104"/>
      <c r="SHX2" s="103"/>
      <c r="SHY2" s="104"/>
      <c r="SHZ2" s="103"/>
      <c r="SIA2" s="104"/>
      <c r="SIB2" s="103"/>
      <c r="SIC2" s="104"/>
      <c r="SID2" s="103"/>
      <c r="SIE2" s="104"/>
      <c r="SIF2" s="103"/>
      <c r="SIG2" s="104"/>
      <c r="SIH2" s="103"/>
      <c r="SII2" s="104"/>
      <c r="SIJ2" s="103"/>
      <c r="SIK2" s="104"/>
      <c r="SIL2" s="103"/>
      <c r="SIM2" s="104"/>
      <c r="SIN2" s="103"/>
      <c r="SIO2" s="104"/>
      <c r="SIP2" s="103"/>
      <c r="SIQ2" s="104"/>
      <c r="SIR2" s="103"/>
      <c r="SIS2" s="104"/>
      <c r="SIT2" s="103"/>
      <c r="SIU2" s="104"/>
      <c r="SIV2" s="103"/>
      <c r="SIW2" s="104"/>
      <c r="SIX2" s="103"/>
      <c r="SIY2" s="104"/>
      <c r="SIZ2" s="103"/>
      <c r="SJA2" s="104"/>
      <c r="SJB2" s="103"/>
      <c r="SJC2" s="104"/>
      <c r="SJD2" s="103"/>
      <c r="SJE2" s="104"/>
      <c r="SJF2" s="103"/>
      <c r="SJG2" s="104"/>
      <c r="SJH2" s="103"/>
      <c r="SJI2" s="104"/>
      <c r="SJJ2" s="103"/>
      <c r="SJK2" s="104"/>
      <c r="SJL2" s="103"/>
      <c r="SJM2" s="104"/>
      <c r="SJN2" s="103"/>
      <c r="SJO2" s="104"/>
      <c r="SJP2" s="103"/>
      <c r="SJQ2" s="104"/>
      <c r="SJR2" s="103"/>
      <c r="SJS2" s="104"/>
      <c r="SJT2" s="103"/>
      <c r="SJU2" s="104"/>
      <c r="SJV2" s="103"/>
      <c r="SJW2" s="104"/>
      <c r="SJX2" s="103"/>
      <c r="SJY2" s="104"/>
      <c r="SJZ2" s="103"/>
      <c r="SKA2" s="104"/>
      <c r="SKB2" s="103"/>
      <c r="SKC2" s="104"/>
      <c r="SKD2" s="103"/>
      <c r="SKE2" s="104"/>
      <c r="SKF2" s="103"/>
      <c r="SKG2" s="104"/>
      <c r="SKH2" s="103"/>
      <c r="SKI2" s="104"/>
      <c r="SKJ2" s="103"/>
      <c r="SKK2" s="104"/>
      <c r="SKL2" s="103"/>
      <c r="SKM2" s="104"/>
      <c r="SKN2" s="103"/>
      <c r="SKO2" s="104"/>
      <c r="SKP2" s="103"/>
      <c r="SKQ2" s="104"/>
      <c r="SKR2" s="103"/>
      <c r="SKS2" s="104"/>
      <c r="SKT2" s="103"/>
      <c r="SKU2" s="104"/>
      <c r="SKV2" s="103"/>
      <c r="SKW2" s="104"/>
      <c r="SKX2" s="103"/>
      <c r="SKY2" s="104"/>
      <c r="SKZ2" s="103"/>
      <c r="SLA2" s="104"/>
      <c r="SLB2" s="103"/>
      <c r="SLC2" s="104"/>
      <c r="SLD2" s="103"/>
      <c r="SLE2" s="104"/>
      <c r="SLF2" s="103"/>
      <c r="SLG2" s="104"/>
      <c r="SLH2" s="103"/>
      <c r="SLI2" s="104"/>
      <c r="SLJ2" s="103"/>
      <c r="SLK2" s="104"/>
      <c r="SLL2" s="103"/>
      <c r="SLM2" s="104"/>
      <c r="SLN2" s="103"/>
      <c r="SLO2" s="104"/>
      <c r="SLP2" s="103"/>
      <c r="SLQ2" s="104"/>
      <c r="SLR2" s="103"/>
      <c r="SLS2" s="104"/>
      <c r="SLT2" s="103"/>
      <c r="SLU2" s="104"/>
      <c r="SLV2" s="103"/>
      <c r="SLW2" s="104"/>
      <c r="SLX2" s="103"/>
      <c r="SLY2" s="104"/>
      <c r="SLZ2" s="103"/>
      <c r="SMA2" s="104"/>
      <c r="SMB2" s="103"/>
      <c r="SMC2" s="104"/>
      <c r="SMD2" s="103"/>
      <c r="SME2" s="104"/>
      <c r="SMF2" s="103"/>
      <c r="SMG2" s="104"/>
      <c r="SMH2" s="103"/>
      <c r="SMI2" s="104"/>
      <c r="SMJ2" s="103"/>
      <c r="SMK2" s="104"/>
      <c r="SML2" s="103"/>
      <c r="SMM2" s="104"/>
      <c r="SMN2" s="103"/>
      <c r="SMO2" s="104"/>
      <c r="SMP2" s="103"/>
      <c r="SMQ2" s="104"/>
      <c r="SMR2" s="103"/>
      <c r="SMS2" s="104"/>
      <c r="SMT2" s="103"/>
      <c r="SMU2" s="104"/>
      <c r="SMV2" s="103"/>
      <c r="SMW2" s="104"/>
      <c r="SMX2" s="103"/>
      <c r="SMY2" s="104"/>
      <c r="SMZ2" s="103"/>
      <c r="SNA2" s="104"/>
      <c r="SNB2" s="103"/>
      <c r="SNC2" s="104"/>
      <c r="SND2" s="103"/>
      <c r="SNE2" s="104"/>
      <c r="SNF2" s="103"/>
      <c r="SNG2" s="104"/>
      <c r="SNH2" s="103"/>
      <c r="SNI2" s="104"/>
      <c r="SNJ2" s="103"/>
      <c r="SNK2" s="104"/>
      <c r="SNL2" s="103"/>
      <c r="SNM2" s="104"/>
      <c r="SNN2" s="103"/>
      <c r="SNO2" s="104"/>
      <c r="SNP2" s="103"/>
      <c r="SNQ2" s="104"/>
      <c r="SNR2" s="103"/>
      <c r="SNS2" s="104"/>
      <c r="SNT2" s="103"/>
      <c r="SNU2" s="104"/>
      <c r="SNV2" s="103"/>
      <c r="SNW2" s="104"/>
      <c r="SNX2" s="103"/>
      <c r="SNY2" s="104"/>
      <c r="SNZ2" s="103"/>
      <c r="SOA2" s="104"/>
      <c r="SOB2" s="103"/>
      <c r="SOC2" s="104"/>
      <c r="SOD2" s="103"/>
      <c r="SOE2" s="104"/>
      <c r="SOF2" s="103"/>
      <c r="SOG2" s="104"/>
      <c r="SOH2" s="103"/>
      <c r="SOI2" s="104"/>
      <c r="SOJ2" s="103"/>
      <c r="SOK2" s="104"/>
      <c r="SOL2" s="103"/>
      <c r="SOM2" s="104"/>
      <c r="SON2" s="103"/>
      <c r="SOO2" s="104"/>
      <c r="SOP2" s="103"/>
      <c r="SOQ2" s="104"/>
      <c r="SOR2" s="103"/>
      <c r="SOS2" s="104"/>
      <c r="SOT2" s="103"/>
      <c r="SOU2" s="104"/>
      <c r="SOV2" s="103"/>
      <c r="SOW2" s="104"/>
      <c r="SOX2" s="103"/>
      <c r="SOY2" s="104"/>
      <c r="SOZ2" s="103"/>
      <c r="SPA2" s="104"/>
      <c r="SPB2" s="103"/>
      <c r="SPC2" s="104"/>
      <c r="SPD2" s="103"/>
      <c r="SPE2" s="104"/>
      <c r="SPF2" s="103"/>
      <c r="SPG2" s="104"/>
      <c r="SPH2" s="103"/>
      <c r="SPI2" s="104"/>
      <c r="SPJ2" s="103"/>
      <c r="SPK2" s="104"/>
      <c r="SPL2" s="103"/>
      <c r="SPM2" s="104"/>
      <c r="SPN2" s="103"/>
      <c r="SPO2" s="104"/>
      <c r="SPP2" s="103"/>
      <c r="SPQ2" s="104"/>
      <c r="SPR2" s="103"/>
      <c r="SPS2" s="104"/>
      <c r="SPT2" s="103"/>
      <c r="SPU2" s="104"/>
      <c r="SPV2" s="103"/>
      <c r="SPW2" s="104"/>
      <c r="SPX2" s="103"/>
      <c r="SPY2" s="104"/>
      <c r="SPZ2" s="103"/>
      <c r="SQA2" s="104"/>
      <c r="SQB2" s="103"/>
      <c r="SQC2" s="104"/>
      <c r="SQD2" s="103"/>
      <c r="SQE2" s="104"/>
      <c r="SQF2" s="103"/>
      <c r="SQG2" s="104"/>
      <c r="SQH2" s="103"/>
      <c r="SQI2" s="104"/>
      <c r="SQJ2" s="103"/>
      <c r="SQK2" s="104"/>
      <c r="SQL2" s="103"/>
      <c r="SQM2" s="104"/>
      <c r="SQN2" s="103"/>
      <c r="SQO2" s="104"/>
      <c r="SQP2" s="103"/>
      <c r="SQQ2" s="104"/>
      <c r="SQR2" s="103"/>
      <c r="SQS2" s="104"/>
      <c r="SQT2" s="103"/>
      <c r="SQU2" s="104"/>
      <c r="SQV2" s="103"/>
      <c r="SQW2" s="104"/>
      <c r="SQX2" s="103"/>
      <c r="SQY2" s="104"/>
      <c r="SQZ2" s="103"/>
      <c r="SRA2" s="104"/>
      <c r="SRB2" s="103"/>
      <c r="SRC2" s="104"/>
      <c r="SRD2" s="103"/>
      <c r="SRE2" s="104"/>
      <c r="SRF2" s="103"/>
      <c r="SRG2" s="104"/>
      <c r="SRH2" s="103"/>
      <c r="SRI2" s="104"/>
      <c r="SRJ2" s="103"/>
      <c r="SRK2" s="104"/>
      <c r="SRL2" s="103"/>
      <c r="SRM2" s="104"/>
      <c r="SRN2" s="103"/>
      <c r="SRO2" s="104"/>
      <c r="SRP2" s="103"/>
      <c r="SRQ2" s="104"/>
      <c r="SRR2" s="103"/>
      <c r="SRS2" s="104"/>
      <c r="SRT2" s="103"/>
      <c r="SRU2" s="104"/>
      <c r="SRV2" s="103"/>
      <c r="SRW2" s="104"/>
      <c r="SRX2" s="103"/>
      <c r="SRY2" s="104"/>
      <c r="SRZ2" s="103"/>
      <c r="SSA2" s="104"/>
      <c r="SSB2" s="103"/>
      <c r="SSC2" s="104"/>
      <c r="SSD2" s="103"/>
      <c r="SSE2" s="104"/>
      <c r="SSF2" s="103"/>
      <c r="SSG2" s="104"/>
      <c r="SSH2" s="103"/>
      <c r="SSI2" s="104"/>
      <c r="SSJ2" s="103"/>
      <c r="SSK2" s="104"/>
      <c r="SSL2" s="103"/>
      <c r="SSM2" s="104"/>
      <c r="SSN2" s="103"/>
      <c r="SSO2" s="104"/>
      <c r="SSP2" s="103"/>
      <c r="SSQ2" s="104"/>
      <c r="SSR2" s="103"/>
      <c r="SSS2" s="104"/>
      <c r="SST2" s="103"/>
      <c r="SSU2" s="104"/>
      <c r="SSV2" s="103"/>
      <c r="SSW2" s="104"/>
      <c r="SSX2" s="103"/>
      <c r="SSY2" s="104"/>
      <c r="SSZ2" s="103"/>
      <c r="STA2" s="104"/>
      <c r="STB2" s="103"/>
      <c r="STC2" s="104"/>
      <c r="STD2" s="103"/>
      <c r="STE2" s="104"/>
      <c r="STF2" s="103"/>
      <c r="STG2" s="104"/>
      <c r="STH2" s="103"/>
      <c r="STI2" s="104"/>
      <c r="STJ2" s="103"/>
      <c r="STK2" s="104"/>
      <c r="STL2" s="103"/>
      <c r="STM2" s="104"/>
      <c r="STN2" s="103"/>
      <c r="STO2" s="104"/>
      <c r="STP2" s="103"/>
      <c r="STQ2" s="104"/>
      <c r="STR2" s="103"/>
      <c r="STS2" s="104"/>
      <c r="STT2" s="103"/>
      <c r="STU2" s="104"/>
      <c r="STV2" s="103"/>
      <c r="STW2" s="104"/>
      <c r="STX2" s="103"/>
      <c r="STY2" s="104"/>
      <c r="STZ2" s="103"/>
      <c r="SUA2" s="104"/>
      <c r="SUB2" s="103"/>
      <c r="SUC2" s="104"/>
      <c r="SUD2" s="103"/>
      <c r="SUE2" s="104"/>
      <c r="SUF2" s="103"/>
      <c r="SUG2" s="104"/>
      <c r="SUH2" s="103"/>
      <c r="SUI2" s="104"/>
      <c r="SUJ2" s="103"/>
      <c r="SUK2" s="104"/>
      <c r="SUL2" s="103"/>
      <c r="SUM2" s="104"/>
      <c r="SUN2" s="103"/>
      <c r="SUO2" s="104"/>
      <c r="SUP2" s="103"/>
      <c r="SUQ2" s="104"/>
      <c r="SUR2" s="103"/>
      <c r="SUS2" s="104"/>
      <c r="SUT2" s="103"/>
      <c r="SUU2" s="104"/>
      <c r="SUV2" s="103"/>
      <c r="SUW2" s="104"/>
      <c r="SUX2" s="103"/>
      <c r="SUY2" s="104"/>
      <c r="SUZ2" s="103"/>
      <c r="SVA2" s="104"/>
      <c r="SVB2" s="103"/>
      <c r="SVC2" s="104"/>
      <c r="SVD2" s="103"/>
      <c r="SVE2" s="104"/>
      <c r="SVF2" s="103"/>
      <c r="SVG2" s="104"/>
      <c r="SVH2" s="103"/>
      <c r="SVI2" s="104"/>
      <c r="SVJ2" s="103"/>
      <c r="SVK2" s="104"/>
      <c r="SVL2" s="103"/>
      <c r="SVM2" s="104"/>
      <c r="SVN2" s="103"/>
      <c r="SVO2" s="104"/>
      <c r="SVP2" s="103"/>
      <c r="SVQ2" s="104"/>
      <c r="SVR2" s="103"/>
      <c r="SVS2" s="104"/>
      <c r="SVT2" s="103"/>
      <c r="SVU2" s="104"/>
      <c r="SVV2" s="103"/>
      <c r="SVW2" s="104"/>
      <c r="SVX2" s="103"/>
      <c r="SVY2" s="104"/>
      <c r="SVZ2" s="103"/>
      <c r="SWA2" s="104"/>
      <c r="SWB2" s="103"/>
      <c r="SWC2" s="104"/>
      <c r="SWD2" s="103"/>
      <c r="SWE2" s="104"/>
      <c r="SWF2" s="103"/>
      <c r="SWG2" s="104"/>
      <c r="SWH2" s="103"/>
      <c r="SWI2" s="104"/>
      <c r="SWJ2" s="103"/>
      <c r="SWK2" s="104"/>
      <c r="SWL2" s="103"/>
      <c r="SWM2" s="104"/>
      <c r="SWN2" s="103"/>
      <c r="SWO2" s="104"/>
      <c r="SWP2" s="103"/>
      <c r="SWQ2" s="104"/>
      <c r="SWR2" s="103"/>
      <c r="SWS2" s="104"/>
      <c r="SWT2" s="103"/>
      <c r="SWU2" s="104"/>
      <c r="SWV2" s="103"/>
      <c r="SWW2" s="104"/>
      <c r="SWX2" s="103"/>
      <c r="SWY2" s="104"/>
      <c r="SWZ2" s="103"/>
      <c r="SXA2" s="104"/>
      <c r="SXB2" s="103"/>
      <c r="SXC2" s="104"/>
      <c r="SXD2" s="103"/>
      <c r="SXE2" s="104"/>
      <c r="SXF2" s="103"/>
      <c r="SXG2" s="104"/>
      <c r="SXH2" s="103"/>
      <c r="SXI2" s="104"/>
      <c r="SXJ2" s="103"/>
      <c r="SXK2" s="104"/>
      <c r="SXL2" s="103"/>
      <c r="SXM2" s="104"/>
      <c r="SXN2" s="103"/>
      <c r="SXO2" s="104"/>
      <c r="SXP2" s="103"/>
      <c r="SXQ2" s="104"/>
      <c r="SXR2" s="103"/>
      <c r="SXS2" s="104"/>
      <c r="SXT2" s="103"/>
      <c r="SXU2" s="104"/>
      <c r="SXV2" s="103"/>
      <c r="SXW2" s="104"/>
      <c r="SXX2" s="103"/>
      <c r="SXY2" s="104"/>
      <c r="SXZ2" s="103"/>
      <c r="SYA2" s="104"/>
      <c r="SYB2" s="103"/>
      <c r="SYC2" s="104"/>
      <c r="SYD2" s="103"/>
      <c r="SYE2" s="104"/>
      <c r="SYF2" s="103"/>
      <c r="SYG2" s="104"/>
      <c r="SYH2" s="103"/>
      <c r="SYI2" s="104"/>
      <c r="SYJ2" s="103"/>
      <c r="SYK2" s="104"/>
      <c r="SYL2" s="103"/>
      <c r="SYM2" s="104"/>
      <c r="SYN2" s="103"/>
      <c r="SYO2" s="104"/>
      <c r="SYP2" s="103"/>
      <c r="SYQ2" s="104"/>
      <c r="SYR2" s="103"/>
      <c r="SYS2" s="104"/>
      <c r="SYT2" s="103"/>
      <c r="SYU2" s="104"/>
      <c r="SYV2" s="103"/>
      <c r="SYW2" s="104"/>
      <c r="SYX2" s="103"/>
      <c r="SYY2" s="104"/>
      <c r="SYZ2" s="103"/>
      <c r="SZA2" s="104"/>
      <c r="SZB2" s="103"/>
      <c r="SZC2" s="104"/>
      <c r="SZD2" s="103"/>
      <c r="SZE2" s="104"/>
      <c r="SZF2" s="103"/>
      <c r="SZG2" s="104"/>
      <c r="SZH2" s="103"/>
      <c r="SZI2" s="104"/>
      <c r="SZJ2" s="103"/>
      <c r="SZK2" s="104"/>
      <c r="SZL2" s="103"/>
      <c r="SZM2" s="104"/>
      <c r="SZN2" s="103"/>
      <c r="SZO2" s="104"/>
      <c r="SZP2" s="103"/>
      <c r="SZQ2" s="104"/>
      <c r="SZR2" s="103"/>
      <c r="SZS2" s="104"/>
      <c r="SZT2" s="103"/>
      <c r="SZU2" s="104"/>
      <c r="SZV2" s="103"/>
      <c r="SZW2" s="104"/>
      <c r="SZX2" s="103"/>
      <c r="SZY2" s="104"/>
      <c r="SZZ2" s="103"/>
      <c r="TAA2" s="104"/>
      <c r="TAB2" s="103"/>
      <c r="TAC2" s="104"/>
      <c r="TAD2" s="103"/>
      <c r="TAE2" s="104"/>
      <c r="TAF2" s="103"/>
      <c r="TAG2" s="104"/>
      <c r="TAH2" s="103"/>
      <c r="TAI2" s="104"/>
      <c r="TAJ2" s="103"/>
      <c r="TAK2" s="104"/>
      <c r="TAL2" s="103"/>
      <c r="TAM2" s="104"/>
      <c r="TAN2" s="103"/>
      <c r="TAO2" s="104"/>
      <c r="TAP2" s="103"/>
      <c r="TAQ2" s="104"/>
      <c r="TAR2" s="103"/>
      <c r="TAS2" s="104"/>
      <c r="TAT2" s="103"/>
      <c r="TAU2" s="104"/>
      <c r="TAV2" s="103"/>
      <c r="TAW2" s="104"/>
      <c r="TAX2" s="103"/>
      <c r="TAY2" s="104"/>
      <c r="TAZ2" s="103"/>
      <c r="TBA2" s="104"/>
      <c r="TBB2" s="103"/>
      <c r="TBC2" s="104"/>
      <c r="TBD2" s="103"/>
      <c r="TBE2" s="104"/>
      <c r="TBF2" s="103"/>
      <c r="TBG2" s="104"/>
      <c r="TBH2" s="103"/>
      <c r="TBI2" s="104"/>
      <c r="TBJ2" s="103"/>
      <c r="TBK2" s="104"/>
      <c r="TBL2" s="103"/>
      <c r="TBM2" s="104"/>
      <c r="TBN2" s="103"/>
      <c r="TBO2" s="104"/>
      <c r="TBP2" s="103"/>
      <c r="TBQ2" s="104"/>
      <c r="TBR2" s="103"/>
      <c r="TBS2" s="104"/>
      <c r="TBT2" s="103"/>
      <c r="TBU2" s="104"/>
      <c r="TBV2" s="103"/>
      <c r="TBW2" s="104"/>
      <c r="TBX2" s="103"/>
      <c r="TBY2" s="104"/>
      <c r="TBZ2" s="103"/>
      <c r="TCA2" s="104"/>
      <c r="TCB2" s="103"/>
      <c r="TCC2" s="104"/>
      <c r="TCD2" s="103"/>
      <c r="TCE2" s="104"/>
      <c r="TCF2" s="103"/>
      <c r="TCG2" s="104"/>
      <c r="TCH2" s="103"/>
      <c r="TCI2" s="104"/>
      <c r="TCJ2" s="103"/>
      <c r="TCK2" s="104"/>
      <c r="TCL2" s="103"/>
      <c r="TCM2" s="104"/>
      <c r="TCN2" s="103"/>
      <c r="TCO2" s="104"/>
      <c r="TCP2" s="103"/>
      <c r="TCQ2" s="104"/>
      <c r="TCR2" s="103"/>
      <c r="TCS2" s="104"/>
      <c r="TCT2" s="103"/>
      <c r="TCU2" s="104"/>
      <c r="TCV2" s="103"/>
      <c r="TCW2" s="104"/>
      <c r="TCX2" s="103"/>
      <c r="TCY2" s="104"/>
      <c r="TCZ2" s="103"/>
      <c r="TDA2" s="104"/>
      <c r="TDB2" s="103"/>
      <c r="TDC2" s="104"/>
      <c r="TDD2" s="103"/>
      <c r="TDE2" s="104"/>
      <c r="TDF2" s="103"/>
      <c r="TDG2" s="104"/>
      <c r="TDH2" s="103"/>
      <c r="TDI2" s="104"/>
      <c r="TDJ2" s="103"/>
      <c r="TDK2" s="104"/>
      <c r="TDL2" s="103"/>
      <c r="TDM2" s="104"/>
      <c r="TDN2" s="103"/>
      <c r="TDO2" s="104"/>
      <c r="TDP2" s="103"/>
      <c r="TDQ2" s="104"/>
      <c r="TDR2" s="103"/>
      <c r="TDS2" s="104"/>
      <c r="TDT2" s="103"/>
      <c r="TDU2" s="104"/>
      <c r="TDV2" s="103"/>
      <c r="TDW2" s="104"/>
      <c r="TDX2" s="103"/>
      <c r="TDY2" s="104"/>
      <c r="TDZ2" s="103"/>
      <c r="TEA2" s="104"/>
      <c r="TEB2" s="103"/>
      <c r="TEC2" s="104"/>
      <c r="TED2" s="103"/>
      <c r="TEE2" s="104"/>
      <c r="TEF2" s="103"/>
      <c r="TEG2" s="104"/>
      <c r="TEH2" s="103"/>
      <c r="TEI2" s="104"/>
      <c r="TEJ2" s="103"/>
      <c r="TEK2" s="104"/>
      <c r="TEL2" s="103"/>
      <c r="TEM2" s="104"/>
      <c r="TEN2" s="103"/>
      <c r="TEO2" s="104"/>
      <c r="TEP2" s="103"/>
      <c r="TEQ2" s="104"/>
      <c r="TER2" s="103"/>
      <c r="TES2" s="104"/>
      <c r="TET2" s="103"/>
      <c r="TEU2" s="104"/>
      <c r="TEV2" s="103"/>
      <c r="TEW2" s="104"/>
      <c r="TEX2" s="103"/>
      <c r="TEY2" s="104"/>
      <c r="TEZ2" s="103"/>
      <c r="TFA2" s="104"/>
      <c r="TFB2" s="103"/>
      <c r="TFC2" s="104"/>
      <c r="TFD2" s="103"/>
      <c r="TFE2" s="104"/>
      <c r="TFF2" s="103"/>
      <c r="TFG2" s="104"/>
      <c r="TFH2" s="103"/>
      <c r="TFI2" s="104"/>
      <c r="TFJ2" s="103"/>
      <c r="TFK2" s="104"/>
      <c r="TFL2" s="103"/>
      <c r="TFM2" s="104"/>
      <c r="TFN2" s="103"/>
      <c r="TFO2" s="104"/>
      <c r="TFP2" s="103"/>
      <c r="TFQ2" s="104"/>
      <c r="TFR2" s="103"/>
      <c r="TFS2" s="104"/>
      <c r="TFT2" s="103"/>
      <c r="TFU2" s="104"/>
      <c r="TFV2" s="103"/>
      <c r="TFW2" s="104"/>
      <c r="TFX2" s="103"/>
      <c r="TFY2" s="104"/>
      <c r="TFZ2" s="103"/>
      <c r="TGA2" s="104"/>
      <c r="TGB2" s="103"/>
      <c r="TGC2" s="104"/>
      <c r="TGD2" s="103"/>
      <c r="TGE2" s="104"/>
      <c r="TGF2" s="103"/>
      <c r="TGG2" s="104"/>
      <c r="TGH2" s="103"/>
      <c r="TGI2" s="104"/>
      <c r="TGJ2" s="103"/>
      <c r="TGK2" s="104"/>
      <c r="TGL2" s="103"/>
      <c r="TGM2" s="104"/>
      <c r="TGN2" s="103"/>
      <c r="TGO2" s="104"/>
      <c r="TGP2" s="103"/>
      <c r="TGQ2" s="104"/>
      <c r="TGR2" s="103"/>
      <c r="TGS2" s="104"/>
      <c r="TGT2" s="103"/>
      <c r="TGU2" s="104"/>
      <c r="TGV2" s="103"/>
      <c r="TGW2" s="104"/>
      <c r="TGX2" s="103"/>
      <c r="TGY2" s="104"/>
      <c r="TGZ2" s="103"/>
      <c r="THA2" s="104"/>
      <c r="THB2" s="103"/>
      <c r="THC2" s="104"/>
      <c r="THD2" s="103"/>
      <c r="THE2" s="104"/>
      <c r="THF2" s="103"/>
      <c r="THG2" s="104"/>
      <c r="THH2" s="103"/>
      <c r="THI2" s="104"/>
      <c r="THJ2" s="103"/>
      <c r="THK2" s="104"/>
      <c r="THL2" s="103"/>
      <c r="THM2" s="104"/>
      <c r="THN2" s="103"/>
      <c r="THO2" s="104"/>
      <c r="THP2" s="103"/>
      <c r="THQ2" s="104"/>
      <c r="THR2" s="103"/>
      <c r="THS2" s="104"/>
      <c r="THT2" s="103"/>
      <c r="THU2" s="104"/>
      <c r="THV2" s="103"/>
      <c r="THW2" s="104"/>
      <c r="THX2" s="103"/>
      <c r="THY2" s="104"/>
      <c r="THZ2" s="103"/>
      <c r="TIA2" s="104"/>
      <c r="TIB2" s="103"/>
      <c r="TIC2" s="104"/>
      <c r="TID2" s="103"/>
      <c r="TIE2" s="104"/>
      <c r="TIF2" s="103"/>
      <c r="TIG2" s="104"/>
      <c r="TIH2" s="103"/>
      <c r="TII2" s="104"/>
      <c r="TIJ2" s="103"/>
      <c r="TIK2" s="104"/>
      <c r="TIL2" s="103"/>
      <c r="TIM2" s="104"/>
      <c r="TIN2" s="103"/>
      <c r="TIO2" s="104"/>
      <c r="TIP2" s="103"/>
      <c r="TIQ2" s="104"/>
      <c r="TIR2" s="103"/>
      <c r="TIS2" s="104"/>
      <c r="TIT2" s="103"/>
      <c r="TIU2" s="104"/>
      <c r="TIV2" s="103"/>
      <c r="TIW2" s="104"/>
      <c r="TIX2" s="103"/>
      <c r="TIY2" s="104"/>
      <c r="TIZ2" s="103"/>
      <c r="TJA2" s="104"/>
      <c r="TJB2" s="103"/>
      <c r="TJC2" s="104"/>
      <c r="TJD2" s="103"/>
      <c r="TJE2" s="104"/>
      <c r="TJF2" s="103"/>
      <c r="TJG2" s="104"/>
      <c r="TJH2" s="103"/>
      <c r="TJI2" s="104"/>
      <c r="TJJ2" s="103"/>
      <c r="TJK2" s="104"/>
      <c r="TJL2" s="103"/>
      <c r="TJM2" s="104"/>
      <c r="TJN2" s="103"/>
      <c r="TJO2" s="104"/>
      <c r="TJP2" s="103"/>
      <c r="TJQ2" s="104"/>
      <c r="TJR2" s="103"/>
      <c r="TJS2" s="104"/>
      <c r="TJT2" s="103"/>
      <c r="TJU2" s="104"/>
      <c r="TJV2" s="103"/>
      <c r="TJW2" s="104"/>
      <c r="TJX2" s="103"/>
      <c r="TJY2" s="104"/>
      <c r="TJZ2" s="103"/>
      <c r="TKA2" s="104"/>
      <c r="TKB2" s="103"/>
      <c r="TKC2" s="104"/>
      <c r="TKD2" s="103"/>
      <c r="TKE2" s="104"/>
      <c r="TKF2" s="103"/>
      <c r="TKG2" s="104"/>
      <c r="TKH2" s="103"/>
      <c r="TKI2" s="104"/>
      <c r="TKJ2" s="103"/>
      <c r="TKK2" s="104"/>
      <c r="TKL2" s="103"/>
      <c r="TKM2" s="104"/>
      <c r="TKN2" s="103"/>
      <c r="TKO2" s="104"/>
      <c r="TKP2" s="103"/>
      <c r="TKQ2" s="104"/>
      <c r="TKR2" s="103"/>
      <c r="TKS2" s="104"/>
      <c r="TKT2" s="103"/>
      <c r="TKU2" s="104"/>
      <c r="TKV2" s="103"/>
      <c r="TKW2" s="104"/>
      <c r="TKX2" s="103"/>
      <c r="TKY2" s="104"/>
      <c r="TKZ2" s="103"/>
      <c r="TLA2" s="104"/>
      <c r="TLB2" s="103"/>
      <c r="TLC2" s="104"/>
      <c r="TLD2" s="103"/>
      <c r="TLE2" s="104"/>
      <c r="TLF2" s="103"/>
      <c r="TLG2" s="104"/>
      <c r="TLH2" s="103"/>
      <c r="TLI2" s="104"/>
      <c r="TLJ2" s="103"/>
      <c r="TLK2" s="104"/>
      <c r="TLL2" s="103"/>
      <c r="TLM2" s="104"/>
      <c r="TLN2" s="103"/>
      <c r="TLO2" s="104"/>
      <c r="TLP2" s="103"/>
      <c r="TLQ2" s="104"/>
      <c r="TLR2" s="103"/>
      <c r="TLS2" s="104"/>
      <c r="TLT2" s="103"/>
      <c r="TLU2" s="104"/>
      <c r="TLV2" s="103"/>
      <c r="TLW2" s="104"/>
      <c r="TLX2" s="103"/>
      <c r="TLY2" s="104"/>
      <c r="TLZ2" s="103"/>
      <c r="TMA2" s="104"/>
      <c r="TMB2" s="103"/>
      <c r="TMC2" s="104"/>
      <c r="TMD2" s="103"/>
      <c r="TME2" s="104"/>
      <c r="TMF2" s="103"/>
      <c r="TMG2" s="104"/>
      <c r="TMH2" s="103"/>
      <c r="TMI2" s="104"/>
      <c r="TMJ2" s="103"/>
      <c r="TMK2" s="104"/>
      <c r="TML2" s="103"/>
      <c r="TMM2" s="104"/>
      <c r="TMN2" s="103"/>
      <c r="TMO2" s="104"/>
      <c r="TMP2" s="103"/>
      <c r="TMQ2" s="104"/>
      <c r="TMR2" s="103"/>
      <c r="TMS2" s="104"/>
      <c r="TMT2" s="103"/>
      <c r="TMU2" s="104"/>
      <c r="TMV2" s="103"/>
      <c r="TMW2" s="104"/>
      <c r="TMX2" s="103"/>
      <c r="TMY2" s="104"/>
      <c r="TMZ2" s="103"/>
      <c r="TNA2" s="104"/>
      <c r="TNB2" s="103"/>
      <c r="TNC2" s="104"/>
      <c r="TND2" s="103"/>
      <c r="TNE2" s="104"/>
      <c r="TNF2" s="103"/>
      <c r="TNG2" s="104"/>
      <c r="TNH2" s="103"/>
      <c r="TNI2" s="104"/>
      <c r="TNJ2" s="103"/>
      <c r="TNK2" s="104"/>
      <c r="TNL2" s="103"/>
      <c r="TNM2" s="104"/>
      <c r="TNN2" s="103"/>
      <c r="TNO2" s="104"/>
      <c r="TNP2" s="103"/>
      <c r="TNQ2" s="104"/>
      <c r="TNR2" s="103"/>
      <c r="TNS2" s="104"/>
      <c r="TNT2" s="103"/>
      <c r="TNU2" s="104"/>
      <c r="TNV2" s="103"/>
      <c r="TNW2" s="104"/>
      <c r="TNX2" s="103"/>
      <c r="TNY2" s="104"/>
      <c r="TNZ2" s="103"/>
      <c r="TOA2" s="104"/>
      <c r="TOB2" s="103"/>
      <c r="TOC2" s="104"/>
      <c r="TOD2" s="103"/>
      <c r="TOE2" s="104"/>
      <c r="TOF2" s="103"/>
      <c r="TOG2" s="104"/>
      <c r="TOH2" s="103"/>
      <c r="TOI2" s="104"/>
      <c r="TOJ2" s="103"/>
      <c r="TOK2" s="104"/>
      <c r="TOL2" s="103"/>
      <c r="TOM2" s="104"/>
      <c r="TON2" s="103"/>
      <c r="TOO2" s="104"/>
      <c r="TOP2" s="103"/>
      <c r="TOQ2" s="104"/>
      <c r="TOR2" s="103"/>
      <c r="TOS2" s="104"/>
      <c r="TOT2" s="103"/>
      <c r="TOU2" s="104"/>
      <c r="TOV2" s="103"/>
      <c r="TOW2" s="104"/>
      <c r="TOX2" s="103"/>
      <c r="TOY2" s="104"/>
      <c r="TOZ2" s="103"/>
      <c r="TPA2" s="104"/>
      <c r="TPB2" s="103"/>
      <c r="TPC2" s="104"/>
      <c r="TPD2" s="103"/>
      <c r="TPE2" s="104"/>
      <c r="TPF2" s="103"/>
      <c r="TPG2" s="104"/>
      <c r="TPH2" s="103"/>
      <c r="TPI2" s="104"/>
      <c r="TPJ2" s="103"/>
      <c r="TPK2" s="104"/>
      <c r="TPL2" s="103"/>
      <c r="TPM2" s="104"/>
      <c r="TPN2" s="103"/>
      <c r="TPO2" s="104"/>
      <c r="TPP2" s="103"/>
      <c r="TPQ2" s="104"/>
      <c r="TPR2" s="103"/>
      <c r="TPS2" s="104"/>
      <c r="TPT2" s="103"/>
      <c r="TPU2" s="104"/>
      <c r="TPV2" s="103"/>
      <c r="TPW2" s="104"/>
      <c r="TPX2" s="103"/>
      <c r="TPY2" s="104"/>
      <c r="TPZ2" s="103"/>
      <c r="TQA2" s="104"/>
      <c r="TQB2" s="103"/>
      <c r="TQC2" s="104"/>
      <c r="TQD2" s="103"/>
      <c r="TQE2" s="104"/>
      <c r="TQF2" s="103"/>
      <c r="TQG2" s="104"/>
      <c r="TQH2" s="103"/>
      <c r="TQI2" s="104"/>
      <c r="TQJ2" s="103"/>
      <c r="TQK2" s="104"/>
      <c r="TQL2" s="103"/>
      <c r="TQM2" s="104"/>
      <c r="TQN2" s="103"/>
      <c r="TQO2" s="104"/>
      <c r="TQP2" s="103"/>
      <c r="TQQ2" s="104"/>
      <c r="TQR2" s="103"/>
      <c r="TQS2" s="104"/>
      <c r="TQT2" s="103"/>
      <c r="TQU2" s="104"/>
      <c r="TQV2" s="103"/>
      <c r="TQW2" s="104"/>
      <c r="TQX2" s="103"/>
      <c r="TQY2" s="104"/>
      <c r="TQZ2" s="103"/>
      <c r="TRA2" s="104"/>
      <c r="TRB2" s="103"/>
      <c r="TRC2" s="104"/>
      <c r="TRD2" s="103"/>
      <c r="TRE2" s="104"/>
      <c r="TRF2" s="103"/>
      <c r="TRG2" s="104"/>
      <c r="TRH2" s="103"/>
      <c r="TRI2" s="104"/>
      <c r="TRJ2" s="103"/>
      <c r="TRK2" s="104"/>
      <c r="TRL2" s="103"/>
      <c r="TRM2" s="104"/>
      <c r="TRN2" s="103"/>
      <c r="TRO2" s="104"/>
      <c r="TRP2" s="103"/>
      <c r="TRQ2" s="104"/>
      <c r="TRR2" s="103"/>
      <c r="TRS2" s="104"/>
      <c r="TRT2" s="103"/>
      <c r="TRU2" s="104"/>
      <c r="TRV2" s="103"/>
      <c r="TRW2" s="104"/>
      <c r="TRX2" s="103"/>
      <c r="TRY2" s="104"/>
      <c r="TRZ2" s="103"/>
      <c r="TSA2" s="104"/>
      <c r="TSB2" s="103"/>
      <c r="TSC2" s="104"/>
      <c r="TSD2" s="103"/>
      <c r="TSE2" s="104"/>
      <c r="TSF2" s="103"/>
      <c r="TSG2" s="104"/>
      <c r="TSH2" s="103"/>
      <c r="TSI2" s="104"/>
      <c r="TSJ2" s="103"/>
      <c r="TSK2" s="104"/>
      <c r="TSL2" s="103"/>
      <c r="TSM2" s="104"/>
      <c r="TSN2" s="103"/>
      <c r="TSO2" s="104"/>
      <c r="TSP2" s="103"/>
      <c r="TSQ2" s="104"/>
      <c r="TSR2" s="103"/>
      <c r="TSS2" s="104"/>
      <c r="TST2" s="103"/>
      <c r="TSU2" s="104"/>
      <c r="TSV2" s="103"/>
      <c r="TSW2" s="104"/>
      <c r="TSX2" s="103"/>
      <c r="TSY2" s="104"/>
      <c r="TSZ2" s="103"/>
      <c r="TTA2" s="104"/>
      <c r="TTB2" s="103"/>
      <c r="TTC2" s="104"/>
      <c r="TTD2" s="103"/>
      <c r="TTE2" s="104"/>
      <c r="TTF2" s="103"/>
      <c r="TTG2" s="104"/>
      <c r="TTH2" s="103"/>
      <c r="TTI2" s="104"/>
      <c r="TTJ2" s="103"/>
      <c r="TTK2" s="104"/>
      <c r="TTL2" s="103"/>
      <c r="TTM2" s="104"/>
      <c r="TTN2" s="103"/>
      <c r="TTO2" s="104"/>
      <c r="TTP2" s="103"/>
      <c r="TTQ2" s="104"/>
      <c r="TTR2" s="103"/>
      <c r="TTS2" s="104"/>
      <c r="TTT2" s="103"/>
      <c r="TTU2" s="104"/>
      <c r="TTV2" s="103"/>
      <c r="TTW2" s="104"/>
      <c r="TTX2" s="103"/>
      <c r="TTY2" s="104"/>
      <c r="TTZ2" s="103"/>
      <c r="TUA2" s="104"/>
      <c r="TUB2" s="103"/>
      <c r="TUC2" s="104"/>
      <c r="TUD2" s="103"/>
      <c r="TUE2" s="104"/>
      <c r="TUF2" s="103"/>
      <c r="TUG2" s="104"/>
      <c r="TUH2" s="103"/>
      <c r="TUI2" s="104"/>
      <c r="TUJ2" s="103"/>
      <c r="TUK2" s="104"/>
      <c r="TUL2" s="103"/>
      <c r="TUM2" s="104"/>
      <c r="TUN2" s="103"/>
      <c r="TUO2" s="104"/>
      <c r="TUP2" s="103"/>
      <c r="TUQ2" s="104"/>
      <c r="TUR2" s="103"/>
      <c r="TUS2" s="104"/>
      <c r="TUT2" s="103"/>
      <c r="TUU2" s="104"/>
      <c r="TUV2" s="103"/>
      <c r="TUW2" s="104"/>
      <c r="TUX2" s="103"/>
      <c r="TUY2" s="104"/>
      <c r="TUZ2" s="103"/>
      <c r="TVA2" s="104"/>
      <c r="TVB2" s="103"/>
      <c r="TVC2" s="104"/>
      <c r="TVD2" s="103"/>
      <c r="TVE2" s="104"/>
      <c r="TVF2" s="103"/>
      <c r="TVG2" s="104"/>
      <c r="TVH2" s="103"/>
      <c r="TVI2" s="104"/>
      <c r="TVJ2" s="103"/>
      <c r="TVK2" s="104"/>
      <c r="TVL2" s="103"/>
      <c r="TVM2" s="104"/>
      <c r="TVN2" s="103"/>
      <c r="TVO2" s="104"/>
      <c r="TVP2" s="103"/>
      <c r="TVQ2" s="104"/>
      <c r="TVR2" s="103"/>
      <c r="TVS2" s="104"/>
      <c r="TVT2" s="103"/>
      <c r="TVU2" s="104"/>
      <c r="TVV2" s="103"/>
      <c r="TVW2" s="104"/>
      <c r="TVX2" s="103"/>
      <c r="TVY2" s="104"/>
      <c r="TVZ2" s="103"/>
      <c r="TWA2" s="104"/>
      <c r="TWB2" s="103"/>
      <c r="TWC2" s="104"/>
      <c r="TWD2" s="103"/>
      <c r="TWE2" s="104"/>
      <c r="TWF2" s="103"/>
      <c r="TWG2" s="104"/>
      <c r="TWH2" s="103"/>
      <c r="TWI2" s="104"/>
      <c r="TWJ2" s="103"/>
      <c r="TWK2" s="104"/>
      <c r="TWL2" s="103"/>
      <c r="TWM2" s="104"/>
      <c r="TWN2" s="103"/>
      <c r="TWO2" s="104"/>
      <c r="TWP2" s="103"/>
      <c r="TWQ2" s="104"/>
      <c r="TWR2" s="103"/>
      <c r="TWS2" s="104"/>
      <c r="TWT2" s="103"/>
      <c r="TWU2" s="104"/>
      <c r="TWV2" s="103"/>
      <c r="TWW2" s="104"/>
      <c r="TWX2" s="103"/>
      <c r="TWY2" s="104"/>
      <c r="TWZ2" s="103"/>
      <c r="TXA2" s="104"/>
      <c r="TXB2" s="103"/>
      <c r="TXC2" s="104"/>
      <c r="TXD2" s="103"/>
      <c r="TXE2" s="104"/>
      <c r="TXF2" s="103"/>
      <c r="TXG2" s="104"/>
      <c r="TXH2" s="103"/>
      <c r="TXI2" s="104"/>
      <c r="TXJ2" s="103"/>
      <c r="TXK2" s="104"/>
      <c r="TXL2" s="103"/>
      <c r="TXM2" s="104"/>
      <c r="TXN2" s="103"/>
      <c r="TXO2" s="104"/>
      <c r="TXP2" s="103"/>
      <c r="TXQ2" s="104"/>
      <c r="TXR2" s="103"/>
      <c r="TXS2" s="104"/>
      <c r="TXT2" s="103"/>
      <c r="TXU2" s="104"/>
      <c r="TXV2" s="103"/>
      <c r="TXW2" s="104"/>
      <c r="TXX2" s="103"/>
      <c r="TXY2" s="104"/>
      <c r="TXZ2" s="103"/>
      <c r="TYA2" s="104"/>
      <c r="TYB2" s="103"/>
      <c r="TYC2" s="104"/>
      <c r="TYD2" s="103"/>
      <c r="TYE2" s="104"/>
      <c r="TYF2" s="103"/>
      <c r="TYG2" s="104"/>
      <c r="TYH2" s="103"/>
      <c r="TYI2" s="104"/>
      <c r="TYJ2" s="103"/>
      <c r="TYK2" s="104"/>
      <c r="TYL2" s="103"/>
      <c r="TYM2" s="104"/>
      <c r="TYN2" s="103"/>
      <c r="TYO2" s="104"/>
      <c r="TYP2" s="103"/>
      <c r="TYQ2" s="104"/>
      <c r="TYR2" s="103"/>
      <c r="TYS2" s="104"/>
      <c r="TYT2" s="103"/>
      <c r="TYU2" s="104"/>
      <c r="TYV2" s="103"/>
      <c r="TYW2" s="104"/>
      <c r="TYX2" s="103"/>
      <c r="TYY2" s="104"/>
      <c r="TYZ2" s="103"/>
      <c r="TZA2" s="104"/>
      <c r="TZB2" s="103"/>
      <c r="TZC2" s="104"/>
      <c r="TZD2" s="103"/>
      <c r="TZE2" s="104"/>
      <c r="TZF2" s="103"/>
      <c r="TZG2" s="104"/>
      <c r="TZH2" s="103"/>
      <c r="TZI2" s="104"/>
      <c r="TZJ2" s="103"/>
      <c r="TZK2" s="104"/>
      <c r="TZL2" s="103"/>
      <c r="TZM2" s="104"/>
      <c r="TZN2" s="103"/>
      <c r="TZO2" s="104"/>
      <c r="TZP2" s="103"/>
      <c r="TZQ2" s="104"/>
      <c r="TZR2" s="103"/>
      <c r="TZS2" s="104"/>
      <c r="TZT2" s="103"/>
      <c r="TZU2" s="104"/>
      <c r="TZV2" s="103"/>
      <c r="TZW2" s="104"/>
      <c r="TZX2" s="103"/>
      <c r="TZY2" s="104"/>
      <c r="TZZ2" s="103"/>
      <c r="UAA2" s="104"/>
      <c r="UAB2" s="103"/>
      <c r="UAC2" s="104"/>
      <c r="UAD2" s="103"/>
      <c r="UAE2" s="104"/>
      <c r="UAF2" s="103"/>
      <c r="UAG2" s="104"/>
      <c r="UAH2" s="103"/>
      <c r="UAI2" s="104"/>
      <c r="UAJ2" s="103"/>
      <c r="UAK2" s="104"/>
      <c r="UAL2" s="103"/>
      <c r="UAM2" s="104"/>
      <c r="UAN2" s="103"/>
      <c r="UAO2" s="104"/>
      <c r="UAP2" s="103"/>
      <c r="UAQ2" s="104"/>
      <c r="UAR2" s="103"/>
      <c r="UAS2" s="104"/>
      <c r="UAT2" s="103"/>
      <c r="UAU2" s="104"/>
      <c r="UAV2" s="103"/>
      <c r="UAW2" s="104"/>
      <c r="UAX2" s="103"/>
      <c r="UAY2" s="104"/>
      <c r="UAZ2" s="103"/>
      <c r="UBA2" s="104"/>
      <c r="UBB2" s="103"/>
      <c r="UBC2" s="104"/>
      <c r="UBD2" s="103"/>
      <c r="UBE2" s="104"/>
      <c r="UBF2" s="103"/>
      <c r="UBG2" s="104"/>
      <c r="UBH2" s="103"/>
      <c r="UBI2" s="104"/>
      <c r="UBJ2" s="103"/>
      <c r="UBK2" s="104"/>
      <c r="UBL2" s="103"/>
      <c r="UBM2" s="104"/>
      <c r="UBN2" s="103"/>
      <c r="UBO2" s="104"/>
      <c r="UBP2" s="103"/>
      <c r="UBQ2" s="104"/>
      <c r="UBR2" s="103"/>
      <c r="UBS2" s="104"/>
      <c r="UBT2" s="103"/>
      <c r="UBU2" s="104"/>
      <c r="UBV2" s="103"/>
      <c r="UBW2" s="104"/>
      <c r="UBX2" s="103"/>
      <c r="UBY2" s="104"/>
      <c r="UBZ2" s="103"/>
      <c r="UCA2" s="104"/>
      <c r="UCB2" s="103"/>
      <c r="UCC2" s="104"/>
      <c r="UCD2" s="103"/>
      <c r="UCE2" s="104"/>
      <c r="UCF2" s="103"/>
      <c r="UCG2" s="104"/>
      <c r="UCH2" s="103"/>
      <c r="UCI2" s="104"/>
      <c r="UCJ2" s="103"/>
      <c r="UCK2" s="104"/>
      <c r="UCL2" s="103"/>
      <c r="UCM2" s="104"/>
      <c r="UCN2" s="103"/>
      <c r="UCO2" s="104"/>
      <c r="UCP2" s="103"/>
      <c r="UCQ2" s="104"/>
      <c r="UCR2" s="103"/>
      <c r="UCS2" s="104"/>
      <c r="UCT2" s="103"/>
      <c r="UCU2" s="104"/>
      <c r="UCV2" s="103"/>
      <c r="UCW2" s="104"/>
      <c r="UCX2" s="103"/>
      <c r="UCY2" s="104"/>
      <c r="UCZ2" s="103"/>
      <c r="UDA2" s="104"/>
      <c r="UDB2" s="103"/>
      <c r="UDC2" s="104"/>
      <c r="UDD2" s="103"/>
      <c r="UDE2" s="104"/>
      <c r="UDF2" s="103"/>
      <c r="UDG2" s="104"/>
      <c r="UDH2" s="103"/>
      <c r="UDI2" s="104"/>
      <c r="UDJ2" s="103"/>
      <c r="UDK2" s="104"/>
      <c r="UDL2" s="103"/>
      <c r="UDM2" s="104"/>
      <c r="UDN2" s="103"/>
      <c r="UDO2" s="104"/>
      <c r="UDP2" s="103"/>
      <c r="UDQ2" s="104"/>
      <c r="UDR2" s="103"/>
      <c r="UDS2" s="104"/>
      <c r="UDT2" s="103"/>
      <c r="UDU2" s="104"/>
      <c r="UDV2" s="103"/>
      <c r="UDW2" s="104"/>
      <c r="UDX2" s="103"/>
      <c r="UDY2" s="104"/>
      <c r="UDZ2" s="103"/>
      <c r="UEA2" s="104"/>
      <c r="UEB2" s="103"/>
      <c r="UEC2" s="104"/>
      <c r="UED2" s="103"/>
      <c r="UEE2" s="104"/>
      <c r="UEF2" s="103"/>
      <c r="UEG2" s="104"/>
      <c r="UEH2" s="103"/>
      <c r="UEI2" s="104"/>
      <c r="UEJ2" s="103"/>
      <c r="UEK2" s="104"/>
      <c r="UEL2" s="103"/>
      <c r="UEM2" s="104"/>
      <c r="UEN2" s="103"/>
      <c r="UEO2" s="104"/>
      <c r="UEP2" s="103"/>
      <c r="UEQ2" s="104"/>
      <c r="UER2" s="103"/>
      <c r="UES2" s="104"/>
      <c r="UET2" s="103"/>
      <c r="UEU2" s="104"/>
      <c r="UEV2" s="103"/>
      <c r="UEW2" s="104"/>
      <c r="UEX2" s="103"/>
      <c r="UEY2" s="104"/>
      <c r="UEZ2" s="103"/>
      <c r="UFA2" s="104"/>
      <c r="UFB2" s="103"/>
      <c r="UFC2" s="104"/>
      <c r="UFD2" s="103"/>
      <c r="UFE2" s="104"/>
      <c r="UFF2" s="103"/>
      <c r="UFG2" s="104"/>
      <c r="UFH2" s="103"/>
      <c r="UFI2" s="104"/>
      <c r="UFJ2" s="103"/>
      <c r="UFK2" s="104"/>
      <c r="UFL2" s="103"/>
      <c r="UFM2" s="104"/>
      <c r="UFN2" s="103"/>
      <c r="UFO2" s="104"/>
      <c r="UFP2" s="103"/>
      <c r="UFQ2" s="104"/>
      <c r="UFR2" s="103"/>
      <c r="UFS2" s="104"/>
      <c r="UFT2" s="103"/>
      <c r="UFU2" s="104"/>
      <c r="UFV2" s="103"/>
      <c r="UFW2" s="104"/>
      <c r="UFX2" s="103"/>
      <c r="UFY2" s="104"/>
      <c r="UFZ2" s="103"/>
      <c r="UGA2" s="104"/>
      <c r="UGB2" s="103"/>
      <c r="UGC2" s="104"/>
      <c r="UGD2" s="103"/>
      <c r="UGE2" s="104"/>
      <c r="UGF2" s="103"/>
      <c r="UGG2" s="104"/>
      <c r="UGH2" s="103"/>
      <c r="UGI2" s="104"/>
      <c r="UGJ2" s="103"/>
      <c r="UGK2" s="104"/>
      <c r="UGL2" s="103"/>
      <c r="UGM2" s="104"/>
      <c r="UGN2" s="103"/>
      <c r="UGO2" s="104"/>
      <c r="UGP2" s="103"/>
      <c r="UGQ2" s="104"/>
      <c r="UGR2" s="103"/>
      <c r="UGS2" s="104"/>
      <c r="UGT2" s="103"/>
      <c r="UGU2" s="104"/>
      <c r="UGV2" s="103"/>
      <c r="UGW2" s="104"/>
      <c r="UGX2" s="103"/>
      <c r="UGY2" s="104"/>
      <c r="UGZ2" s="103"/>
      <c r="UHA2" s="104"/>
      <c r="UHB2" s="103"/>
      <c r="UHC2" s="104"/>
      <c r="UHD2" s="103"/>
      <c r="UHE2" s="104"/>
      <c r="UHF2" s="103"/>
      <c r="UHG2" s="104"/>
      <c r="UHH2" s="103"/>
      <c r="UHI2" s="104"/>
      <c r="UHJ2" s="103"/>
      <c r="UHK2" s="104"/>
      <c r="UHL2" s="103"/>
      <c r="UHM2" s="104"/>
      <c r="UHN2" s="103"/>
      <c r="UHO2" s="104"/>
      <c r="UHP2" s="103"/>
      <c r="UHQ2" s="104"/>
      <c r="UHR2" s="103"/>
      <c r="UHS2" s="104"/>
      <c r="UHT2" s="103"/>
      <c r="UHU2" s="104"/>
      <c r="UHV2" s="103"/>
      <c r="UHW2" s="104"/>
      <c r="UHX2" s="103"/>
      <c r="UHY2" s="104"/>
      <c r="UHZ2" s="103"/>
      <c r="UIA2" s="104"/>
      <c r="UIB2" s="103"/>
      <c r="UIC2" s="104"/>
      <c r="UID2" s="103"/>
      <c r="UIE2" s="104"/>
      <c r="UIF2" s="103"/>
      <c r="UIG2" s="104"/>
      <c r="UIH2" s="103"/>
      <c r="UII2" s="104"/>
      <c r="UIJ2" s="103"/>
      <c r="UIK2" s="104"/>
      <c r="UIL2" s="103"/>
      <c r="UIM2" s="104"/>
      <c r="UIN2" s="103"/>
      <c r="UIO2" s="104"/>
      <c r="UIP2" s="103"/>
      <c r="UIQ2" s="104"/>
      <c r="UIR2" s="103"/>
      <c r="UIS2" s="104"/>
      <c r="UIT2" s="103"/>
      <c r="UIU2" s="104"/>
      <c r="UIV2" s="103"/>
      <c r="UIW2" s="104"/>
      <c r="UIX2" s="103"/>
      <c r="UIY2" s="104"/>
      <c r="UIZ2" s="103"/>
      <c r="UJA2" s="104"/>
      <c r="UJB2" s="103"/>
      <c r="UJC2" s="104"/>
      <c r="UJD2" s="103"/>
      <c r="UJE2" s="104"/>
      <c r="UJF2" s="103"/>
      <c r="UJG2" s="104"/>
      <c r="UJH2" s="103"/>
      <c r="UJI2" s="104"/>
      <c r="UJJ2" s="103"/>
      <c r="UJK2" s="104"/>
      <c r="UJL2" s="103"/>
      <c r="UJM2" s="104"/>
      <c r="UJN2" s="103"/>
      <c r="UJO2" s="104"/>
      <c r="UJP2" s="103"/>
      <c r="UJQ2" s="104"/>
      <c r="UJR2" s="103"/>
      <c r="UJS2" s="104"/>
      <c r="UJT2" s="103"/>
      <c r="UJU2" s="104"/>
      <c r="UJV2" s="103"/>
      <c r="UJW2" s="104"/>
      <c r="UJX2" s="103"/>
      <c r="UJY2" s="104"/>
      <c r="UJZ2" s="103"/>
      <c r="UKA2" s="104"/>
      <c r="UKB2" s="103"/>
      <c r="UKC2" s="104"/>
      <c r="UKD2" s="103"/>
      <c r="UKE2" s="104"/>
      <c r="UKF2" s="103"/>
      <c r="UKG2" s="104"/>
      <c r="UKH2" s="103"/>
      <c r="UKI2" s="104"/>
      <c r="UKJ2" s="103"/>
      <c r="UKK2" s="104"/>
      <c r="UKL2" s="103"/>
      <c r="UKM2" s="104"/>
      <c r="UKN2" s="103"/>
      <c r="UKO2" s="104"/>
      <c r="UKP2" s="103"/>
      <c r="UKQ2" s="104"/>
      <c r="UKR2" s="103"/>
      <c r="UKS2" s="104"/>
      <c r="UKT2" s="103"/>
      <c r="UKU2" s="104"/>
      <c r="UKV2" s="103"/>
      <c r="UKW2" s="104"/>
      <c r="UKX2" s="103"/>
      <c r="UKY2" s="104"/>
      <c r="UKZ2" s="103"/>
      <c r="ULA2" s="104"/>
      <c r="ULB2" s="103"/>
      <c r="ULC2" s="104"/>
      <c r="ULD2" s="103"/>
      <c r="ULE2" s="104"/>
      <c r="ULF2" s="103"/>
      <c r="ULG2" s="104"/>
      <c r="ULH2" s="103"/>
      <c r="ULI2" s="104"/>
      <c r="ULJ2" s="103"/>
      <c r="ULK2" s="104"/>
      <c r="ULL2" s="103"/>
      <c r="ULM2" s="104"/>
      <c r="ULN2" s="103"/>
      <c r="ULO2" s="104"/>
      <c r="ULP2" s="103"/>
      <c r="ULQ2" s="104"/>
      <c r="ULR2" s="103"/>
      <c r="ULS2" s="104"/>
      <c r="ULT2" s="103"/>
      <c r="ULU2" s="104"/>
      <c r="ULV2" s="103"/>
      <c r="ULW2" s="104"/>
      <c r="ULX2" s="103"/>
      <c r="ULY2" s="104"/>
      <c r="ULZ2" s="103"/>
      <c r="UMA2" s="104"/>
      <c r="UMB2" s="103"/>
      <c r="UMC2" s="104"/>
      <c r="UMD2" s="103"/>
      <c r="UME2" s="104"/>
      <c r="UMF2" s="103"/>
      <c r="UMG2" s="104"/>
      <c r="UMH2" s="103"/>
      <c r="UMI2" s="104"/>
      <c r="UMJ2" s="103"/>
      <c r="UMK2" s="104"/>
      <c r="UML2" s="103"/>
      <c r="UMM2" s="104"/>
      <c r="UMN2" s="103"/>
      <c r="UMO2" s="104"/>
      <c r="UMP2" s="103"/>
      <c r="UMQ2" s="104"/>
      <c r="UMR2" s="103"/>
      <c r="UMS2" s="104"/>
      <c r="UMT2" s="103"/>
      <c r="UMU2" s="104"/>
      <c r="UMV2" s="103"/>
      <c r="UMW2" s="104"/>
      <c r="UMX2" s="103"/>
      <c r="UMY2" s="104"/>
      <c r="UMZ2" s="103"/>
      <c r="UNA2" s="104"/>
      <c r="UNB2" s="103"/>
      <c r="UNC2" s="104"/>
      <c r="UND2" s="103"/>
      <c r="UNE2" s="104"/>
      <c r="UNF2" s="103"/>
      <c r="UNG2" s="104"/>
      <c r="UNH2" s="103"/>
      <c r="UNI2" s="104"/>
      <c r="UNJ2" s="103"/>
      <c r="UNK2" s="104"/>
      <c r="UNL2" s="103"/>
      <c r="UNM2" s="104"/>
      <c r="UNN2" s="103"/>
      <c r="UNO2" s="104"/>
      <c r="UNP2" s="103"/>
      <c r="UNQ2" s="104"/>
      <c r="UNR2" s="103"/>
      <c r="UNS2" s="104"/>
      <c r="UNT2" s="103"/>
      <c r="UNU2" s="104"/>
      <c r="UNV2" s="103"/>
      <c r="UNW2" s="104"/>
      <c r="UNX2" s="103"/>
      <c r="UNY2" s="104"/>
      <c r="UNZ2" s="103"/>
      <c r="UOA2" s="104"/>
      <c r="UOB2" s="103"/>
      <c r="UOC2" s="104"/>
      <c r="UOD2" s="103"/>
      <c r="UOE2" s="104"/>
      <c r="UOF2" s="103"/>
      <c r="UOG2" s="104"/>
      <c r="UOH2" s="103"/>
      <c r="UOI2" s="104"/>
      <c r="UOJ2" s="103"/>
      <c r="UOK2" s="104"/>
      <c r="UOL2" s="103"/>
      <c r="UOM2" s="104"/>
      <c r="UON2" s="103"/>
      <c r="UOO2" s="104"/>
      <c r="UOP2" s="103"/>
      <c r="UOQ2" s="104"/>
      <c r="UOR2" s="103"/>
      <c r="UOS2" s="104"/>
      <c r="UOT2" s="103"/>
      <c r="UOU2" s="104"/>
      <c r="UOV2" s="103"/>
      <c r="UOW2" s="104"/>
      <c r="UOX2" s="103"/>
      <c r="UOY2" s="104"/>
      <c r="UOZ2" s="103"/>
      <c r="UPA2" s="104"/>
      <c r="UPB2" s="103"/>
      <c r="UPC2" s="104"/>
      <c r="UPD2" s="103"/>
      <c r="UPE2" s="104"/>
      <c r="UPF2" s="103"/>
      <c r="UPG2" s="104"/>
      <c r="UPH2" s="103"/>
      <c r="UPI2" s="104"/>
      <c r="UPJ2" s="103"/>
      <c r="UPK2" s="104"/>
      <c r="UPL2" s="103"/>
      <c r="UPM2" s="104"/>
      <c r="UPN2" s="103"/>
      <c r="UPO2" s="104"/>
      <c r="UPP2" s="103"/>
      <c r="UPQ2" s="104"/>
      <c r="UPR2" s="103"/>
      <c r="UPS2" s="104"/>
      <c r="UPT2" s="103"/>
      <c r="UPU2" s="104"/>
      <c r="UPV2" s="103"/>
      <c r="UPW2" s="104"/>
      <c r="UPX2" s="103"/>
      <c r="UPY2" s="104"/>
      <c r="UPZ2" s="103"/>
      <c r="UQA2" s="104"/>
      <c r="UQB2" s="103"/>
      <c r="UQC2" s="104"/>
      <c r="UQD2" s="103"/>
      <c r="UQE2" s="104"/>
      <c r="UQF2" s="103"/>
      <c r="UQG2" s="104"/>
      <c r="UQH2" s="103"/>
      <c r="UQI2" s="104"/>
      <c r="UQJ2" s="103"/>
      <c r="UQK2" s="104"/>
      <c r="UQL2" s="103"/>
      <c r="UQM2" s="104"/>
      <c r="UQN2" s="103"/>
      <c r="UQO2" s="104"/>
      <c r="UQP2" s="103"/>
      <c r="UQQ2" s="104"/>
      <c r="UQR2" s="103"/>
      <c r="UQS2" s="104"/>
      <c r="UQT2" s="103"/>
      <c r="UQU2" s="104"/>
      <c r="UQV2" s="103"/>
      <c r="UQW2" s="104"/>
      <c r="UQX2" s="103"/>
      <c r="UQY2" s="104"/>
      <c r="UQZ2" s="103"/>
      <c r="URA2" s="104"/>
      <c r="URB2" s="103"/>
      <c r="URC2" s="104"/>
      <c r="URD2" s="103"/>
      <c r="URE2" s="104"/>
      <c r="URF2" s="103"/>
      <c r="URG2" s="104"/>
      <c r="URH2" s="103"/>
      <c r="URI2" s="104"/>
      <c r="URJ2" s="103"/>
      <c r="URK2" s="104"/>
      <c r="URL2" s="103"/>
      <c r="URM2" s="104"/>
      <c r="URN2" s="103"/>
      <c r="URO2" s="104"/>
      <c r="URP2" s="103"/>
      <c r="URQ2" s="104"/>
      <c r="URR2" s="103"/>
      <c r="URS2" s="104"/>
      <c r="URT2" s="103"/>
      <c r="URU2" s="104"/>
      <c r="URV2" s="103"/>
      <c r="URW2" s="104"/>
      <c r="URX2" s="103"/>
      <c r="URY2" s="104"/>
      <c r="URZ2" s="103"/>
      <c r="USA2" s="104"/>
      <c r="USB2" s="103"/>
      <c r="USC2" s="104"/>
      <c r="USD2" s="103"/>
      <c r="USE2" s="104"/>
      <c r="USF2" s="103"/>
      <c r="USG2" s="104"/>
      <c r="USH2" s="103"/>
      <c r="USI2" s="104"/>
      <c r="USJ2" s="103"/>
      <c r="USK2" s="104"/>
      <c r="USL2" s="103"/>
      <c r="USM2" s="104"/>
      <c r="USN2" s="103"/>
      <c r="USO2" s="104"/>
      <c r="USP2" s="103"/>
      <c r="USQ2" s="104"/>
      <c r="USR2" s="103"/>
      <c r="USS2" s="104"/>
      <c r="UST2" s="103"/>
      <c r="USU2" s="104"/>
      <c r="USV2" s="103"/>
      <c r="USW2" s="104"/>
      <c r="USX2" s="103"/>
      <c r="USY2" s="104"/>
      <c r="USZ2" s="103"/>
      <c r="UTA2" s="104"/>
      <c r="UTB2" s="103"/>
      <c r="UTC2" s="104"/>
      <c r="UTD2" s="103"/>
      <c r="UTE2" s="104"/>
      <c r="UTF2" s="103"/>
      <c r="UTG2" s="104"/>
      <c r="UTH2" s="103"/>
      <c r="UTI2" s="104"/>
      <c r="UTJ2" s="103"/>
      <c r="UTK2" s="104"/>
      <c r="UTL2" s="103"/>
      <c r="UTM2" s="104"/>
      <c r="UTN2" s="103"/>
      <c r="UTO2" s="104"/>
      <c r="UTP2" s="103"/>
      <c r="UTQ2" s="104"/>
      <c r="UTR2" s="103"/>
      <c r="UTS2" s="104"/>
      <c r="UTT2" s="103"/>
      <c r="UTU2" s="104"/>
      <c r="UTV2" s="103"/>
      <c r="UTW2" s="104"/>
      <c r="UTX2" s="103"/>
      <c r="UTY2" s="104"/>
      <c r="UTZ2" s="103"/>
      <c r="UUA2" s="104"/>
      <c r="UUB2" s="103"/>
      <c r="UUC2" s="104"/>
      <c r="UUD2" s="103"/>
      <c r="UUE2" s="104"/>
      <c r="UUF2" s="103"/>
      <c r="UUG2" s="104"/>
      <c r="UUH2" s="103"/>
      <c r="UUI2" s="104"/>
      <c r="UUJ2" s="103"/>
      <c r="UUK2" s="104"/>
      <c r="UUL2" s="103"/>
      <c r="UUM2" s="104"/>
      <c r="UUN2" s="103"/>
      <c r="UUO2" s="104"/>
      <c r="UUP2" s="103"/>
      <c r="UUQ2" s="104"/>
      <c r="UUR2" s="103"/>
      <c r="UUS2" s="104"/>
      <c r="UUT2" s="103"/>
      <c r="UUU2" s="104"/>
      <c r="UUV2" s="103"/>
      <c r="UUW2" s="104"/>
      <c r="UUX2" s="103"/>
      <c r="UUY2" s="104"/>
      <c r="UUZ2" s="103"/>
      <c r="UVA2" s="104"/>
      <c r="UVB2" s="103"/>
      <c r="UVC2" s="104"/>
      <c r="UVD2" s="103"/>
      <c r="UVE2" s="104"/>
      <c r="UVF2" s="103"/>
      <c r="UVG2" s="104"/>
      <c r="UVH2" s="103"/>
      <c r="UVI2" s="104"/>
      <c r="UVJ2" s="103"/>
      <c r="UVK2" s="104"/>
      <c r="UVL2" s="103"/>
      <c r="UVM2" s="104"/>
      <c r="UVN2" s="103"/>
      <c r="UVO2" s="104"/>
      <c r="UVP2" s="103"/>
      <c r="UVQ2" s="104"/>
      <c r="UVR2" s="103"/>
      <c r="UVS2" s="104"/>
      <c r="UVT2" s="103"/>
      <c r="UVU2" s="104"/>
      <c r="UVV2" s="103"/>
      <c r="UVW2" s="104"/>
      <c r="UVX2" s="103"/>
      <c r="UVY2" s="104"/>
      <c r="UVZ2" s="103"/>
      <c r="UWA2" s="104"/>
      <c r="UWB2" s="103"/>
      <c r="UWC2" s="104"/>
      <c r="UWD2" s="103"/>
      <c r="UWE2" s="104"/>
      <c r="UWF2" s="103"/>
      <c r="UWG2" s="104"/>
      <c r="UWH2" s="103"/>
      <c r="UWI2" s="104"/>
      <c r="UWJ2" s="103"/>
      <c r="UWK2" s="104"/>
      <c r="UWL2" s="103"/>
      <c r="UWM2" s="104"/>
      <c r="UWN2" s="103"/>
      <c r="UWO2" s="104"/>
      <c r="UWP2" s="103"/>
      <c r="UWQ2" s="104"/>
      <c r="UWR2" s="103"/>
      <c r="UWS2" s="104"/>
      <c r="UWT2" s="103"/>
      <c r="UWU2" s="104"/>
      <c r="UWV2" s="103"/>
      <c r="UWW2" s="104"/>
      <c r="UWX2" s="103"/>
      <c r="UWY2" s="104"/>
      <c r="UWZ2" s="103"/>
      <c r="UXA2" s="104"/>
      <c r="UXB2" s="103"/>
      <c r="UXC2" s="104"/>
      <c r="UXD2" s="103"/>
      <c r="UXE2" s="104"/>
      <c r="UXF2" s="103"/>
      <c r="UXG2" s="104"/>
      <c r="UXH2" s="103"/>
      <c r="UXI2" s="104"/>
      <c r="UXJ2" s="103"/>
      <c r="UXK2" s="104"/>
      <c r="UXL2" s="103"/>
      <c r="UXM2" s="104"/>
      <c r="UXN2" s="103"/>
      <c r="UXO2" s="104"/>
      <c r="UXP2" s="103"/>
      <c r="UXQ2" s="104"/>
      <c r="UXR2" s="103"/>
      <c r="UXS2" s="104"/>
      <c r="UXT2" s="103"/>
      <c r="UXU2" s="104"/>
      <c r="UXV2" s="103"/>
      <c r="UXW2" s="104"/>
      <c r="UXX2" s="103"/>
      <c r="UXY2" s="104"/>
      <c r="UXZ2" s="103"/>
      <c r="UYA2" s="104"/>
      <c r="UYB2" s="103"/>
      <c r="UYC2" s="104"/>
      <c r="UYD2" s="103"/>
      <c r="UYE2" s="104"/>
      <c r="UYF2" s="103"/>
      <c r="UYG2" s="104"/>
      <c r="UYH2" s="103"/>
      <c r="UYI2" s="104"/>
      <c r="UYJ2" s="103"/>
      <c r="UYK2" s="104"/>
      <c r="UYL2" s="103"/>
      <c r="UYM2" s="104"/>
      <c r="UYN2" s="103"/>
      <c r="UYO2" s="104"/>
      <c r="UYP2" s="103"/>
      <c r="UYQ2" s="104"/>
      <c r="UYR2" s="103"/>
      <c r="UYS2" s="104"/>
      <c r="UYT2" s="103"/>
      <c r="UYU2" s="104"/>
      <c r="UYV2" s="103"/>
      <c r="UYW2" s="104"/>
      <c r="UYX2" s="103"/>
      <c r="UYY2" s="104"/>
      <c r="UYZ2" s="103"/>
      <c r="UZA2" s="104"/>
      <c r="UZB2" s="103"/>
      <c r="UZC2" s="104"/>
      <c r="UZD2" s="103"/>
      <c r="UZE2" s="104"/>
      <c r="UZF2" s="103"/>
      <c r="UZG2" s="104"/>
      <c r="UZH2" s="103"/>
      <c r="UZI2" s="104"/>
      <c r="UZJ2" s="103"/>
      <c r="UZK2" s="104"/>
      <c r="UZL2" s="103"/>
      <c r="UZM2" s="104"/>
      <c r="UZN2" s="103"/>
      <c r="UZO2" s="104"/>
      <c r="UZP2" s="103"/>
      <c r="UZQ2" s="104"/>
      <c r="UZR2" s="103"/>
      <c r="UZS2" s="104"/>
      <c r="UZT2" s="103"/>
      <c r="UZU2" s="104"/>
      <c r="UZV2" s="103"/>
      <c r="UZW2" s="104"/>
      <c r="UZX2" s="103"/>
      <c r="UZY2" s="104"/>
      <c r="UZZ2" s="103"/>
      <c r="VAA2" s="104"/>
      <c r="VAB2" s="103"/>
      <c r="VAC2" s="104"/>
      <c r="VAD2" s="103"/>
      <c r="VAE2" s="104"/>
      <c r="VAF2" s="103"/>
      <c r="VAG2" s="104"/>
      <c r="VAH2" s="103"/>
      <c r="VAI2" s="104"/>
      <c r="VAJ2" s="103"/>
      <c r="VAK2" s="104"/>
      <c r="VAL2" s="103"/>
      <c r="VAM2" s="104"/>
      <c r="VAN2" s="103"/>
      <c r="VAO2" s="104"/>
      <c r="VAP2" s="103"/>
      <c r="VAQ2" s="104"/>
      <c r="VAR2" s="103"/>
      <c r="VAS2" s="104"/>
      <c r="VAT2" s="103"/>
      <c r="VAU2" s="104"/>
      <c r="VAV2" s="103"/>
      <c r="VAW2" s="104"/>
      <c r="VAX2" s="103"/>
      <c r="VAY2" s="104"/>
      <c r="VAZ2" s="103"/>
      <c r="VBA2" s="104"/>
      <c r="VBB2" s="103"/>
      <c r="VBC2" s="104"/>
      <c r="VBD2" s="103"/>
      <c r="VBE2" s="104"/>
      <c r="VBF2" s="103"/>
      <c r="VBG2" s="104"/>
      <c r="VBH2" s="103"/>
      <c r="VBI2" s="104"/>
      <c r="VBJ2" s="103"/>
      <c r="VBK2" s="104"/>
      <c r="VBL2" s="103"/>
      <c r="VBM2" s="104"/>
      <c r="VBN2" s="103"/>
      <c r="VBO2" s="104"/>
      <c r="VBP2" s="103"/>
      <c r="VBQ2" s="104"/>
      <c r="VBR2" s="103"/>
      <c r="VBS2" s="104"/>
      <c r="VBT2" s="103"/>
      <c r="VBU2" s="104"/>
      <c r="VBV2" s="103"/>
      <c r="VBW2" s="104"/>
      <c r="VBX2" s="103"/>
      <c r="VBY2" s="104"/>
      <c r="VBZ2" s="103"/>
      <c r="VCA2" s="104"/>
      <c r="VCB2" s="103"/>
      <c r="VCC2" s="104"/>
      <c r="VCD2" s="103"/>
      <c r="VCE2" s="104"/>
      <c r="VCF2" s="103"/>
      <c r="VCG2" s="104"/>
      <c r="VCH2" s="103"/>
      <c r="VCI2" s="104"/>
      <c r="VCJ2" s="103"/>
      <c r="VCK2" s="104"/>
      <c r="VCL2" s="103"/>
      <c r="VCM2" s="104"/>
      <c r="VCN2" s="103"/>
      <c r="VCO2" s="104"/>
      <c r="VCP2" s="103"/>
      <c r="VCQ2" s="104"/>
      <c r="VCR2" s="103"/>
      <c r="VCS2" s="104"/>
      <c r="VCT2" s="103"/>
      <c r="VCU2" s="104"/>
      <c r="VCV2" s="103"/>
      <c r="VCW2" s="104"/>
      <c r="VCX2" s="103"/>
      <c r="VCY2" s="104"/>
      <c r="VCZ2" s="103"/>
      <c r="VDA2" s="104"/>
      <c r="VDB2" s="103"/>
      <c r="VDC2" s="104"/>
      <c r="VDD2" s="103"/>
      <c r="VDE2" s="104"/>
      <c r="VDF2" s="103"/>
      <c r="VDG2" s="104"/>
      <c r="VDH2" s="103"/>
      <c r="VDI2" s="104"/>
      <c r="VDJ2" s="103"/>
      <c r="VDK2" s="104"/>
      <c r="VDL2" s="103"/>
      <c r="VDM2" s="104"/>
      <c r="VDN2" s="103"/>
      <c r="VDO2" s="104"/>
      <c r="VDP2" s="103"/>
      <c r="VDQ2" s="104"/>
      <c r="VDR2" s="103"/>
      <c r="VDS2" s="104"/>
      <c r="VDT2" s="103"/>
      <c r="VDU2" s="104"/>
      <c r="VDV2" s="103"/>
      <c r="VDW2" s="104"/>
      <c r="VDX2" s="103"/>
      <c r="VDY2" s="104"/>
      <c r="VDZ2" s="103"/>
      <c r="VEA2" s="104"/>
      <c r="VEB2" s="103"/>
      <c r="VEC2" s="104"/>
      <c r="VED2" s="103"/>
      <c r="VEE2" s="104"/>
      <c r="VEF2" s="103"/>
      <c r="VEG2" s="104"/>
      <c r="VEH2" s="103"/>
      <c r="VEI2" s="104"/>
      <c r="VEJ2" s="103"/>
      <c r="VEK2" s="104"/>
      <c r="VEL2" s="103"/>
      <c r="VEM2" s="104"/>
      <c r="VEN2" s="103"/>
      <c r="VEO2" s="104"/>
      <c r="VEP2" s="103"/>
      <c r="VEQ2" s="104"/>
      <c r="VER2" s="103"/>
      <c r="VES2" s="104"/>
      <c r="VET2" s="103"/>
      <c r="VEU2" s="104"/>
      <c r="VEV2" s="103"/>
      <c r="VEW2" s="104"/>
      <c r="VEX2" s="103"/>
      <c r="VEY2" s="104"/>
      <c r="VEZ2" s="103"/>
      <c r="VFA2" s="104"/>
      <c r="VFB2" s="103"/>
      <c r="VFC2" s="104"/>
      <c r="VFD2" s="103"/>
      <c r="VFE2" s="104"/>
      <c r="VFF2" s="103"/>
      <c r="VFG2" s="104"/>
      <c r="VFH2" s="103"/>
      <c r="VFI2" s="104"/>
      <c r="VFJ2" s="103"/>
      <c r="VFK2" s="104"/>
      <c r="VFL2" s="103"/>
      <c r="VFM2" s="104"/>
      <c r="VFN2" s="103"/>
      <c r="VFO2" s="104"/>
      <c r="VFP2" s="103"/>
      <c r="VFQ2" s="104"/>
      <c r="VFR2" s="103"/>
      <c r="VFS2" s="104"/>
      <c r="VFT2" s="103"/>
      <c r="VFU2" s="104"/>
      <c r="VFV2" s="103"/>
      <c r="VFW2" s="104"/>
      <c r="VFX2" s="103"/>
      <c r="VFY2" s="104"/>
      <c r="VFZ2" s="103"/>
      <c r="VGA2" s="104"/>
      <c r="VGB2" s="103"/>
      <c r="VGC2" s="104"/>
      <c r="VGD2" s="103"/>
      <c r="VGE2" s="104"/>
      <c r="VGF2" s="103"/>
      <c r="VGG2" s="104"/>
      <c r="VGH2" s="103"/>
      <c r="VGI2" s="104"/>
      <c r="VGJ2" s="103"/>
      <c r="VGK2" s="104"/>
      <c r="VGL2" s="103"/>
      <c r="VGM2" s="104"/>
      <c r="VGN2" s="103"/>
      <c r="VGO2" s="104"/>
      <c r="VGP2" s="103"/>
      <c r="VGQ2" s="104"/>
      <c r="VGR2" s="103"/>
      <c r="VGS2" s="104"/>
      <c r="VGT2" s="103"/>
      <c r="VGU2" s="104"/>
      <c r="VGV2" s="103"/>
      <c r="VGW2" s="104"/>
      <c r="VGX2" s="103"/>
      <c r="VGY2" s="104"/>
      <c r="VGZ2" s="103"/>
      <c r="VHA2" s="104"/>
      <c r="VHB2" s="103"/>
      <c r="VHC2" s="104"/>
      <c r="VHD2" s="103"/>
      <c r="VHE2" s="104"/>
      <c r="VHF2" s="103"/>
      <c r="VHG2" s="104"/>
      <c r="VHH2" s="103"/>
      <c r="VHI2" s="104"/>
      <c r="VHJ2" s="103"/>
      <c r="VHK2" s="104"/>
      <c r="VHL2" s="103"/>
      <c r="VHM2" s="104"/>
      <c r="VHN2" s="103"/>
      <c r="VHO2" s="104"/>
      <c r="VHP2" s="103"/>
      <c r="VHQ2" s="104"/>
      <c r="VHR2" s="103"/>
      <c r="VHS2" s="104"/>
      <c r="VHT2" s="103"/>
      <c r="VHU2" s="104"/>
      <c r="VHV2" s="103"/>
      <c r="VHW2" s="104"/>
      <c r="VHX2" s="103"/>
      <c r="VHY2" s="104"/>
      <c r="VHZ2" s="103"/>
      <c r="VIA2" s="104"/>
      <c r="VIB2" s="103"/>
      <c r="VIC2" s="104"/>
      <c r="VID2" s="103"/>
      <c r="VIE2" s="104"/>
      <c r="VIF2" s="103"/>
      <c r="VIG2" s="104"/>
      <c r="VIH2" s="103"/>
      <c r="VII2" s="104"/>
      <c r="VIJ2" s="103"/>
      <c r="VIK2" s="104"/>
      <c r="VIL2" s="103"/>
      <c r="VIM2" s="104"/>
      <c r="VIN2" s="103"/>
      <c r="VIO2" s="104"/>
      <c r="VIP2" s="103"/>
      <c r="VIQ2" s="104"/>
      <c r="VIR2" s="103"/>
      <c r="VIS2" s="104"/>
      <c r="VIT2" s="103"/>
      <c r="VIU2" s="104"/>
      <c r="VIV2" s="103"/>
      <c r="VIW2" s="104"/>
      <c r="VIX2" s="103"/>
      <c r="VIY2" s="104"/>
      <c r="VIZ2" s="103"/>
      <c r="VJA2" s="104"/>
      <c r="VJB2" s="103"/>
      <c r="VJC2" s="104"/>
      <c r="VJD2" s="103"/>
      <c r="VJE2" s="104"/>
      <c r="VJF2" s="103"/>
      <c r="VJG2" s="104"/>
      <c r="VJH2" s="103"/>
      <c r="VJI2" s="104"/>
      <c r="VJJ2" s="103"/>
      <c r="VJK2" s="104"/>
      <c r="VJL2" s="103"/>
      <c r="VJM2" s="104"/>
      <c r="VJN2" s="103"/>
      <c r="VJO2" s="104"/>
      <c r="VJP2" s="103"/>
      <c r="VJQ2" s="104"/>
      <c r="VJR2" s="103"/>
      <c r="VJS2" s="104"/>
      <c r="VJT2" s="103"/>
      <c r="VJU2" s="104"/>
      <c r="VJV2" s="103"/>
      <c r="VJW2" s="104"/>
      <c r="VJX2" s="103"/>
      <c r="VJY2" s="104"/>
      <c r="VJZ2" s="103"/>
      <c r="VKA2" s="104"/>
      <c r="VKB2" s="103"/>
      <c r="VKC2" s="104"/>
      <c r="VKD2" s="103"/>
      <c r="VKE2" s="104"/>
      <c r="VKF2" s="103"/>
      <c r="VKG2" s="104"/>
      <c r="VKH2" s="103"/>
      <c r="VKI2" s="104"/>
      <c r="VKJ2" s="103"/>
      <c r="VKK2" s="104"/>
      <c r="VKL2" s="103"/>
      <c r="VKM2" s="104"/>
      <c r="VKN2" s="103"/>
      <c r="VKO2" s="104"/>
      <c r="VKP2" s="103"/>
      <c r="VKQ2" s="104"/>
      <c r="VKR2" s="103"/>
      <c r="VKS2" s="104"/>
      <c r="VKT2" s="103"/>
      <c r="VKU2" s="104"/>
      <c r="VKV2" s="103"/>
      <c r="VKW2" s="104"/>
      <c r="VKX2" s="103"/>
      <c r="VKY2" s="104"/>
      <c r="VKZ2" s="103"/>
      <c r="VLA2" s="104"/>
      <c r="VLB2" s="103"/>
      <c r="VLC2" s="104"/>
      <c r="VLD2" s="103"/>
      <c r="VLE2" s="104"/>
      <c r="VLF2" s="103"/>
      <c r="VLG2" s="104"/>
      <c r="VLH2" s="103"/>
      <c r="VLI2" s="104"/>
      <c r="VLJ2" s="103"/>
      <c r="VLK2" s="104"/>
      <c r="VLL2" s="103"/>
      <c r="VLM2" s="104"/>
      <c r="VLN2" s="103"/>
      <c r="VLO2" s="104"/>
      <c r="VLP2" s="103"/>
      <c r="VLQ2" s="104"/>
      <c r="VLR2" s="103"/>
      <c r="VLS2" s="104"/>
      <c r="VLT2" s="103"/>
      <c r="VLU2" s="104"/>
      <c r="VLV2" s="103"/>
      <c r="VLW2" s="104"/>
      <c r="VLX2" s="103"/>
      <c r="VLY2" s="104"/>
      <c r="VLZ2" s="103"/>
      <c r="VMA2" s="104"/>
      <c r="VMB2" s="103"/>
      <c r="VMC2" s="104"/>
      <c r="VMD2" s="103"/>
      <c r="VME2" s="104"/>
      <c r="VMF2" s="103"/>
      <c r="VMG2" s="104"/>
      <c r="VMH2" s="103"/>
      <c r="VMI2" s="104"/>
      <c r="VMJ2" s="103"/>
      <c r="VMK2" s="104"/>
      <c r="VML2" s="103"/>
      <c r="VMM2" s="104"/>
      <c r="VMN2" s="103"/>
      <c r="VMO2" s="104"/>
      <c r="VMP2" s="103"/>
      <c r="VMQ2" s="104"/>
      <c r="VMR2" s="103"/>
      <c r="VMS2" s="104"/>
      <c r="VMT2" s="103"/>
      <c r="VMU2" s="104"/>
      <c r="VMV2" s="103"/>
      <c r="VMW2" s="104"/>
      <c r="VMX2" s="103"/>
      <c r="VMY2" s="104"/>
      <c r="VMZ2" s="103"/>
      <c r="VNA2" s="104"/>
      <c r="VNB2" s="103"/>
      <c r="VNC2" s="104"/>
      <c r="VND2" s="103"/>
      <c r="VNE2" s="104"/>
      <c r="VNF2" s="103"/>
      <c r="VNG2" s="104"/>
      <c r="VNH2" s="103"/>
      <c r="VNI2" s="104"/>
      <c r="VNJ2" s="103"/>
      <c r="VNK2" s="104"/>
      <c r="VNL2" s="103"/>
      <c r="VNM2" s="104"/>
      <c r="VNN2" s="103"/>
      <c r="VNO2" s="104"/>
      <c r="VNP2" s="103"/>
      <c r="VNQ2" s="104"/>
      <c r="VNR2" s="103"/>
      <c r="VNS2" s="104"/>
      <c r="VNT2" s="103"/>
      <c r="VNU2" s="104"/>
      <c r="VNV2" s="103"/>
      <c r="VNW2" s="104"/>
      <c r="VNX2" s="103"/>
      <c r="VNY2" s="104"/>
      <c r="VNZ2" s="103"/>
      <c r="VOA2" s="104"/>
      <c r="VOB2" s="103"/>
      <c r="VOC2" s="104"/>
      <c r="VOD2" s="103"/>
      <c r="VOE2" s="104"/>
      <c r="VOF2" s="103"/>
      <c r="VOG2" s="104"/>
      <c r="VOH2" s="103"/>
      <c r="VOI2" s="104"/>
      <c r="VOJ2" s="103"/>
      <c r="VOK2" s="104"/>
      <c r="VOL2" s="103"/>
      <c r="VOM2" s="104"/>
      <c r="VON2" s="103"/>
      <c r="VOO2" s="104"/>
      <c r="VOP2" s="103"/>
      <c r="VOQ2" s="104"/>
      <c r="VOR2" s="103"/>
      <c r="VOS2" s="104"/>
      <c r="VOT2" s="103"/>
      <c r="VOU2" s="104"/>
      <c r="VOV2" s="103"/>
      <c r="VOW2" s="104"/>
      <c r="VOX2" s="103"/>
      <c r="VOY2" s="104"/>
      <c r="VOZ2" s="103"/>
      <c r="VPA2" s="104"/>
      <c r="VPB2" s="103"/>
      <c r="VPC2" s="104"/>
      <c r="VPD2" s="103"/>
      <c r="VPE2" s="104"/>
      <c r="VPF2" s="103"/>
      <c r="VPG2" s="104"/>
      <c r="VPH2" s="103"/>
      <c r="VPI2" s="104"/>
      <c r="VPJ2" s="103"/>
      <c r="VPK2" s="104"/>
      <c r="VPL2" s="103"/>
      <c r="VPM2" s="104"/>
      <c r="VPN2" s="103"/>
      <c r="VPO2" s="104"/>
      <c r="VPP2" s="103"/>
      <c r="VPQ2" s="104"/>
      <c r="VPR2" s="103"/>
      <c r="VPS2" s="104"/>
      <c r="VPT2" s="103"/>
      <c r="VPU2" s="104"/>
      <c r="VPV2" s="103"/>
      <c r="VPW2" s="104"/>
      <c r="VPX2" s="103"/>
      <c r="VPY2" s="104"/>
      <c r="VPZ2" s="103"/>
      <c r="VQA2" s="104"/>
      <c r="VQB2" s="103"/>
      <c r="VQC2" s="104"/>
      <c r="VQD2" s="103"/>
      <c r="VQE2" s="104"/>
      <c r="VQF2" s="103"/>
      <c r="VQG2" s="104"/>
      <c r="VQH2" s="103"/>
      <c r="VQI2" s="104"/>
      <c r="VQJ2" s="103"/>
      <c r="VQK2" s="104"/>
      <c r="VQL2" s="103"/>
      <c r="VQM2" s="104"/>
      <c r="VQN2" s="103"/>
      <c r="VQO2" s="104"/>
      <c r="VQP2" s="103"/>
      <c r="VQQ2" s="104"/>
      <c r="VQR2" s="103"/>
      <c r="VQS2" s="104"/>
      <c r="VQT2" s="103"/>
      <c r="VQU2" s="104"/>
      <c r="VQV2" s="103"/>
      <c r="VQW2" s="104"/>
      <c r="VQX2" s="103"/>
      <c r="VQY2" s="104"/>
      <c r="VQZ2" s="103"/>
      <c r="VRA2" s="104"/>
      <c r="VRB2" s="103"/>
      <c r="VRC2" s="104"/>
      <c r="VRD2" s="103"/>
      <c r="VRE2" s="104"/>
      <c r="VRF2" s="103"/>
      <c r="VRG2" s="104"/>
      <c r="VRH2" s="103"/>
      <c r="VRI2" s="104"/>
      <c r="VRJ2" s="103"/>
      <c r="VRK2" s="104"/>
      <c r="VRL2" s="103"/>
      <c r="VRM2" s="104"/>
      <c r="VRN2" s="103"/>
      <c r="VRO2" s="104"/>
      <c r="VRP2" s="103"/>
      <c r="VRQ2" s="104"/>
      <c r="VRR2" s="103"/>
      <c r="VRS2" s="104"/>
      <c r="VRT2" s="103"/>
      <c r="VRU2" s="104"/>
      <c r="VRV2" s="103"/>
      <c r="VRW2" s="104"/>
      <c r="VRX2" s="103"/>
      <c r="VRY2" s="104"/>
      <c r="VRZ2" s="103"/>
      <c r="VSA2" s="104"/>
      <c r="VSB2" s="103"/>
      <c r="VSC2" s="104"/>
      <c r="VSD2" s="103"/>
      <c r="VSE2" s="104"/>
      <c r="VSF2" s="103"/>
      <c r="VSG2" s="104"/>
      <c r="VSH2" s="103"/>
      <c r="VSI2" s="104"/>
      <c r="VSJ2" s="103"/>
      <c r="VSK2" s="104"/>
      <c r="VSL2" s="103"/>
      <c r="VSM2" s="104"/>
      <c r="VSN2" s="103"/>
      <c r="VSO2" s="104"/>
      <c r="VSP2" s="103"/>
      <c r="VSQ2" s="104"/>
      <c r="VSR2" s="103"/>
      <c r="VSS2" s="104"/>
      <c r="VST2" s="103"/>
      <c r="VSU2" s="104"/>
      <c r="VSV2" s="103"/>
      <c r="VSW2" s="104"/>
      <c r="VSX2" s="103"/>
      <c r="VSY2" s="104"/>
      <c r="VSZ2" s="103"/>
      <c r="VTA2" s="104"/>
      <c r="VTB2" s="103"/>
      <c r="VTC2" s="104"/>
      <c r="VTD2" s="103"/>
      <c r="VTE2" s="104"/>
      <c r="VTF2" s="103"/>
      <c r="VTG2" s="104"/>
      <c r="VTH2" s="103"/>
      <c r="VTI2" s="104"/>
      <c r="VTJ2" s="103"/>
      <c r="VTK2" s="104"/>
      <c r="VTL2" s="103"/>
      <c r="VTM2" s="104"/>
      <c r="VTN2" s="103"/>
      <c r="VTO2" s="104"/>
      <c r="VTP2" s="103"/>
      <c r="VTQ2" s="104"/>
      <c r="VTR2" s="103"/>
      <c r="VTS2" s="104"/>
      <c r="VTT2" s="103"/>
      <c r="VTU2" s="104"/>
      <c r="VTV2" s="103"/>
      <c r="VTW2" s="104"/>
      <c r="VTX2" s="103"/>
      <c r="VTY2" s="104"/>
      <c r="VTZ2" s="103"/>
      <c r="VUA2" s="104"/>
      <c r="VUB2" s="103"/>
      <c r="VUC2" s="104"/>
      <c r="VUD2" s="103"/>
      <c r="VUE2" s="104"/>
      <c r="VUF2" s="103"/>
      <c r="VUG2" s="104"/>
      <c r="VUH2" s="103"/>
      <c r="VUI2" s="104"/>
      <c r="VUJ2" s="103"/>
      <c r="VUK2" s="104"/>
      <c r="VUL2" s="103"/>
      <c r="VUM2" s="104"/>
      <c r="VUN2" s="103"/>
      <c r="VUO2" s="104"/>
      <c r="VUP2" s="103"/>
      <c r="VUQ2" s="104"/>
      <c r="VUR2" s="103"/>
      <c r="VUS2" s="104"/>
      <c r="VUT2" s="103"/>
      <c r="VUU2" s="104"/>
      <c r="VUV2" s="103"/>
      <c r="VUW2" s="104"/>
      <c r="VUX2" s="103"/>
      <c r="VUY2" s="104"/>
      <c r="VUZ2" s="103"/>
      <c r="VVA2" s="104"/>
      <c r="VVB2" s="103"/>
      <c r="VVC2" s="104"/>
      <c r="VVD2" s="103"/>
      <c r="VVE2" s="104"/>
      <c r="VVF2" s="103"/>
      <c r="VVG2" s="104"/>
      <c r="VVH2" s="103"/>
      <c r="VVI2" s="104"/>
      <c r="VVJ2" s="103"/>
      <c r="VVK2" s="104"/>
      <c r="VVL2" s="103"/>
      <c r="VVM2" s="104"/>
      <c r="VVN2" s="103"/>
      <c r="VVO2" s="104"/>
      <c r="VVP2" s="103"/>
      <c r="VVQ2" s="104"/>
      <c r="VVR2" s="103"/>
      <c r="VVS2" s="104"/>
      <c r="VVT2" s="103"/>
      <c r="VVU2" s="104"/>
      <c r="VVV2" s="103"/>
      <c r="VVW2" s="104"/>
      <c r="VVX2" s="103"/>
      <c r="VVY2" s="104"/>
      <c r="VVZ2" s="103"/>
      <c r="VWA2" s="104"/>
      <c r="VWB2" s="103"/>
      <c r="VWC2" s="104"/>
      <c r="VWD2" s="103"/>
      <c r="VWE2" s="104"/>
      <c r="VWF2" s="103"/>
      <c r="VWG2" s="104"/>
      <c r="VWH2" s="103"/>
      <c r="VWI2" s="104"/>
      <c r="VWJ2" s="103"/>
      <c r="VWK2" s="104"/>
      <c r="VWL2" s="103"/>
      <c r="VWM2" s="104"/>
      <c r="VWN2" s="103"/>
      <c r="VWO2" s="104"/>
      <c r="VWP2" s="103"/>
      <c r="VWQ2" s="104"/>
      <c r="VWR2" s="103"/>
      <c r="VWS2" s="104"/>
      <c r="VWT2" s="103"/>
      <c r="VWU2" s="104"/>
      <c r="VWV2" s="103"/>
      <c r="VWW2" s="104"/>
      <c r="VWX2" s="103"/>
      <c r="VWY2" s="104"/>
      <c r="VWZ2" s="103"/>
      <c r="VXA2" s="104"/>
      <c r="VXB2" s="103"/>
      <c r="VXC2" s="104"/>
      <c r="VXD2" s="103"/>
      <c r="VXE2" s="104"/>
      <c r="VXF2" s="103"/>
      <c r="VXG2" s="104"/>
      <c r="VXH2" s="103"/>
      <c r="VXI2" s="104"/>
      <c r="VXJ2" s="103"/>
      <c r="VXK2" s="104"/>
      <c r="VXL2" s="103"/>
      <c r="VXM2" s="104"/>
      <c r="VXN2" s="103"/>
      <c r="VXO2" s="104"/>
      <c r="VXP2" s="103"/>
      <c r="VXQ2" s="104"/>
      <c r="VXR2" s="103"/>
      <c r="VXS2" s="104"/>
      <c r="VXT2" s="103"/>
      <c r="VXU2" s="104"/>
      <c r="VXV2" s="103"/>
      <c r="VXW2" s="104"/>
      <c r="VXX2" s="103"/>
      <c r="VXY2" s="104"/>
      <c r="VXZ2" s="103"/>
      <c r="VYA2" s="104"/>
      <c r="VYB2" s="103"/>
      <c r="VYC2" s="104"/>
      <c r="VYD2" s="103"/>
      <c r="VYE2" s="104"/>
      <c r="VYF2" s="103"/>
      <c r="VYG2" s="104"/>
      <c r="VYH2" s="103"/>
      <c r="VYI2" s="104"/>
      <c r="VYJ2" s="103"/>
      <c r="VYK2" s="104"/>
      <c r="VYL2" s="103"/>
      <c r="VYM2" s="104"/>
      <c r="VYN2" s="103"/>
      <c r="VYO2" s="104"/>
      <c r="VYP2" s="103"/>
      <c r="VYQ2" s="104"/>
      <c r="VYR2" s="103"/>
      <c r="VYS2" s="104"/>
      <c r="VYT2" s="103"/>
      <c r="VYU2" s="104"/>
      <c r="VYV2" s="103"/>
      <c r="VYW2" s="104"/>
      <c r="VYX2" s="103"/>
      <c r="VYY2" s="104"/>
      <c r="VYZ2" s="103"/>
      <c r="VZA2" s="104"/>
      <c r="VZB2" s="103"/>
      <c r="VZC2" s="104"/>
      <c r="VZD2" s="103"/>
      <c r="VZE2" s="104"/>
      <c r="VZF2" s="103"/>
      <c r="VZG2" s="104"/>
      <c r="VZH2" s="103"/>
      <c r="VZI2" s="104"/>
      <c r="VZJ2" s="103"/>
      <c r="VZK2" s="104"/>
      <c r="VZL2" s="103"/>
      <c r="VZM2" s="104"/>
      <c r="VZN2" s="103"/>
      <c r="VZO2" s="104"/>
      <c r="VZP2" s="103"/>
      <c r="VZQ2" s="104"/>
      <c r="VZR2" s="103"/>
      <c r="VZS2" s="104"/>
      <c r="VZT2" s="103"/>
      <c r="VZU2" s="104"/>
      <c r="VZV2" s="103"/>
      <c r="VZW2" s="104"/>
      <c r="VZX2" s="103"/>
      <c r="VZY2" s="104"/>
      <c r="VZZ2" s="103"/>
      <c r="WAA2" s="104"/>
      <c r="WAB2" s="103"/>
      <c r="WAC2" s="104"/>
      <c r="WAD2" s="103"/>
      <c r="WAE2" s="104"/>
      <c r="WAF2" s="103"/>
      <c r="WAG2" s="104"/>
      <c r="WAH2" s="103"/>
      <c r="WAI2" s="104"/>
      <c r="WAJ2" s="103"/>
      <c r="WAK2" s="104"/>
      <c r="WAL2" s="103"/>
      <c r="WAM2" s="104"/>
      <c r="WAN2" s="103"/>
      <c r="WAO2" s="104"/>
      <c r="WAP2" s="103"/>
      <c r="WAQ2" s="104"/>
      <c r="WAR2" s="103"/>
      <c r="WAS2" s="104"/>
      <c r="WAT2" s="103"/>
      <c r="WAU2" s="104"/>
      <c r="WAV2" s="103"/>
      <c r="WAW2" s="104"/>
      <c r="WAX2" s="103"/>
      <c r="WAY2" s="104"/>
      <c r="WAZ2" s="103"/>
      <c r="WBA2" s="104"/>
      <c r="WBB2" s="103"/>
      <c r="WBC2" s="104"/>
      <c r="WBD2" s="103"/>
      <c r="WBE2" s="104"/>
      <c r="WBF2" s="103"/>
      <c r="WBG2" s="104"/>
      <c r="WBH2" s="103"/>
      <c r="WBI2" s="104"/>
      <c r="WBJ2" s="103"/>
      <c r="WBK2" s="104"/>
      <c r="WBL2" s="103"/>
      <c r="WBM2" s="104"/>
      <c r="WBN2" s="103"/>
      <c r="WBO2" s="104"/>
      <c r="WBP2" s="103"/>
      <c r="WBQ2" s="104"/>
      <c r="WBR2" s="103"/>
      <c r="WBS2" s="104"/>
      <c r="WBT2" s="103"/>
      <c r="WBU2" s="104"/>
      <c r="WBV2" s="103"/>
      <c r="WBW2" s="104"/>
      <c r="WBX2" s="103"/>
      <c r="WBY2" s="104"/>
      <c r="WBZ2" s="103"/>
      <c r="WCA2" s="104"/>
      <c r="WCB2" s="103"/>
      <c r="WCC2" s="104"/>
      <c r="WCD2" s="103"/>
      <c r="WCE2" s="104"/>
      <c r="WCF2" s="103"/>
      <c r="WCG2" s="104"/>
      <c r="WCH2" s="103"/>
      <c r="WCI2" s="104"/>
      <c r="WCJ2" s="103"/>
      <c r="WCK2" s="104"/>
      <c r="WCL2" s="103"/>
      <c r="WCM2" s="104"/>
      <c r="WCN2" s="103"/>
      <c r="WCO2" s="104"/>
      <c r="WCP2" s="103"/>
      <c r="WCQ2" s="104"/>
      <c r="WCR2" s="103"/>
      <c r="WCS2" s="104"/>
      <c r="WCT2" s="103"/>
      <c r="WCU2" s="104"/>
      <c r="WCV2" s="103"/>
      <c r="WCW2" s="104"/>
      <c r="WCX2" s="103"/>
      <c r="WCY2" s="104"/>
      <c r="WCZ2" s="103"/>
      <c r="WDA2" s="104"/>
      <c r="WDB2" s="103"/>
      <c r="WDC2" s="104"/>
      <c r="WDD2" s="103"/>
      <c r="WDE2" s="104"/>
      <c r="WDF2" s="103"/>
      <c r="WDG2" s="104"/>
      <c r="WDH2" s="103"/>
      <c r="WDI2" s="104"/>
      <c r="WDJ2" s="103"/>
      <c r="WDK2" s="104"/>
      <c r="WDL2" s="103"/>
      <c r="WDM2" s="104"/>
      <c r="WDN2" s="103"/>
      <c r="WDO2" s="104"/>
      <c r="WDP2" s="103"/>
      <c r="WDQ2" s="104"/>
      <c r="WDR2" s="103"/>
      <c r="WDS2" s="104"/>
      <c r="WDT2" s="103"/>
      <c r="WDU2" s="104"/>
      <c r="WDV2" s="103"/>
      <c r="WDW2" s="104"/>
      <c r="WDX2" s="103"/>
      <c r="WDY2" s="104"/>
      <c r="WDZ2" s="103"/>
      <c r="WEA2" s="104"/>
      <c r="WEB2" s="103"/>
      <c r="WEC2" s="104"/>
      <c r="WED2" s="103"/>
      <c r="WEE2" s="104"/>
      <c r="WEF2" s="103"/>
      <c r="WEG2" s="104"/>
      <c r="WEH2" s="103"/>
      <c r="WEI2" s="104"/>
      <c r="WEJ2" s="103"/>
      <c r="WEK2" s="104"/>
      <c r="WEL2" s="103"/>
      <c r="WEM2" s="104"/>
      <c r="WEN2" s="103"/>
      <c r="WEO2" s="104"/>
      <c r="WEP2" s="103"/>
      <c r="WEQ2" s="104"/>
      <c r="WER2" s="103"/>
      <c r="WES2" s="104"/>
      <c r="WET2" s="103"/>
      <c r="WEU2" s="104"/>
      <c r="WEV2" s="103"/>
      <c r="WEW2" s="104"/>
      <c r="WEX2" s="103"/>
      <c r="WEY2" s="104"/>
      <c r="WEZ2" s="103"/>
      <c r="WFA2" s="104"/>
      <c r="WFB2" s="103"/>
      <c r="WFC2" s="104"/>
      <c r="WFD2" s="103"/>
      <c r="WFE2" s="104"/>
      <c r="WFF2" s="103"/>
      <c r="WFG2" s="104"/>
      <c r="WFH2" s="103"/>
      <c r="WFI2" s="104"/>
      <c r="WFJ2" s="103"/>
      <c r="WFK2" s="104"/>
      <c r="WFL2" s="103"/>
      <c r="WFM2" s="104"/>
      <c r="WFN2" s="103"/>
      <c r="WFO2" s="104"/>
      <c r="WFP2" s="103"/>
      <c r="WFQ2" s="104"/>
      <c r="WFR2" s="103"/>
      <c r="WFS2" s="104"/>
      <c r="WFT2" s="103"/>
      <c r="WFU2" s="104"/>
      <c r="WFV2" s="103"/>
      <c r="WFW2" s="104"/>
      <c r="WFX2" s="103"/>
      <c r="WFY2" s="104"/>
      <c r="WFZ2" s="103"/>
      <c r="WGA2" s="104"/>
      <c r="WGB2" s="103"/>
      <c r="WGC2" s="104"/>
      <c r="WGD2" s="103"/>
      <c r="WGE2" s="104"/>
      <c r="WGF2" s="103"/>
      <c r="WGG2" s="104"/>
      <c r="WGH2" s="103"/>
      <c r="WGI2" s="104"/>
      <c r="WGJ2" s="103"/>
      <c r="WGK2" s="104"/>
      <c r="WGL2" s="103"/>
      <c r="WGM2" s="104"/>
      <c r="WGN2" s="103"/>
      <c r="WGO2" s="104"/>
      <c r="WGP2" s="103"/>
      <c r="WGQ2" s="104"/>
      <c r="WGR2" s="103"/>
      <c r="WGS2" s="104"/>
      <c r="WGT2" s="103"/>
      <c r="WGU2" s="104"/>
      <c r="WGV2" s="103"/>
      <c r="WGW2" s="104"/>
      <c r="WGX2" s="103"/>
      <c r="WGY2" s="104"/>
      <c r="WGZ2" s="103"/>
      <c r="WHA2" s="104"/>
      <c r="WHB2" s="103"/>
      <c r="WHC2" s="104"/>
      <c r="WHD2" s="103"/>
      <c r="WHE2" s="104"/>
      <c r="WHF2" s="103"/>
      <c r="WHG2" s="104"/>
      <c r="WHH2" s="103"/>
      <c r="WHI2" s="104"/>
      <c r="WHJ2" s="103"/>
      <c r="WHK2" s="104"/>
      <c r="WHL2" s="103"/>
      <c r="WHM2" s="104"/>
      <c r="WHN2" s="103"/>
      <c r="WHO2" s="104"/>
      <c r="WHP2" s="103"/>
      <c r="WHQ2" s="104"/>
      <c r="WHR2" s="103"/>
      <c r="WHS2" s="104"/>
      <c r="WHT2" s="103"/>
      <c r="WHU2" s="104"/>
      <c r="WHV2" s="103"/>
      <c r="WHW2" s="104"/>
      <c r="WHX2" s="103"/>
      <c r="WHY2" s="104"/>
      <c r="WHZ2" s="103"/>
      <c r="WIA2" s="104"/>
      <c r="WIB2" s="103"/>
      <c r="WIC2" s="104"/>
      <c r="WID2" s="103"/>
      <c r="WIE2" s="104"/>
      <c r="WIF2" s="103"/>
      <c r="WIG2" s="104"/>
      <c r="WIH2" s="103"/>
      <c r="WII2" s="104"/>
      <c r="WIJ2" s="103"/>
      <c r="WIK2" s="104"/>
      <c r="WIL2" s="103"/>
      <c r="WIM2" s="104"/>
      <c r="WIN2" s="103"/>
      <c r="WIO2" s="104"/>
      <c r="WIP2" s="103"/>
      <c r="WIQ2" s="104"/>
      <c r="WIR2" s="103"/>
      <c r="WIS2" s="104"/>
      <c r="WIT2" s="103"/>
      <c r="WIU2" s="104"/>
      <c r="WIV2" s="103"/>
      <c r="WIW2" s="104"/>
      <c r="WIX2" s="103"/>
      <c r="WIY2" s="104"/>
      <c r="WIZ2" s="103"/>
      <c r="WJA2" s="104"/>
      <c r="WJB2" s="103"/>
      <c r="WJC2" s="104"/>
      <c r="WJD2" s="103"/>
      <c r="WJE2" s="104"/>
      <c r="WJF2" s="103"/>
      <c r="WJG2" s="104"/>
      <c r="WJH2" s="103"/>
      <c r="WJI2" s="104"/>
      <c r="WJJ2" s="103"/>
      <c r="WJK2" s="104"/>
      <c r="WJL2" s="103"/>
      <c r="WJM2" s="104"/>
      <c r="WJN2" s="103"/>
      <c r="WJO2" s="104"/>
      <c r="WJP2" s="103"/>
      <c r="WJQ2" s="104"/>
      <c r="WJR2" s="103"/>
      <c r="WJS2" s="104"/>
      <c r="WJT2" s="103"/>
      <c r="WJU2" s="104"/>
      <c r="WJV2" s="103"/>
      <c r="WJW2" s="104"/>
      <c r="WJX2" s="103"/>
      <c r="WJY2" s="104"/>
      <c r="WJZ2" s="103"/>
      <c r="WKA2" s="104"/>
      <c r="WKB2" s="103"/>
      <c r="WKC2" s="104"/>
      <c r="WKD2" s="103"/>
      <c r="WKE2" s="104"/>
      <c r="WKF2" s="103"/>
      <c r="WKG2" s="104"/>
      <c r="WKH2" s="103"/>
      <c r="WKI2" s="104"/>
      <c r="WKJ2" s="103"/>
      <c r="WKK2" s="104"/>
      <c r="WKL2" s="103"/>
      <c r="WKM2" s="104"/>
      <c r="WKN2" s="103"/>
      <c r="WKO2" s="104"/>
      <c r="WKP2" s="103"/>
      <c r="WKQ2" s="104"/>
      <c r="WKR2" s="103"/>
      <c r="WKS2" s="104"/>
      <c r="WKT2" s="103"/>
      <c r="WKU2" s="104"/>
      <c r="WKV2" s="103"/>
      <c r="WKW2" s="104"/>
      <c r="WKX2" s="103"/>
      <c r="WKY2" s="104"/>
      <c r="WKZ2" s="103"/>
      <c r="WLA2" s="104"/>
      <c r="WLB2" s="103"/>
      <c r="WLC2" s="104"/>
      <c r="WLD2" s="103"/>
      <c r="WLE2" s="104"/>
      <c r="WLF2" s="103"/>
      <c r="WLG2" s="104"/>
      <c r="WLH2" s="103"/>
      <c r="WLI2" s="104"/>
      <c r="WLJ2" s="103"/>
      <c r="WLK2" s="104"/>
      <c r="WLL2" s="103"/>
      <c r="WLM2" s="104"/>
      <c r="WLN2" s="103"/>
      <c r="WLO2" s="104"/>
      <c r="WLP2" s="103"/>
      <c r="WLQ2" s="104"/>
      <c r="WLR2" s="103"/>
      <c r="WLS2" s="104"/>
      <c r="WLT2" s="103"/>
      <c r="WLU2" s="104"/>
      <c r="WLV2" s="103"/>
      <c r="WLW2" s="104"/>
      <c r="WLX2" s="103"/>
      <c r="WLY2" s="104"/>
      <c r="WLZ2" s="103"/>
      <c r="WMA2" s="104"/>
      <c r="WMB2" s="103"/>
      <c r="WMC2" s="104"/>
      <c r="WMD2" s="103"/>
      <c r="WME2" s="104"/>
      <c r="WMF2" s="103"/>
      <c r="WMG2" s="104"/>
      <c r="WMH2" s="103"/>
      <c r="WMI2" s="104"/>
      <c r="WMJ2" s="103"/>
      <c r="WMK2" s="104"/>
      <c r="WML2" s="103"/>
      <c r="WMM2" s="104"/>
      <c r="WMN2" s="103"/>
      <c r="WMO2" s="104"/>
      <c r="WMP2" s="103"/>
      <c r="WMQ2" s="104"/>
      <c r="WMR2" s="103"/>
      <c r="WMS2" s="104"/>
      <c r="WMT2" s="103"/>
      <c r="WMU2" s="104"/>
      <c r="WMV2" s="103"/>
      <c r="WMW2" s="104"/>
      <c r="WMX2" s="103"/>
      <c r="WMY2" s="104"/>
      <c r="WMZ2" s="103"/>
      <c r="WNA2" s="104"/>
      <c r="WNB2" s="103"/>
      <c r="WNC2" s="104"/>
      <c r="WND2" s="103"/>
      <c r="WNE2" s="104"/>
      <c r="WNF2" s="103"/>
      <c r="WNG2" s="104"/>
      <c r="WNH2" s="103"/>
      <c r="WNI2" s="104"/>
      <c r="WNJ2" s="103"/>
      <c r="WNK2" s="104"/>
      <c r="WNL2" s="103"/>
      <c r="WNM2" s="104"/>
      <c r="WNN2" s="103"/>
      <c r="WNO2" s="104"/>
      <c r="WNP2" s="103"/>
      <c r="WNQ2" s="104"/>
      <c r="WNR2" s="103"/>
      <c r="WNS2" s="104"/>
      <c r="WNT2" s="103"/>
      <c r="WNU2" s="104"/>
      <c r="WNV2" s="103"/>
      <c r="WNW2" s="104"/>
      <c r="WNX2" s="103"/>
      <c r="WNY2" s="104"/>
      <c r="WNZ2" s="103"/>
      <c r="WOA2" s="104"/>
      <c r="WOB2" s="103"/>
      <c r="WOC2" s="104"/>
      <c r="WOD2" s="103"/>
      <c r="WOE2" s="104"/>
      <c r="WOF2" s="103"/>
      <c r="WOG2" s="104"/>
      <c r="WOH2" s="103"/>
      <c r="WOI2" s="104"/>
      <c r="WOJ2" s="103"/>
      <c r="WOK2" s="104"/>
      <c r="WOL2" s="103"/>
      <c r="WOM2" s="104"/>
      <c r="WON2" s="103"/>
      <c r="WOO2" s="104"/>
      <c r="WOP2" s="103"/>
      <c r="WOQ2" s="104"/>
      <c r="WOR2" s="103"/>
      <c r="WOS2" s="104"/>
      <c r="WOT2" s="103"/>
      <c r="WOU2" s="104"/>
      <c r="WOV2" s="103"/>
      <c r="WOW2" s="104"/>
      <c r="WOX2" s="103"/>
      <c r="WOY2" s="104"/>
      <c r="WOZ2" s="103"/>
      <c r="WPA2" s="104"/>
      <c r="WPB2" s="103"/>
      <c r="WPC2" s="104"/>
      <c r="WPD2" s="103"/>
      <c r="WPE2" s="104"/>
      <c r="WPF2" s="103"/>
      <c r="WPG2" s="104"/>
      <c r="WPH2" s="103"/>
      <c r="WPI2" s="104"/>
      <c r="WPJ2" s="103"/>
      <c r="WPK2" s="104"/>
      <c r="WPL2" s="103"/>
      <c r="WPM2" s="104"/>
      <c r="WPN2" s="103"/>
      <c r="WPO2" s="104"/>
      <c r="WPP2" s="103"/>
      <c r="WPQ2" s="104"/>
      <c r="WPR2" s="103"/>
      <c r="WPS2" s="104"/>
      <c r="WPT2" s="103"/>
      <c r="WPU2" s="104"/>
      <c r="WPV2" s="103"/>
      <c r="WPW2" s="104"/>
      <c r="WPX2" s="103"/>
      <c r="WPY2" s="104"/>
      <c r="WPZ2" s="103"/>
      <c r="WQA2" s="104"/>
      <c r="WQB2" s="103"/>
      <c r="WQC2" s="104"/>
      <c r="WQD2" s="103"/>
      <c r="WQE2" s="104"/>
      <c r="WQF2" s="103"/>
      <c r="WQG2" s="104"/>
      <c r="WQH2" s="103"/>
      <c r="WQI2" s="104"/>
      <c r="WQJ2" s="103"/>
      <c r="WQK2" s="104"/>
      <c r="WQL2" s="103"/>
      <c r="WQM2" s="104"/>
      <c r="WQN2" s="103"/>
      <c r="WQO2" s="104"/>
      <c r="WQP2" s="103"/>
      <c r="WQQ2" s="104"/>
      <c r="WQR2" s="103"/>
      <c r="WQS2" s="104"/>
      <c r="WQT2" s="103"/>
      <c r="WQU2" s="104"/>
      <c r="WQV2" s="103"/>
      <c r="WQW2" s="104"/>
      <c r="WQX2" s="103"/>
      <c r="WQY2" s="104"/>
      <c r="WQZ2" s="103"/>
      <c r="WRA2" s="104"/>
      <c r="WRB2" s="103"/>
      <c r="WRC2" s="104"/>
      <c r="WRD2" s="103"/>
      <c r="WRE2" s="104"/>
      <c r="WRF2" s="103"/>
      <c r="WRG2" s="104"/>
      <c r="WRH2" s="103"/>
      <c r="WRI2" s="104"/>
      <c r="WRJ2" s="103"/>
      <c r="WRK2" s="104"/>
      <c r="WRL2" s="103"/>
      <c r="WRM2" s="104"/>
      <c r="WRN2" s="103"/>
      <c r="WRO2" s="104"/>
      <c r="WRP2" s="103"/>
      <c r="WRQ2" s="104"/>
      <c r="WRR2" s="103"/>
      <c r="WRS2" s="104"/>
      <c r="WRT2" s="103"/>
      <c r="WRU2" s="104"/>
      <c r="WRV2" s="103"/>
      <c r="WRW2" s="104"/>
      <c r="WRX2" s="103"/>
      <c r="WRY2" s="104"/>
      <c r="WRZ2" s="103"/>
      <c r="WSA2" s="104"/>
      <c r="WSB2" s="103"/>
      <c r="WSC2" s="104"/>
      <c r="WSD2" s="103"/>
      <c r="WSE2" s="104"/>
      <c r="WSF2" s="103"/>
      <c r="WSG2" s="104"/>
      <c r="WSH2" s="103"/>
      <c r="WSI2" s="104"/>
      <c r="WSJ2" s="103"/>
      <c r="WSK2" s="104"/>
      <c r="WSL2" s="103"/>
      <c r="WSM2" s="104"/>
      <c r="WSN2" s="103"/>
      <c r="WSO2" s="104"/>
      <c r="WSP2" s="103"/>
      <c r="WSQ2" s="104"/>
      <c r="WSR2" s="103"/>
      <c r="WSS2" s="104"/>
      <c r="WST2" s="103"/>
      <c r="WSU2" s="104"/>
      <c r="WSV2" s="103"/>
      <c r="WSW2" s="104"/>
      <c r="WSX2" s="103"/>
      <c r="WSY2" s="104"/>
      <c r="WSZ2" s="103"/>
      <c r="WTA2" s="104"/>
      <c r="WTB2" s="103"/>
      <c r="WTC2" s="104"/>
      <c r="WTD2" s="103"/>
      <c r="WTE2" s="104"/>
      <c r="WTF2" s="103"/>
      <c r="WTG2" s="104"/>
      <c r="WTH2" s="103"/>
      <c r="WTI2" s="104"/>
      <c r="WTJ2" s="103"/>
      <c r="WTK2" s="104"/>
      <c r="WTL2" s="103"/>
      <c r="WTM2" s="104"/>
      <c r="WTN2" s="103"/>
      <c r="WTO2" s="104"/>
      <c r="WTP2" s="103"/>
      <c r="WTQ2" s="104"/>
      <c r="WTR2" s="103"/>
      <c r="WTS2" s="104"/>
      <c r="WTT2" s="103"/>
      <c r="WTU2" s="104"/>
      <c r="WTV2" s="103"/>
      <c r="WTW2" s="104"/>
      <c r="WTX2" s="103"/>
      <c r="WTY2" s="104"/>
      <c r="WTZ2" s="103"/>
      <c r="WUA2" s="104"/>
      <c r="WUB2" s="103"/>
      <c r="WUC2" s="104"/>
      <c r="WUD2" s="103"/>
      <c r="WUE2" s="104"/>
      <c r="WUF2" s="103"/>
      <c r="WUG2" s="104"/>
      <c r="WUH2" s="103"/>
      <c r="WUI2" s="104"/>
      <c r="WUJ2" s="103"/>
      <c r="WUK2" s="104"/>
      <c r="WUL2" s="103"/>
      <c r="WUM2" s="104"/>
      <c r="WUN2" s="103"/>
      <c r="WUO2" s="104"/>
      <c r="WUP2" s="103"/>
      <c r="WUQ2" s="104"/>
      <c r="WUR2" s="103"/>
      <c r="WUS2" s="104"/>
      <c r="WUT2" s="103"/>
      <c r="WUU2" s="104"/>
      <c r="WUV2" s="103"/>
      <c r="WUW2" s="104"/>
      <c r="WUX2" s="103"/>
      <c r="WUY2" s="104"/>
      <c r="WUZ2" s="103"/>
      <c r="WVA2" s="104"/>
      <c r="WVB2" s="103"/>
      <c r="WVC2" s="104"/>
      <c r="WVD2" s="103"/>
      <c r="WVE2" s="104"/>
      <c r="WVF2" s="103"/>
      <c r="WVG2" s="104"/>
      <c r="WVH2" s="103"/>
      <c r="WVI2" s="104"/>
      <c r="WVJ2" s="103"/>
      <c r="WVK2" s="104"/>
      <c r="WVL2" s="103"/>
      <c r="WVM2" s="104"/>
      <c r="WVN2" s="103"/>
      <c r="WVO2" s="104"/>
      <c r="WVP2" s="103"/>
      <c r="WVQ2" s="104"/>
      <c r="WVR2" s="103"/>
      <c r="WVS2" s="104"/>
      <c r="WVT2" s="103"/>
      <c r="WVU2" s="104"/>
      <c r="WVV2" s="103"/>
      <c r="WVW2" s="104"/>
      <c r="WVX2" s="103"/>
      <c r="WVY2" s="104"/>
      <c r="WVZ2" s="103"/>
      <c r="WWA2" s="104"/>
      <c r="WWB2" s="103"/>
      <c r="WWC2" s="104"/>
      <c r="WWD2" s="103"/>
      <c r="WWE2" s="104"/>
      <c r="WWF2" s="103"/>
      <c r="WWG2" s="104"/>
      <c r="WWH2" s="103"/>
      <c r="WWI2" s="104"/>
      <c r="WWJ2" s="103"/>
      <c r="WWK2" s="104"/>
      <c r="WWL2" s="103"/>
      <c r="WWM2" s="104"/>
      <c r="WWN2" s="103"/>
      <c r="WWO2" s="104"/>
      <c r="WWP2" s="103"/>
      <c r="WWQ2" s="104"/>
      <c r="WWR2" s="103"/>
      <c r="WWS2" s="104"/>
      <c r="WWT2" s="103"/>
      <c r="WWU2" s="104"/>
      <c r="WWV2" s="103"/>
      <c r="WWW2" s="104"/>
      <c r="WWX2" s="103"/>
      <c r="WWY2" s="104"/>
      <c r="WWZ2" s="103"/>
      <c r="WXA2" s="104"/>
      <c r="WXB2" s="103"/>
      <c r="WXC2" s="104"/>
      <c r="WXD2" s="103"/>
      <c r="WXE2" s="104"/>
      <c r="WXF2" s="103"/>
      <c r="WXG2" s="104"/>
      <c r="WXH2" s="103"/>
      <c r="WXI2" s="104"/>
      <c r="WXJ2" s="103"/>
      <c r="WXK2" s="104"/>
      <c r="WXL2" s="103"/>
      <c r="WXM2" s="104"/>
      <c r="WXN2" s="103"/>
      <c r="WXO2" s="104"/>
      <c r="WXP2" s="103"/>
      <c r="WXQ2" s="104"/>
      <c r="WXR2" s="103"/>
      <c r="WXS2" s="104"/>
      <c r="WXT2" s="103"/>
      <c r="WXU2" s="104"/>
      <c r="WXV2" s="103"/>
      <c r="WXW2" s="104"/>
      <c r="WXX2" s="103"/>
      <c r="WXY2" s="104"/>
      <c r="WXZ2" s="103"/>
      <c r="WYA2" s="104"/>
      <c r="WYB2" s="103"/>
      <c r="WYC2" s="104"/>
      <c r="WYD2" s="103"/>
      <c r="WYE2" s="104"/>
      <c r="WYF2" s="103"/>
      <c r="WYG2" s="104"/>
      <c r="WYH2" s="103"/>
      <c r="WYI2" s="104"/>
      <c r="WYJ2" s="103"/>
      <c r="WYK2" s="104"/>
      <c r="WYL2" s="103"/>
      <c r="WYM2" s="104"/>
      <c r="WYN2" s="103"/>
      <c r="WYO2" s="104"/>
      <c r="WYP2" s="103"/>
      <c r="WYQ2" s="104"/>
      <c r="WYR2" s="103"/>
      <c r="WYS2" s="104"/>
      <c r="WYT2" s="103"/>
      <c r="WYU2" s="104"/>
      <c r="WYV2" s="103"/>
      <c r="WYW2" s="104"/>
      <c r="WYX2" s="103"/>
      <c r="WYY2" s="104"/>
      <c r="WYZ2" s="103"/>
      <c r="WZA2" s="104"/>
      <c r="WZB2" s="103"/>
      <c r="WZC2" s="104"/>
      <c r="WZD2" s="103"/>
      <c r="WZE2" s="104"/>
      <c r="WZF2" s="103"/>
      <c r="WZG2" s="104"/>
      <c r="WZH2" s="103"/>
      <c r="WZI2" s="104"/>
      <c r="WZJ2" s="103"/>
      <c r="WZK2" s="104"/>
      <c r="WZL2" s="103"/>
      <c r="WZM2" s="104"/>
      <c r="WZN2" s="103"/>
      <c r="WZO2" s="104"/>
      <c r="WZP2" s="103"/>
      <c r="WZQ2" s="104"/>
      <c r="WZR2" s="103"/>
      <c r="WZS2" s="104"/>
      <c r="WZT2" s="103"/>
      <c r="WZU2" s="104"/>
      <c r="WZV2" s="103"/>
      <c r="WZW2" s="104"/>
      <c r="WZX2" s="103"/>
      <c r="WZY2" s="104"/>
      <c r="WZZ2" s="103"/>
      <c r="XAA2" s="104"/>
      <c r="XAB2" s="103"/>
      <c r="XAC2" s="104"/>
      <c r="XAD2" s="103"/>
      <c r="XAE2" s="104"/>
      <c r="XAF2" s="103"/>
      <c r="XAG2" s="104"/>
      <c r="XAH2" s="103"/>
      <c r="XAI2" s="104"/>
      <c r="XAJ2" s="103"/>
      <c r="XAK2" s="104"/>
      <c r="XAL2" s="103"/>
      <c r="XAM2" s="104"/>
      <c r="XAN2" s="103"/>
      <c r="XAO2" s="104"/>
      <c r="XAP2" s="103"/>
      <c r="XAQ2" s="104"/>
      <c r="XAR2" s="103"/>
      <c r="XAS2" s="104"/>
      <c r="XAT2" s="103"/>
      <c r="XAU2" s="104"/>
      <c r="XAV2" s="103"/>
      <c r="XAW2" s="104"/>
      <c r="XAX2" s="103"/>
      <c r="XAY2" s="104"/>
      <c r="XAZ2" s="103"/>
      <c r="XBA2" s="104"/>
      <c r="XBB2" s="103"/>
      <c r="XBC2" s="104"/>
      <c r="XBD2" s="103"/>
      <c r="XBE2" s="104"/>
      <c r="XBF2" s="103"/>
      <c r="XBG2" s="104"/>
      <c r="XBH2" s="103"/>
      <c r="XBI2" s="104"/>
      <c r="XBJ2" s="103"/>
      <c r="XBK2" s="104"/>
      <c r="XBL2" s="103"/>
      <c r="XBM2" s="104"/>
      <c r="XBN2" s="103"/>
      <c r="XBO2" s="104"/>
      <c r="XBP2" s="103"/>
      <c r="XBQ2" s="104"/>
      <c r="XBR2" s="103"/>
      <c r="XBS2" s="104"/>
      <c r="XBT2" s="103"/>
      <c r="XBU2" s="104"/>
      <c r="XBV2" s="103"/>
      <c r="XBW2" s="104"/>
      <c r="XBX2" s="103"/>
      <c r="XBY2" s="104"/>
      <c r="XBZ2" s="103"/>
      <c r="XCA2" s="104"/>
      <c r="XCB2" s="103"/>
      <c r="XCC2" s="104"/>
      <c r="XCD2" s="103"/>
      <c r="XCE2" s="104"/>
      <c r="XCF2" s="103"/>
      <c r="XCG2" s="104"/>
      <c r="XCH2" s="103"/>
      <c r="XCI2" s="104"/>
      <c r="XCJ2" s="103"/>
      <c r="XCK2" s="104"/>
      <c r="XCL2" s="103"/>
      <c r="XCM2" s="104"/>
      <c r="XCN2" s="103"/>
      <c r="XCO2" s="104"/>
      <c r="XCP2" s="103"/>
      <c r="XCQ2" s="104"/>
      <c r="XCR2" s="103"/>
      <c r="XCS2" s="104"/>
      <c r="XCT2" s="103"/>
      <c r="XCU2" s="104"/>
      <c r="XCV2" s="103"/>
      <c r="XCW2" s="104"/>
      <c r="XCX2" s="103"/>
      <c r="XCY2" s="104"/>
      <c r="XCZ2" s="103"/>
      <c r="XDA2" s="104"/>
      <c r="XDB2" s="103"/>
      <c r="XDC2" s="104"/>
      <c r="XDD2" s="103"/>
      <c r="XDE2" s="104"/>
      <c r="XDF2" s="103"/>
      <c r="XDG2" s="104"/>
      <c r="XDH2" s="103"/>
      <c r="XDI2" s="104"/>
      <c r="XDJ2" s="103"/>
      <c r="XDK2" s="104"/>
      <c r="XDL2" s="103"/>
      <c r="XDM2" s="104"/>
      <c r="XDN2" s="103"/>
      <c r="XDO2" s="104"/>
      <c r="XDP2" s="103"/>
      <c r="XDQ2" s="104"/>
      <c r="XDR2" s="103"/>
      <c r="XDS2" s="104"/>
      <c r="XDT2" s="103"/>
      <c r="XDU2" s="104"/>
      <c r="XDV2" s="103"/>
      <c r="XDW2" s="104"/>
      <c r="XDX2" s="103"/>
      <c r="XDY2" s="104"/>
      <c r="XDZ2" s="103"/>
      <c r="XEA2" s="104"/>
      <c r="XEB2" s="103"/>
      <c r="XEC2" s="104"/>
      <c r="XED2" s="103"/>
      <c r="XEE2" s="104"/>
      <c r="XEF2" s="103"/>
      <c r="XEG2" s="104"/>
      <c r="XEH2" s="103"/>
      <c r="XEI2" s="104"/>
      <c r="XEJ2" s="103"/>
      <c r="XEK2" s="104"/>
      <c r="XEL2" s="103"/>
      <c r="XEM2" s="104"/>
      <c r="XEN2" s="103"/>
      <c r="XEO2" s="104"/>
      <c r="XEP2" s="103"/>
      <c r="XEQ2" s="104"/>
      <c r="XER2" s="103"/>
      <c r="XES2" s="104"/>
      <c r="XET2" s="103"/>
      <c r="XEU2" s="104"/>
      <c r="XEV2" s="103"/>
      <c r="XEW2" s="104"/>
      <c r="XEX2" s="103"/>
      <c r="XEY2" s="104"/>
      <c r="XEZ2" s="103"/>
      <c r="XFA2" s="104"/>
      <c r="XFB2" s="103"/>
      <c r="XFC2" s="104"/>
    </row>
    <row r="4" spans="1:16383" x14ac:dyDescent="0.2">
      <c r="A4" s="130" t="s">
        <v>82</v>
      </c>
      <c r="B4" s="130" t="s">
        <v>83</v>
      </c>
      <c r="C4" s="130" t="s">
        <v>84</v>
      </c>
      <c r="D4" s="130" t="s">
        <v>86</v>
      </c>
      <c r="E4" s="130" t="s">
        <v>87</v>
      </c>
      <c r="F4" s="130" t="s">
        <v>88</v>
      </c>
    </row>
    <row r="5" spans="1:16383" x14ac:dyDescent="0.2">
      <c r="A5" s="66" t="s">
        <v>91</v>
      </c>
      <c r="B5" s="129">
        <v>8367</v>
      </c>
      <c r="C5" s="173">
        <v>0</v>
      </c>
      <c r="D5" s="106">
        <v>0</v>
      </c>
      <c r="E5" s="106">
        <v>0</v>
      </c>
      <c r="F5" s="106">
        <v>0</v>
      </c>
    </row>
    <row r="6" spans="1:16383" x14ac:dyDescent="0.2">
      <c r="A6" s="66" t="s">
        <v>429</v>
      </c>
      <c r="B6" s="129">
        <v>2</v>
      </c>
      <c r="C6" s="173">
        <v>0</v>
      </c>
      <c r="D6" s="106">
        <v>0</v>
      </c>
      <c r="E6" s="106">
        <v>0</v>
      </c>
      <c r="F6" s="106">
        <v>0</v>
      </c>
    </row>
    <row r="7" spans="1:16383" x14ac:dyDescent="0.2">
      <c r="A7" s="66" t="s">
        <v>4</v>
      </c>
      <c r="B7" s="107">
        <v>8369</v>
      </c>
      <c r="C7" s="173">
        <v>0</v>
      </c>
      <c r="D7" s="106">
        <v>0</v>
      </c>
      <c r="E7" s="106">
        <v>0</v>
      </c>
      <c r="F7" s="106">
        <v>0</v>
      </c>
    </row>
  </sheetData>
  <mergeCells count="1">
    <mergeCell ref="A1:G1"/>
  </mergeCells>
  <pageMargins left="0.70866141732283472" right="0.70866141732283472" top="0.74803149606299213" bottom="0.74803149606299213" header="0.31496062992125984" footer="0.31496062992125984"/>
  <pageSetup paperSize="9" scale="131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5" name="Option Button 3">
              <controlPr defaultSize="0" autoFill="0" autoLine="0" autoPict="0" macro="[0]!VARIANS">
                <anchor moveWithCells="1">
                  <from>
                    <xdr:col>6</xdr:col>
                    <xdr:colOff>1219200</xdr:colOff>
                    <xdr:row>0</xdr:row>
                    <xdr:rowOff>57150</xdr:rowOff>
                  </from>
                  <to>
                    <xdr:col>7</xdr:col>
                    <xdr:colOff>342900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8" tint="-0.499984740745262"/>
  </sheetPr>
  <dimension ref="A1:N2899"/>
  <sheetViews>
    <sheetView showGridLines="0" showZeros="0" zoomScale="85" zoomScaleNormal="85" workbookViewId="0">
      <selection activeCell="E17" sqref="E17"/>
    </sheetView>
  </sheetViews>
  <sheetFormatPr baseColWidth="10" defaultColWidth="11.42578125" defaultRowHeight="12.75" x14ac:dyDescent="0.2"/>
  <cols>
    <col min="1" max="2" width="13.140625" style="87" bestFit="1" customWidth="1"/>
    <col min="3" max="3" width="12.140625" style="87" bestFit="1" customWidth="1"/>
    <col min="4" max="4" width="13.140625" style="87" bestFit="1" customWidth="1"/>
    <col min="5" max="5" width="13.140625" bestFit="1" customWidth="1"/>
    <col min="6" max="6" width="9.28515625" bestFit="1" customWidth="1"/>
    <col min="7" max="7" width="17.5703125" bestFit="1" customWidth="1"/>
    <col min="8" max="11" width="10.28515625" customWidth="1"/>
    <col min="12" max="13" width="13" customWidth="1"/>
    <col min="14" max="14" width="13" style="116" customWidth="1"/>
    <col min="15" max="17" width="13" customWidth="1"/>
    <col min="18" max="227" width="17.5703125" bestFit="1" customWidth="1"/>
    <col min="228" max="228" width="11.5703125" bestFit="1" customWidth="1"/>
  </cols>
  <sheetData>
    <row r="1" spans="1:11" x14ac:dyDescent="0.2">
      <c r="A1" s="132" t="s">
        <v>27</v>
      </c>
      <c r="B1" s="132" t="s">
        <v>26</v>
      </c>
      <c r="C1" s="132" t="s">
        <v>28</v>
      </c>
      <c r="D1" s="132" t="s">
        <v>89</v>
      </c>
      <c r="E1" s="132" t="s">
        <v>11</v>
      </c>
      <c r="F1" s="133" t="s">
        <v>62</v>
      </c>
    </row>
    <row r="2" spans="1:11" x14ac:dyDescent="0.2">
      <c r="A2" s="94" t="s">
        <v>90</v>
      </c>
      <c r="B2" s="94">
        <v>2001</v>
      </c>
      <c r="C2" s="95">
        <v>45827</v>
      </c>
      <c r="D2" s="131" t="s">
        <v>63</v>
      </c>
      <c r="E2" s="94">
        <v>484645</v>
      </c>
      <c r="F2" s="94">
        <v>4</v>
      </c>
      <c r="K2" s="95"/>
    </row>
    <row r="3" spans="1:11" x14ac:dyDescent="0.2">
      <c r="A3" s="94" t="s">
        <v>90</v>
      </c>
      <c r="B3" s="94">
        <v>2001</v>
      </c>
      <c r="C3" s="95">
        <v>45827</v>
      </c>
      <c r="D3" s="131" t="s">
        <v>63</v>
      </c>
      <c r="E3" s="94">
        <v>973999</v>
      </c>
      <c r="F3" s="94">
        <v>1</v>
      </c>
      <c r="K3" s="95"/>
    </row>
    <row r="4" spans="1:11" x14ac:dyDescent="0.2">
      <c r="A4" s="94" t="s">
        <v>90</v>
      </c>
      <c r="B4" s="94">
        <v>2001</v>
      </c>
      <c r="C4" s="95">
        <v>45827</v>
      </c>
      <c r="D4" s="131" t="s">
        <v>63</v>
      </c>
      <c r="E4" s="94">
        <v>974002</v>
      </c>
      <c r="F4" s="94">
        <v>1</v>
      </c>
    </row>
    <row r="5" spans="1:11" x14ac:dyDescent="0.2">
      <c r="A5" s="94" t="s">
        <v>90</v>
      </c>
      <c r="B5" s="94">
        <v>2001</v>
      </c>
      <c r="C5" s="95">
        <v>45827</v>
      </c>
      <c r="D5" s="131" t="s">
        <v>63</v>
      </c>
      <c r="E5" s="94">
        <v>396035001</v>
      </c>
      <c r="F5" s="94">
        <v>24</v>
      </c>
    </row>
    <row r="6" spans="1:11" x14ac:dyDescent="0.2">
      <c r="A6" s="94" t="s">
        <v>90</v>
      </c>
      <c r="B6" s="94">
        <v>2001</v>
      </c>
      <c r="C6" s="95">
        <v>45827</v>
      </c>
      <c r="D6" s="131" t="s">
        <v>63</v>
      </c>
      <c r="E6" s="94">
        <v>973054</v>
      </c>
      <c r="F6" s="94">
        <v>1</v>
      </c>
    </row>
    <row r="7" spans="1:11" x14ac:dyDescent="0.2">
      <c r="A7" s="94" t="s">
        <v>90</v>
      </c>
      <c r="B7" s="94">
        <v>2001</v>
      </c>
      <c r="C7" s="95">
        <v>45827</v>
      </c>
      <c r="D7" s="131" t="s">
        <v>63</v>
      </c>
      <c r="E7" s="94">
        <v>3283</v>
      </c>
      <c r="F7" s="94">
        <v>24</v>
      </c>
    </row>
    <row r="8" spans="1:11" x14ac:dyDescent="0.2">
      <c r="A8" s="94" t="s">
        <v>90</v>
      </c>
      <c r="B8" s="94">
        <v>2001</v>
      </c>
      <c r="C8" s="95">
        <v>45827</v>
      </c>
      <c r="D8" s="131" t="s">
        <v>63</v>
      </c>
      <c r="E8" s="94">
        <v>974465</v>
      </c>
      <c r="F8" s="94">
        <v>137</v>
      </c>
    </row>
    <row r="9" spans="1:11" x14ac:dyDescent="0.2">
      <c r="A9" s="94" t="s">
        <v>90</v>
      </c>
      <c r="B9" s="94">
        <v>2001</v>
      </c>
      <c r="C9" s="95">
        <v>45827</v>
      </c>
      <c r="D9" s="131" t="s">
        <v>63</v>
      </c>
      <c r="E9" s="94">
        <v>998918</v>
      </c>
      <c r="F9" s="94">
        <v>2</v>
      </c>
    </row>
    <row r="10" spans="1:11" x14ac:dyDescent="0.2">
      <c r="A10" s="94" t="s">
        <v>90</v>
      </c>
      <c r="B10" s="94">
        <v>2001</v>
      </c>
      <c r="C10" s="95">
        <v>45827</v>
      </c>
      <c r="D10" s="131" t="s">
        <v>63</v>
      </c>
      <c r="E10" s="94">
        <v>733867</v>
      </c>
      <c r="F10" s="94">
        <v>2</v>
      </c>
    </row>
    <row r="11" spans="1:11" x14ac:dyDescent="0.2">
      <c r="A11" s="94" t="s">
        <v>90</v>
      </c>
      <c r="B11" s="94">
        <v>2001</v>
      </c>
      <c r="C11" s="95">
        <v>45827</v>
      </c>
      <c r="D11" s="131" t="s">
        <v>63</v>
      </c>
      <c r="E11" s="94">
        <v>4247</v>
      </c>
      <c r="F11" s="94">
        <v>9</v>
      </c>
    </row>
    <row r="12" spans="1:11" x14ac:dyDescent="0.2">
      <c r="A12" s="94" t="s">
        <v>90</v>
      </c>
      <c r="B12" s="94">
        <v>2001</v>
      </c>
      <c r="C12" s="95">
        <v>45827</v>
      </c>
      <c r="D12" s="131" t="s">
        <v>63</v>
      </c>
      <c r="E12" s="94">
        <v>342607</v>
      </c>
      <c r="F12" s="94">
        <v>17</v>
      </c>
      <c r="H12" s="95"/>
    </row>
    <row r="13" spans="1:11" x14ac:dyDescent="0.2">
      <c r="A13" s="94" t="s">
        <v>90</v>
      </c>
      <c r="B13" s="94">
        <v>2001</v>
      </c>
      <c r="C13" s="95">
        <v>45827</v>
      </c>
      <c r="D13" s="131" t="s">
        <v>63</v>
      </c>
      <c r="E13" s="94">
        <v>56462002</v>
      </c>
      <c r="F13" s="94">
        <v>12</v>
      </c>
    </row>
    <row r="14" spans="1:11" x14ac:dyDescent="0.2">
      <c r="A14" s="94" t="s">
        <v>90</v>
      </c>
      <c r="B14" s="94">
        <v>2001</v>
      </c>
      <c r="C14" s="95">
        <v>45827</v>
      </c>
      <c r="D14" s="131" t="s">
        <v>63</v>
      </c>
      <c r="E14" s="94">
        <v>353462001</v>
      </c>
      <c r="F14" s="94">
        <v>6</v>
      </c>
    </row>
    <row r="15" spans="1:11" x14ac:dyDescent="0.2">
      <c r="A15" s="94" t="s">
        <v>90</v>
      </c>
      <c r="B15" s="94">
        <v>2001</v>
      </c>
      <c r="C15" s="95">
        <v>45827</v>
      </c>
      <c r="D15" s="131" t="s">
        <v>63</v>
      </c>
      <c r="E15" s="94">
        <v>913114</v>
      </c>
      <c r="F15" s="94">
        <v>12</v>
      </c>
    </row>
    <row r="16" spans="1:11" x14ac:dyDescent="0.2">
      <c r="A16" s="94" t="s">
        <v>90</v>
      </c>
      <c r="B16" s="94">
        <v>2001</v>
      </c>
      <c r="C16" s="95">
        <v>45827</v>
      </c>
      <c r="D16" s="131" t="s">
        <v>63</v>
      </c>
      <c r="E16" s="94">
        <v>913115</v>
      </c>
      <c r="F16" s="94">
        <v>60</v>
      </c>
    </row>
    <row r="17" spans="1:6" x14ac:dyDescent="0.2">
      <c r="A17" s="94" t="s">
        <v>90</v>
      </c>
      <c r="B17" s="94">
        <v>2001</v>
      </c>
      <c r="C17" s="95">
        <v>45827</v>
      </c>
      <c r="D17" s="131" t="s">
        <v>63</v>
      </c>
      <c r="E17" s="94">
        <v>317948</v>
      </c>
      <c r="F17" s="94">
        <v>12</v>
      </c>
    </row>
    <row r="18" spans="1:6" x14ac:dyDescent="0.2">
      <c r="A18" s="94" t="s">
        <v>90</v>
      </c>
      <c r="B18" s="94">
        <v>2001</v>
      </c>
      <c r="C18" s="95">
        <v>45827</v>
      </c>
      <c r="D18" s="131" t="s">
        <v>63</v>
      </c>
      <c r="E18" s="94">
        <v>4229</v>
      </c>
      <c r="F18" s="94">
        <v>6</v>
      </c>
    </row>
    <row r="19" spans="1:6" x14ac:dyDescent="0.2">
      <c r="A19" s="94" t="s">
        <v>90</v>
      </c>
      <c r="B19" s="94">
        <v>2001</v>
      </c>
      <c r="C19" s="95">
        <v>45827</v>
      </c>
      <c r="D19" s="131" t="s">
        <v>63</v>
      </c>
      <c r="E19" s="94">
        <v>91045</v>
      </c>
      <c r="F19" s="94">
        <v>48</v>
      </c>
    </row>
    <row r="20" spans="1:6" x14ac:dyDescent="0.2">
      <c r="A20" s="94" t="s">
        <v>90</v>
      </c>
      <c r="B20" s="94">
        <v>2001</v>
      </c>
      <c r="C20" s="95">
        <v>45827</v>
      </c>
      <c r="D20" s="131" t="s">
        <v>63</v>
      </c>
      <c r="E20" s="94">
        <v>716844</v>
      </c>
      <c r="F20" s="94">
        <v>4</v>
      </c>
    </row>
    <row r="21" spans="1:6" x14ac:dyDescent="0.2">
      <c r="A21" s="94" t="s">
        <v>90</v>
      </c>
      <c r="B21" s="94">
        <v>2001</v>
      </c>
      <c r="C21" s="95">
        <v>45827</v>
      </c>
      <c r="D21" s="131" t="s">
        <v>63</v>
      </c>
      <c r="E21" s="94">
        <v>452024</v>
      </c>
      <c r="F21" s="94">
        <v>6</v>
      </c>
    </row>
    <row r="22" spans="1:6" x14ac:dyDescent="0.2">
      <c r="A22" s="94" t="s">
        <v>90</v>
      </c>
      <c r="B22" s="94">
        <v>2001</v>
      </c>
      <c r="C22" s="95">
        <v>45827</v>
      </c>
      <c r="D22" s="131" t="s">
        <v>63</v>
      </c>
      <c r="E22" s="94">
        <v>1014461</v>
      </c>
      <c r="F22" s="94">
        <v>6</v>
      </c>
    </row>
    <row r="23" spans="1:6" x14ac:dyDescent="0.2">
      <c r="A23" s="94" t="s">
        <v>90</v>
      </c>
      <c r="B23" s="94">
        <v>2001</v>
      </c>
      <c r="C23" s="95">
        <v>45827</v>
      </c>
      <c r="D23" s="131" t="s">
        <v>63</v>
      </c>
      <c r="E23" s="94">
        <v>1021541</v>
      </c>
      <c r="F23" s="94">
        <v>3</v>
      </c>
    </row>
    <row r="24" spans="1:6" x14ac:dyDescent="0.2">
      <c r="A24" s="94" t="s">
        <v>90</v>
      </c>
      <c r="B24" s="94">
        <v>2001</v>
      </c>
      <c r="C24" s="95">
        <v>45827</v>
      </c>
      <c r="D24" s="131" t="s">
        <v>63</v>
      </c>
      <c r="E24" s="94">
        <v>396035007</v>
      </c>
      <c r="F24" s="94">
        <v>24</v>
      </c>
    </row>
    <row r="25" spans="1:6" x14ac:dyDescent="0.2">
      <c r="A25" s="94" t="s">
        <v>90</v>
      </c>
      <c r="B25" s="94">
        <v>2001</v>
      </c>
      <c r="C25" s="95">
        <v>45827</v>
      </c>
      <c r="D25" s="131" t="s">
        <v>63</v>
      </c>
      <c r="E25" s="94">
        <v>112569</v>
      </c>
      <c r="F25" s="94">
        <v>156</v>
      </c>
    </row>
    <row r="26" spans="1:6" x14ac:dyDescent="0.2">
      <c r="A26" s="94" t="s">
        <v>90</v>
      </c>
      <c r="B26" s="94">
        <v>2001</v>
      </c>
      <c r="C26" s="95">
        <v>45827</v>
      </c>
      <c r="D26" s="131" t="s">
        <v>63</v>
      </c>
      <c r="E26" s="94">
        <v>1014462</v>
      </c>
      <c r="F26" s="94">
        <v>6</v>
      </c>
    </row>
    <row r="27" spans="1:6" x14ac:dyDescent="0.2">
      <c r="A27" s="94" t="s">
        <v>90</v>
      </c>
      <c r="B27" s="94">
        <v>2001</v>
      </c>
      <c r="C27" s="95">
        <v>45827</v>
      </c>
      <c r="D27" s="131" t="s">
        <v>63</v>
      </c>
      <c r="E27" s="94">
        <v>558895</v>
      </c>
      <c r="F27" s="94">
        <v>12</v>
      </c>
    </row>
    <row r="28" spans="1:6" x14ac:dyDescent="0.2">
      <c r="A28" s="94" t="s">
        <v>90</v>
      </c>
      <c r="B28" s="94">
        <v>2001</v>
      </c>
      <c r="C28" s="95">
        <v>45827</v>
      </c>
      <c r="D28" s="131" t="s">
        <v>63</v>
      </c>
      <c r="E28" s="94">
        <v>317947</v>
      </c>
      <c r="F28" s="94">
        <v>53</v>
      </c>
    </row>
    <row r="29" spans="1:6" x14ac:dyDescent="0.2">
      <c r="A29" s="94" t="s">
        <v>90</v>
      </c>
      <c r="B29" s="94">
        <v>2001</v>
      </c>
      <c r="C29" s="95">
        <v>45827</v>
      </c>
      <c r="D29" s="131" t="s">
        <v>63</v>
      </c>
      <c r="E29" s="94">
        <v>568242</v>
      </c>
      <c r="F29" s="94">
        <v>24</v>
      </c>
    </row>
    <row r="30" spans="1:6" x14ac:dyDescent="0.2">
      <c r="A30" s="94" t="s">
        <v>90</v>
      </c>
      <c r="B30" s="94">
        <v>2001</v>
      </c>
      <c r="C30" s="95">
        <v>45827</v>
      </c>
      <c r="D30" s="131" t="s">
        <v>63</v>
      </c>
      <c r="E30" s="94">
        <v>4227</v>
      </c>
      <c r="F30" s="94">
        <v>9</v>
      </c>
    </row>
    <row r="31" spans="1:6" x14ac:dyDescent="0.2">
      <c r="A31" s="94" t="s">
        <v>90</v>
      </c>
      <c r="B31" s="94">
        <v>2001</v>
      </c>
      <c r="C31" s="95">
        <v>45827</v>
      </c>
      <c r="D31" s="131" t="s">
        <v>63</v>
      </c>
      <c r="E31" s="94">
        <v>518476003</v>
      </c>
      <c r="F31" s="94">
        <v>3</v>
      </c>
    </row>
    <row r="32" spans="1:6" x14ac:dyDescent="0.2">
      <c r="A32" s="94" t="s">
        <v>90</v>
      </c>
      <c r="B32" s="94">
        <v>2001</v>
      </c>
      <c r="C32" s="95">
        <v>45827</v>
      </c>
      <c r="D32" s="131" t="s">
        <v>63</v>
      </c>
      <c r="E32" s="94">
        <v>373212</v>
      </c>
      <c r="F32" s="94">
        <v>24</v>
      </c>
    </row>
    <row r="33" spans="1:6" x14ac:dyDescent="0.2">
      <c r="A33" s="94" t="s">
        <v>90</v>
      </c>
      <c r="B33" s="94">
        <v>2001</v>
      </c>
      <c r="C33" s="95">
        <v>45827</v>
      </c>
      <c r="D33" s="131" t="s">
        <v>63</v>
      </c>
      <c r="E33" s="94">
        <v>723876</v>
      </c>
      <c r="F33" s="94">
        <v>12</v>
      </c>
    </row>
    <row r="34" spans="1:6" x14ac:dyDescent="0.2">
      <c r="A34" s="94" t="s">
        <v>90</v>
      </c>
      <c r="B34" s="94">
        <v>2001</v>
      </c>
      <c r="C34" s="95">
        <v>45827</v>
      </c>
      <c r="D34" s="131" t="s">
        <v>63</v>
      </c>
      <c r="E34" s="94">
        <v>1031960</v>
      </c>
      <c r="F34" s="94">
        <v>12</v>
      </c>
    </row>
    <row r="35" spans="1:6" x14ac:dyDescent="0.2">
      <c r="A35" s="94" t="s">
        <v>90</v>
      </c>
      <c r="B35" s="94">
        <v>2001</v>
      </c>
      <c r="C35" s="95">
        <v>45827</v>
      </c>
      <c r="D35" s="131" t="s">
        <v>63</v>
      </c>
      <c r="E35" s="94">
        <v>21125</v>
      </c>
      <c r="F35" s="94">
        <v>6</v>
      </c>
    </row>
    <row r="36" spans="1:6" x14ac:dyDescent="0.2">
      <c r="A36" s="94" t="s">
        <v>90</v>
      </c>
      <c r="B36" s="94">
        <v>2001</v>
      </c>
      <c r="C36" s="95">
        <v>45827</v>
      </c>
      <c r="D36" s="131" t="s">
        <v>63</v>
      </c>
      <c r="E36" s="94">
        <v>975713</v>
      </c>
      <c r="F36" s="94">
        <v>1</v>
      </c>
    </row>
    <row r="37" spans="1:6" x14ac:dyDescent="0.2">
      <c r="A37" s="94" t="s">
        <v>90</v>
      </c>
      <c r="B37" s="94">
        <v>2001</v>
      </c>
      <c r="C37" s="95">
        <v>45827</v>
      </c>
      <c r="D37" s="131" t="s">
        <v>63</v>
      </c>
      <c r="E37" s="94">
        <v>932074</v>
      </c>
      <c r="F37" s="94">
        <v>20</v>
      </c>
    </row>
    <row r="38" spans="1:6" x14ac:dyDescent="0.2">
      <c r="A38" s="94" t="s">
        <v>90</v>
      </c>
      <c r="B38" s="94">
        <v>2001</v>
      </c>
      <c r="C38" s="95">
        <v>45827</v>
      </c>
      <c r="D38" s="131" t="s">
        <v>63</v>
      </c>
      <c r="E38" s="94">
        <v>51929001</v>
      </c>
      <c r="F38" s="94">
        <v>6</v>
      </c>
    </row>
    <row r="39" spans="1:6" x14ac:dyDescent="0.2">
      <c r="A39" s="94" t="s">
        <v>90</v>
      </c>
      <c r="B39" s="94">
        <v>2001</v>
      </c>
      <c r="C39" s="95">
        <v>45827</v>
      </c>
      <c r="D39" s="131" t="s">
        <v>63</v>
      </c>
      <c r="E39" s="94">
        <v>40596</v>
      </c>
      <c r="F39" s="94">
        <v>3</v>
      </c>
    </row>
    <row r="40" spans="1:6" x14ac:dyDescent="0.2">
      <c r="A40" s="94" t="s">
        <v>90</v>
      </c>
      <c r="B40" s="94">
        <v>2001</v>
      </c>
      <c r="C40" s="95">
        <v>45827</v>
      </c>
      <c r="D40" s="131" t="s">
        <v>63</v>
      </c>
      <c r="E40" s="94">
        <v>451975</v>
      </c>
      <c r="F40" s="94">
        <v>12</v>
      </c>
    </row>
    <row r="41" spans="1:6" x14ac:dyDescent="0.2">
      <c r="A41" s="94" t="s">
        <v>90</v>
      </c>
      <c r="B41" s="94">
        <v>2001</v>
      </c>
      <c r="C41" s="95">
        <v>45827</v>
      </c>
      <c r="D41" s="131" t="s">
        <v>63</v>
      </c>
      <c r="E41" s="94">
        <v>1031961</v>
      </c>
      <c r="F41" s="94">
        <v>18</v>
      </c>
    </row>
    <row r="42" spans="1:6" x14ac:dyDescent="0.2">
      <c r="A42" s="94" t="s">
        <v>90</v>
      </c>
      <c r="B42" s="94">
        <v>2001</v>
      </c>
      <c r="C42" s="95">
        <v>45827</v>
      </c>
      <c r="D42" s="131" t="s">
        <v>63</v>
      </c>
      <c r="E42" s="94">
        <v>464457</v>
      </c>
      <c r="F42" s="94">
        <v>5</v>
      </c>
    </row>
    <row r="43" spans="1:6" x14ac:dyDescent="0.2">
      <c r="A43" s="94" t="s">
        <v>90</v>
      </c>
      <c r="B43" s="94">
        <v>2001</v>
      </c>
      <c r="C43" s="95">
        <v>45827</v>
      </c>
      <c r="D43" s="131" t="s">
        <v>63</v>
      </c>
      <c r="E43" s="94">
        <v>1016133</v>
      </c>
      <c r="F43" s="94">
        <v>11</v>
      </c>
    </row>
    <row r="44" spans="1:6" x14ac:dyDescent="0.2">
      <c r="A44" s="94" t="s">
        <v>90</v>
      </c>
      <c r="B44" s="94">
        <v>2001</v>
      </c>
      <c r="C44" s="95">
        <v>45827</v>
      </c>
      <c r="D44" s="131" t="s">
        <v>63</v>
      </c>
      <c r="E44" s="94">
        <v>59505001</v>
      </c>
      <c r="F44" s="94">
        <v>11</v>
      </c>
    </row>
    <row r="45" spans="1:6" x14ac:dyDescent="0.2">
      <c r="A45" s="94" t="s">
        <v>90</v>
      </c>
      <c r="B45" s="94">
        <v>2001</v>
      </c>
      <c r="C45" s="95">
        <v>45827</v>
      </c>
      <c r="D45" s="131" t="s">
        <v>63</v>
      </c>
      <c r="E45" s="94">
        <v>727300</v>
      </c>
      <c r="F45" s="94">
        <v>12</v>
      </c>
    </row>
    <row r="46" spans="1:6" x14ac:dyDescent="0.2">
      <c r="A46" s="94" t="s">
        <v>90</v>
      </c>
      <c r="B46" s="94">
        <v>2001</v>
      </c>
      <c r="C46" s="95">
        <v>45827</v>
      </c>
      <c r="D46" s="131" t="s">
        <v>63</v>
      </c>
      <c r="E46" s="94">
        <v>913116</v>
      </c>
      <c r="F46" s="94">
        <v>6</v>
      </c>
    </row>
    <row r="47" spans="1:6" x14ac:dyDescent="0.2">
      <c r="A47" s="94" t="s">
        <v>90</v>
      </c>
      <c r="B47" s="94">
        <v>2001</v>
      </c>
      <c r="C47" s="95">
        <v>45827</v>
      </c>
      <c r="D47" s="131" t="s">
        <v>63</v>
      </c>
      <c r="E47" s="94">
        <v>998267</v>
      </c>
      <c r="F47" s="94">
        <v>30</v>
      </c>
    </row>
    <row r="48" spans="1:6" x14ac:dyDescent="0.2">
      <c r="A48" s="94" t="s">
        <v>90</v>
      </c>
      <c r="B48" s="94">
        <v>2001</v>
      </c>
      <c r="C48" s="95">
        <v>45827</v>
      </c>
      <c r="D48" s="131" t="s">
        <v>63</v>
      </c>
      <c r="E48" s="94">
        <v>735373001</v>
      </c>
      <c r="F48" s="94">
        <v>29</v>
      </c>
    </row>
    <row r="49" spans="1:6" x14ac:dyDescent="0.2">
      <c r="A49" s="94" t="s">
        <v>90</v>
      </c>
      <c r="B49" s="94">
        <v>2001</v>
      </c>
      <c r="C49" s="95">
        <v>45827</v>
      </c>
      <c r="D49" s="131" t="s">
        <v>63</v>
      </c>
      <c r="E49" s="94">
        <v>789725</v>
      </c>
      <c r="F49" s="94">
        <v>11</v>
      </c>
    </row>
    <row r="50" spans="1:6" x14ac:dyDescent="0.2">
      <c r="A50" s="94" t="s">
        <v>90</v>
      </c>
      <c r="B50" s="94">
        <v>2001</v>
      </c>
      <c r="C50" s="95">
        <v>45827</v>
      </c>
      <c r="D50" s="131" t="s">
        <v>63</v>
      </c>
      <c r="E50" s="94">
        <v>203744</v>
      </c>
      <c r="F50" s="94">
        <v>13</v>
      </c>
    </row>
    <row r="51" spans="1:6" x14ac:dyDescent="0.2">
      <c r="A51" s="94" t="s">
        <v>90</v>
      </c>
      <c r="B51" s="94">
        <v>2001</v>
      </c>
      <c r="C51" s="95">
        <v>45827</v>
      </c>
      <c r="D51" s="131" t="s">
        <v>63</v>
      </c>
      <c r="E51" s="94">
        <v>4231</v>
      </c>
      <c r="F51" s="94">
        <v>25</v>
      </c>
    </row>
    <row r="52" spans="1:6" x14ac:dyDescent="0.2">
      <c r="A52" s="94" t="s">
        <v>90</v>
      </c>
      <c r="B52" s="94">
        <v>2001</v>
      </c>
      <c r="C52" s="95">
        <v>45827</v>
      </c>
      <c r="D52" s="131" t="s">
        <v>63</v>
      </c>
      <c r="E52" s="94">
        <v>373210</v>
      </c>
      <c r="F52" s="94">
        <v>2</v>
      </c>
    </row>
    <row r="53" spans="1:6" x14ac:dyDescent="0.2">
      <c r="A53" s="94" t="s">
        <v>90</v>
      </c>
      <c r="B53" s="94">
        <v>2001</v>
      </c>
      <c r="C53" s="95">
        <v>45827</v>
      </c>
      <c r="D53" s="131" t="s">
        <v>63</v>
      </c>
      <c r="E53" s="94">
        <v>4724</v>
      </c>
      <c r="F53" s="94">
        <v>21</v>
      </c>
    </row>
    <row r="54" spans="1:6" x14ac:dyDescent="0.2">
      <c r="A54" s="94" t="s">
        <v>90</v>
      </c>
      <c r="B54" s="94">
        <v>2001</v>
      </c>
      <c r="C54" s="95">
        <v>45827</v>
      </c>
      <c r="D54" s="131" t="s">
        <v>63</v>
      </c>
      <c r="E54" s="94">
        <v>735373002</v>
      </c>
      <c r="F54" s="94">
        <v>7</v>
      </c>
    </row>
    <row r="55" spans="1:6" x14ac:dyDescent="0.2">
      <c r="A55" s="94" t="s">
        <v>90</v>
      </c>
      <c r="B55" s="94">
        <v>2001</v>
      </c>
      <c r="C55" s="95">
        <v>45827</v>
      </c>
      <c r="D55" s="131" t="s">
        <v>63</v>
      </c>
      <c r="E55" s="94">
        <v>1024536</v>
      </c>
      <c r="F55" s="94">
        <v>1</v>
      </c>
    </row>
    <row r="56" spans="1:6" x14ac:dyDescent="0.2">
      <c r="A56" s="94" t="s">
        <v>90</v>
      </c>
      <c r="B56" s="94">
        <v>2001</v>
      </c>
      <c r="C56" s="95">
        <v>45827</v>
      </c>
      <c r="D56" s="131" t="s">
        <v>63</v>
      </c>
      <c r="E56" s="94">
        <v>464456</v>
      </c>
      <c r="F56" s="94">
        <v>9</v>
      </c>
    </row>
    <row r="57" spans="1:6" x14ac:dyDescent="0.2">
      <c r="A57" s="94" t="s">
        <v>90</v>
      </c>
      <c r="B57" s="94">
        <v>2001</v>
      </c>
      <c r="C57" s="95">
        <v>45827</v>
      </c>
      <c r="D57" s="131" t="s">
        <v>63</v>
      </c>
      <c r="E57" s="94">
        <v>49463006</v>
      </c>
      <c r="F57" s="94">
        <v>9</v>
      </c>
    </row>
    <row r="58" spans="1:6" x14ac:dyDescent="0.2">
      <c r="A58" s="94" t="s">
        <v>90</v>
      </c>
      <c r="B58" s="94">
        <v>2001</v>
      </c>
      <c r="C58" s="95">
        <v>45827</v>
      </c>
      <c r="D58" s="131" t="s">
        <v>63</v>
      </c>
      <c r="E58" s="94">
        <v>954239003</v>
      </c>
      <c r="F58" s="94">
        <v>9</v>
      </c>
    </row>
    <row r="59" spans="1:6" x14ac:dyDescent="0.2">
      <c r="A59" s="94" t="s">
        <v>90</v>
      </c>
      <c r="B59" s="94">
        <v>2001</v>
      </c>
      <c r="C59" s="95">
        <v>45827</v>
      </c>
      <c r="D59" s="131" t="s">
        <v>63</v>
      </c>
      <c r="E59" s="94">
        <v>62650</v>
      </c>
      <c r="F59" s="94">
        <v>6</v>
      </c>
    </row>
    <row r="60" spans="1:6" x14ac:dyDescent="0.2">
      <c r="A60" s="94" t="s">
        <v>90</v>
      </c>
      <c r="B60" s="94">
        <v>2001</v>
      </c>
      <c r="C60" s="95">
        <v>45827</v>
      </c>
      <c r="D60" s="131" t="s">
        <v>63</v>
      </c>
      <c r="E60" s="94">
        <v>754392</v>
      </c>
      <c r="F60" s="94">
        <v>2</v>
      </c>
    </row>
    <row r="61" spans="1:6" x14ac:dyDescent="0.2">
      <c r="A61" s="94" t="s">
        <v>90</v>
      </c>
      <c r="B61" s="94">
        <v>2001</v>
      </c>
      <c r="C61" s="95">
        <v>45827</v>
      </c>
      <c r="D61" s="131" t="s">
        <v>63</v>
      </c>
      <c r="E61" s="94">
        <v>716769</v>
      </c>
      <c r="F61" s="94">
        <v>56</v>
      </c>
    </row>
    <row r="62" spans="1:6" x14ac:dyDescent="0.2">
      <c r="A62" s="94" t="s">
        <v>90</v>
      </c>
      <c r="B62" s="94">
        <v>2001</v>
      </c>
      <c r="C62" s="95">
        <v>45827</v>
      </c>
      <c r="D62" s="131" t="s">
        <v>63</v>
      </c>
      <c r="E62" s="94">
        <v>768638003</v>
      </c>
      <c r="F62" s="94">
        <v>5</v>
      </c>
    </row>
    <row r="63" spans="1:6" x14ac:dyDescent="0.2">
      <c r="A63" s="94" t="s">
        <v>90</v>
      </c>
      <c r="B63" s="94">
        <v>2001</v>
      </c>
      <c r="C63" s="95">
        <v>45827</v>
      </c>
      <c r="D63" s="131" t="s">
        <v>63</v>
      </c>
      <c r="E63" s="94">
        <v>225493</v>
      </c>
      <c r="F63" s="94">
        <v>6</v>
      </c>
    </row>
    <row r="64" spans="1:6" x14ac:dyDescent="0.2">
      <c r="A64" s="94" t="s">
        <v>90</v>
      </c>
      <c r="B64" s="94">
        <v>2001</v>
      </c>
      <c r="C64" s="95">
        <v>45827</v>
      </c>
      <c r="D64" s="131" t="s">
        <v>63</v>
      </c>
      <c r="E64" s="94">
        <v>49463001</v>
      </c>
      <c r="F64" s="94">
        <v>9</v>
      </c>
    </row>
    <row r="65" spans="1:6" x14ac:dyDescent="0.2">
      <c r="A65" s="94" t="s">
        <v>90</v>
      </c>
      <c r="B65" s="94">
        <v>2001</v>
      </c>
      <c r="C65" s="95">
        <v>45827</v>
      </c>
      <c r="D65" s="131" t="s">
        <v>63</v>
      </c>
      <c r="E65" s="94">
        <v>74982</v>
      </c>
      <c r="F65" s="94">
        <v>6</v>
      </c>
    </row>
    <row r="66" spans="1:6" x14ac:dyDescent="0.2">
      <c r="A66" s="94" t="s">
        <v>90</v>
      </c>
      <c r="B66" s="94">
        <v>2001</v>
      </c>
      <c r="C66" s="95">
        <v>45827</v>
      </c>
      <c r="D66" s="131" t="s">
        <v>63</v>
      </c>
      <c r="E66" s="94">
        <v>754391</v>
      </c>
      <c r="F66" s="94">
        <v>36</v>
      </c>
    </row>
    <row r="67" spans="1:6" x14ac:dyDescent="0.2">
      <c r="A67" s="94" t="s">
        <v>90</v>
      </c>
      <c r="B67" s="94">
        <v>2001</v>
      </c>
      <c r="C67" s="95">
        <v>45827</v>
      </c>
      <c r="D67" s="131" t="s">
        <v>63</v>
      </c>
      <c r="E67" s="94">
        <v>889644</v>
      </c>
      <c r="F67" s="94">
        <v>9</v>
      </c>
    </row>
    <row r="68" spans="1:6" x14ac:dyDescent="0.2">
      <c r="A68" s="94" t="s">
        <v>90</v>
      </c>
      <c r="B68" s="94">
        <v>2001</v>
      </c>
      <c r="C68" s="95">
        <v>45827</v>
      </c>
      <c r="D68" s="131" t="s">
        <v>63</v>
      </c>
      <c r="E68" s="94">
        <v>1024534</v>
      </c>
      <c r="F68" s="94">
        <v>7</v>
      </c>
    </row>
    <row r="69" spans="1:6" x14ac:dyDescent="0.2">
      <c r="A69" s="94" t="s">
        <v>90</v>
      </c>
      <c r="B69" s="94">
        <v>2001</v>
      </c>
      <c r="C69" s="95">
        <v>45827</v>
      </c>
      <c r="D69" s="131" t="s">
        <v>63</v>
      </c>
      <c r="E69" s="94">
        <v>531596002</v>
      </c>
      <c r="F69" s="94">
        <v>10</v>
      </c>
    </row>
    <row r="70" spans="1:6" x14ac:dyDescent="0.2">
      <c r="A70" s="94" t="s">
        <v>90</v>
      </c>
      <c r="B70" s="94">
        <v>2001</v>
      </c>
      <c r="C70" s="95">
        <v>45827</v>
      </c>
      <c r="D70" s="131" t="s">
        <v>63</v>
      </c>
      <c r="E70" s="94">
        <v>736118</v>
      </c>
      <c r="F70" s="94">
        <v>18</v>
      </c>
    </row>
    <row r="71" spans="1:6" x14ac:dyDescent="0.2">
      <c r="A71" s="94" t="s">
        <v>90</v>
      </c>
      <c r="B71" s="94">
        <v>2001</v>
      </c>
      <c r="C71" s="95">
        <v>45827</v>
      </c>
      <c r="D71" s="131" t="s">
        <v>63</v>
      </c>
      <c r="E71" s="94">
        <v>757474</v>
      </c>
      <c r="F71" s="94">
        <v>3</v>
      </c>
    </row>
    <row r="72" spans="1:6" x14ac:dyDescent="0.2">
      <c r="A72" s="94" t="s">
        <v>90</v>
      </c>
      <c r="B72" s="94">
        <v>2001</v>
      </c>
      <c r="C72" s="95">
        <v>45827</v>
      </c>
      <c r="D72" s="131" t="s">
        <v>63</v>
      </c>
      <c r="E72" s="94">
        <v>402730</v>
      </c>
      <c r="F72" s="94">
        <v>6</v>
      </c>
    </row>
    <row r="73" spans="1:6" x14ac:dyDescent="0.2">
      <c r="A73" s="94" t="s">
        <v>90</v>
      </c>
      <c r="B73" s="94">
        <v>2001</v>
      </c>
      <c r="C73" s="95">
        <v>45827</v>
      </c>
      <c r="D73" s="131" t="s">
        <v>63</v>
      </c>
      <c r="E73" s="94">
        <v>755916</v>
      </c>
      <c r="F73" s="94">
        <v>99</v>
      </c>
    </row>
    <row r="74" spans="1:6" x14ac:dyDescent="0.2">
      <c r="A74" s="94" t="s">
        <v>90</v>
      </c>
      <c r="B74" s="94">
        <v>2001</v>
      </c>
      <c r="C74" s="95">
        <v>45827</v>
      </c>
      <c r="D74" s="131" t="s">
        <v>63</v>
      </c>
      <c r="E74" s="94">
        <v>533047005</v>
      </c>
      <c r="F74" s="94">
        <v>39</v>
      </c>
    </row>
    <row r="75" spans="1:6" x14ac:dyDescent="0.2">
      <c r="A75" s="94" t="s">
        <v>90</v>
      </c>
      <c r="B75" s="94">
        <v>2001</v>
      </c>
      <c r="C75" s="95">
        <v>45827</v>
      </c>
      <c r="D75" s="131" t="s">
        <v>63</v>
      </c>
      <c r="E75" s="94">
        <v>475903</v>
      </c>
      <c r="F75" s="94">
        <v>6</v>
      </c>
    </row>
    <row r="76" spans="1:6" x14ac:dyDescent="0.2">
      <c r="A76" s="94" t="s">
        <v>90</v>
      </c>
      <c r="B76" s="94">
        <v>2001</v>
      </c>
      <c r="C76" s="95">
        <v>45827</v>
      </c>
      <c r="D76" s="131" t="s">
        <v>63</v>
      </c>
      <c r="E76" s="94">
        <v>902578</v>
      </c>
      <c r="F76" s="94">
        <v>3</v>
      </c>
    </row>
    <row r="77" spans="1:6" x14ac:dyDescent="0.2">
      <c r="A77" s="94" t="s">
        <v>90</v>
      </c>
      <c r="B77" s="94">
        <v>2001</v>
      </c>
      <c r="C77" s="95">
        <v>45827</v>
      </c>
      <c r="D77" s="131" t="s">
        <v>63</v>
      </c>
      <c r="E77" s="94">
        <v>45959</v>
      </c>
      <c r="F77" s="94">
        <v>12</v>
      </c>
    </row>
    <row r="78" spans="1:6" x14ac:dyDescent="0.2">
      <c r="A78" s="94" t="s">
        <v>90</v>
      </c>
      <c r="B78" s="94">
        <v>2001</v>
      </c>
      <c r="C78" s="95">
        <v>45827</v>
      </c>
      <c r="D78" s="131" t="s">
        <v>63</v>
      </c>
      <c r="E78" s="94">
        <v>961174</v>
      </c>
      <c r="F78" s="94">
        <v>6</v>
      </c>
    </row>
    <row r="79" spans="1:6" x14ac:dyDescent="0.2">
      <c r="A79" s="94" t="s">
        <v>90</v>
      </c>
      <c r="B79" s="94">
        <v>2001</v>
      </c>
      <c r="C79" s="95">
        <v>45827</v>
      </c>
      <c r="D79" s="131" t="s">
        <v>63</v>
      </c>
      <c r="E79" s="94">
        <v>1015686</v>
      </c>
      <c r="F79" s="94">
        <v>112</v>
      </c>
    </row>
    <row r="80" spans="1:6" x14ac:dyDescent="0.2">
      <c r="A80" s="94" t="s">
        <v>90</v>
      </c>
      <c r="B80" s="94">
        <v>2001</v>
      </c>
      <c r="C80" s="95">
        <v>45827</v>
      </c>
      <c r="D80" s="131" t="s">
        <v>63</v>
      </c>
      <c r="E80" s="94">
        <v>4986</v>
      </c>
      <c r="F80" s="94">
        <v>15</v>
      </c>
    </row>
    <row r="81" spans="1:6" x14ac:dyDescent="0.2">
      <c r="A81" s="94" t="s">
        <v>90</v>
      </c>
      <c r="B81" s="94">
        <v>2001</v>
      </c>
      <c r="C81" s="95">
        <v>45827</v>
      </c>
      <c r="D81" s="131" t="s">
        <v>63</v>
      </c>
      <c r="E81" s="94">
        <v>533047001</v>
      </c>
      <c r="F81" s="94">
        <v>18</v>
      </c>
    </row>
    <row r="82" spans="1:6" x14ac:dyDescent="0.2">
      <c r="A82" s="94" t="s">
        <v>90</v>
      </c>
      <c r="B82" s="94">
        <v>2001</v>
      </c>
      <c r="C82" s="95">
        <v>45827</v>
      </c>
      <c r="D82" s="131" t="s">
        <v>63</v>
      </c>
      <c r="E82" s="94">
        <v>947247</v>
      </c>
      <c r="F82" s="94">
        <v>18</v>
      </c>
    </row>
    <row r="83" spans="1:6" x14ac:dyDescent="0.2">
      <c r="A83" s="94" t="s">
        <v>90</v>
      </c>
      <c r="B83" s="94">
        <v>2001</v>
      </c>
      <c r="C83" s="95">
        <v>45827</v>
      </c>
      <c r="D83" s="131" t="s">
        <v>63</v>
      </c>
      <c r="E83" s="94">
        <v>954239001</v>
      </c>
      <c r="F83" s="94">
        <v>7</v>
      </c>
    </row>
    <row r="84" spans="1:6" x14ac:dyDescent="0.2">
      <c r="A84" s="94" t="s">
        <v>90</v>
      </c>
      <c r="B84" s="94">
        <v>2001</v>
      </c>
      <c r="C84" s="95">
        <v>45827</v>
      </c>
      <c r="D84" s="131" t="s">
        <v>63</v>
      </c>
      <c r="E84" s="94">
        <v>314889</v>
      </c>
      <c r="F84" s="94">
        <v>6</v>
      </c>
    </row>
    <row r="85" spans="1:6" x14ac:dyDescent="0.2">
      <c r="A85" s="94" t="s">
        <v>90</v>
      </c>
      <c r="B85" s="94">
        <v>2001</v>
      </c>
      <c r="C85" s="95">
        <v>45827</v>
      </c>
      <c r="D85" s="131" t="s">
        <v>63</v>
      </c>
      <c r="E85" s="94">
        <v>774198</v>
      </c>
      <c r="F85" s="94">
        <v>6</v>
      </c>
    </row>
    <row r="86" spans="1:6" x14ac:dyDescent="0.2">
      <c r="A86" s="94" t="s">
        <v>90</v>
      </c>
      <c r="B86" s="94">
        <v>2001</v>
      </c>
      <c r="C86" s="95">
        <v>45827</v>
      </c>
      <c r="D86" s="131" t="s">
        <v>63</v>
      </c>
      <c r="E86" s="94">
        <v>252911</v>
      </c>
      <c r="F86" s="94">
        <v>6</v>
      </c>
    </row>
    <row r="87" spans="1:6" x14ac:dyDescent="0.2">
      <c r="A87" s="94" t="s">
        <v>90</v>
      </c>
      <c r="B87" s="94">
        <v>2001</v>
      </c>
      <c r="C87" s="95">
        <v>45827</v>
      </c>
      <c r="D87" s="131" t="s">
        <v>63</v>
      </c>
      <c r="E87" s="94">
        <v>355397</v>
      </c>
      <c r="F87" s="94">
        <v>56</v>
      </c>
    </row>
    <row r="88" spans="1:6" x14ac:dyDescent="0.2">
      <c r="A88" s="94" t="s">
        <v>90</v>
      </c>
      <c r="B88" s="94">
        <v>2001</v>
      </c>
      <c r="C88" s="95">
        <v>45827</v>
      </c>
      <c r="D88" s="131" t="s">
        <v>63</v>
      </c>
      <c r="E88" s="94">
        <v>373674</v>
      </c>
      <c r="F88" s="94">
        <v>1</v>
      </c>
    </row>
    <row r="89" spans="1:6" x14ac:dyDescent="0.2">
      <c r="A89" s="94" t="s">
        <v>90</v>
      </c>
      <c r="B89" s="94">
        <v>2001</v>
      </c>
      <c r="C89" s="95">
        <v>45827</v>
      </c>
      <c r="D89" s="131" t="s">
        <v>63</v>
      </c>
      <c r="E89" s="94">
        <v>768104</v>
      </c>
      <c r="F89" s="94">
        <v>9</v>
      </c>
    </row>
    <row r="90" spans="1:6" x14ac:dyDescent="0.2">
      <c r="A90" s="94" t="s">
        <v>90</v>
      </c>
      <c r="B90" s="94">
        <v>2001</v>
      </c>
      <c r="C90" s="95">
        <v>45827</v>
      </c>
      <c r="D90" s="131" t="s">
        <v>63</v>
      </c>
      <c r="E90" s="94">
        <v>533047003</v>
      </c>
      <c r="F90" s="94">
        <v>22</v>
      </c>
    </row>
    <row r="91" spans="1:6" x14ac:dyDescent="0.2">
      <c r="A91" s="94" t="s">
        <v>90</v>
      </c>
      <c r="B91" s="94">
        <v>2001</v>
      </c>
      <c r="C91" s="95">
        <v>45827</v>
      </c>
      <c r="D91" s="131" t="s">
        <v>63</v>
      </c>
      <c r="E91" s="94">
        <v>891733</v>
      </c>
      <c r="F91" s="94">
        <v>3</v>
      </c>
    </row>
    <row r="92" spans="1:6" x14ac:dyDescent="0.2">
      <c r="A92" s="94" t="s">
        <v>90</v>
      </c>
      <c r="B92" s="94">
        <v>2001</v>
      </c>
      <c r="C92" s="95">
        <v>45827</v>
      </c>
      <c r="D92" s="131" t="s">
        <v>63</v>
      </c>
      <c r="E92" s="94">
        <v>954239002</v>
      </c>
      <c r="F92" s="94">
        <v>5</v>
      </c>
    </row>
    <row r="93" spans="1:6" x14ac:dyDescent="0.2">
      <c r="A93" s="94" t="s">
        <v>90</v>
      </c>
      <c r="B93" s="94">
        <v>2001</v>
      </c>
      <c r="C93" s="95">
        <v>45827</v>
      </c>
      <c r="D93" s="131" t="s">
        <v>63</v>
      </c>
      <c r="E93" s="94">
        <v>1022890</v>
      </c>
      <c r="F93" s="94">
        <v>10</v>
      </c>
    </row>
    <row r="94" spans="1:6" x14ac:dyDescent="0.2">
      <c r="A94" s="94" t="s">
        <v>90</v>
      </c>
      <c r="B94" s="94">
        <v>2001</v>
      </c>
      <c r="C94" s="95">
        <v>45827</v>
      </c>
      <c r="D94" s="131" t="s">
        <v>63</v>
      </c>
      <c r="E94" s="94">
        <v>62651</v>
      </c>
      <c r="F94" s="94">
        <v>8</v>
      </c>
    </row>
    <row r="95" spans="1:6" x14ac:dyDescent="0.2">
      <c r="A95" s="94" t="s">
        <v>90</v>
      </c>
      <c r="B95" s="94">
        <v>2001</v>
      </c>
      <c r="C95" s="95">
        <v>45827</v>
      </c>
      <c r="D95" s="131" t="s">
        <v>63</v>
      </c>
      <c r="E95" s="94">
        <v>987088</v>
      </c>
      <c r="F95" s="94">
        <v>3</v>
      </c>
    </row>
    <row r="96" spans="1:6" x14ac:dyDescent="0.2">
      <c r="A96" s="94" t="s">
        <v>90</v>
      </c>
      <c r="B96" s="94">
        <v>2001</v>
      </c>
      <c r="C96" s="95">
        <v>45827</v>
      </c>
      <c r="D96" s="131" t="s">
        <v>63</v>
      </c>
      <c r="E96" s="94">
        <v>25919</v>
      </c>
      <c r="F96" s="94">
        <v>53</v>
      </c>
    </row>
    <row r="97" spans="1:6" x14ac:dyDescent="0.2">
      <c r="A97" s="94" t="s">
        <v>90</v>
      </c>
      <c r="B97" s="94">
        <v>2001</v>
      </c>
      <c r="C97" s="95">
        <v>45827</v>
      </c>
      <c r="D97" s="131" t="s">
        <v>63</v>
      </c>
      <c r="E97" s="94">
        <v>929130002</v>
      </c>
      <c r="F97" s="94">
        <v>3</v>
      </c>
    </row>
    <row r="98" spans="1:6" x14ac:dyDescent="0.2">
      <c r="A98" s="94" t="s">
        <v>90</v>
      </c>
      <c r="B98" s="94">
        <v>2001</v>
      </c>
      <c r="C98" s="95">
        <v>45827</v>
      </c>
      <c r="D98" s="131" t="s">
        <v>63</v>
      </c>
      <c r="E98" s="94">
        <v>974370</v>
      </c>
      <c r="F98" s="94">
        <v>1</v>
      </c>
    </row>
    <row r="99" spans="1:6" x14ac:dyDescent="0.2">
      <c r="A99" s="94" t="s">
        <v>90</v>
      </c>
      <c r="B99" s="94">
        <v>2001</v>
      </c>
      <c r="C99" s="95">
        <v>45827</v>
      </c>
      <c r="D99" s="131" t="s">
        <v>63</v>
      </c>
      <c r="E99" s="94">
        <v>1032074</v>
      </c>
      <c r="F99" s="94">
        <v>9</v>
      </c>
    </row>
    <row r="100" spans="1:6" x14ac:dyDescent="0.2">
      <c r="A100" s="94" t="s">
        <v>90</v>
      </c>
      <c r="B100" s="94">
        <v>2001</v>
      </c>
      <c r="C100" s="95">
        <v>45827</v>
      </c>
      <c r="D100" s="131" t="s">
        <v>63</v>
      </c>
      <c r="E100" s="94">
        <v>142477</v>
      </c>
      <c r="F100" s="94">
        <v>6</v>
      </c>
    </row>
    <row r="101" spans="1:6" x14ac:dyDescent="0.2">
      <c r="A101" s="94" t="s">
        <v>90</v>
      </c>
      <c r="B101" s="94">
        <v>2001</v>
      </c>
      <c r="C101" s="95">
        <v>45827</v>
      </c>
      <c r="D101" s="131" t="s">
        <v>63</v>
      </c>
      <c r="E101" s="94">
        <v>519035</v>
      </c>
      <c r="F101" s="94">
        <v>4</v>
      </c>
    </row>
    <row r="102" spans="1:6" x14ac:dyDescent="0.2">
      <c r="A102" s="94" t="s">
        <v>90</v>
      </c>
      <c r="B102" s="94">
        <v>2001</v>
      </c>
      <c r="C102" s="95">
        <v>45827</v>
      </c>
      <c r="D102" s="131" t="s">
        <v>63</v>
      </c>
      <c r="E102" s="94">
        <v>201800</v>
      </c>
      <c r="F102" s="94">
        <v>9</v>
      </c>
    </row>
    <row r="103" spans="1:6" x14ac:dyDescent="0.2">
      <c r="A103" s="94" t="s">
        <v>90</v>
      </c>
      <c r="B103" s="94">
        <v>2001</v>
      </c>
      <c r="C103" s="95">
        <v>45827</v>
      </c>
      <c r="D103" s="131" t="s">
        <v>63</v>
      </c>
      <c r="E103" s="94">
        <v>43094</v>
      </c>
      <c r="F103" s="94">
        <v>3</v>
      </c>
    </row>
    <row r="104" spans="1:6" x14ac:dyDescent="0.2">
      <c r="A104" s="94" t="s">
        <v>90</v>
      </c>
      <c r="B104" s="94">
        <v>2001</v>
      </c>
      <c r="C104" s="95">
        <v>45827</v>
      </c>
      <c r="D104" s="131" t="s">
        <v>63</v>
      </c>
      <c r="E104" s="94">
        <v>563849002</v>
      </c>
      <c r="F104" s="94">
        <v>6</v>
      </c>
    </row>
    <row r="105" spans="1:6" x14ac:dyDescent="0.2">
      <c r="A105" s="94" t="s">
        <v>90</v>
      </c>
      <c r="B105" s="94">
        <v>2001</v>
      </c>
      <c r="C105" s="95">
        <v>45827</v>
      </c>
      <c r="D105" s="131" t="s">
        <v>63</v>
      </c>
      <c r="E105" s="94">
        <v>700052</v>
      </c>
      <c r="F105" s="94">
        <v>1</v>
      </c>
    </row>
    <row r="106" spans="1:6" x14ac:dyDescent="0.2">
      <c r="A106" s="94" t="s">
        <v>90</v>
      </c>
      <c r="B106" s="94">
        <v>2001</v>
      </c>
      <c r="C106" s="95">
        <v>45827</v>
      </c>
      <c r="D106" s="131" t="s">
        <v>63</v>
      </c>
      <c r="E106" s="94">
        <v>974360</v>
      </c>
      <c r="F106" s="94">
        <v>3</v>
      </c>
    </row>
    <row r="107" spans="1:6" x14ac:dyDescent="0.2">
      <c r="A107" s="94" t="s">
        <v>90</v>
      </c>
      <c r="B107" s="94">
        <v>2001</v>
      </c>
      <c r="C107" s="95">
        <v>45827</v>
      </c>
      <c r="D107" s="131" t="s">
        <v>63</v>
      </c>
      <c r="E107" s="94">
        <v>1037083</v>
      </c>
      <c r="F107" s="94">
        <v>3</v>
      </c>
    </row>
    <row r="108" spans="1:6" x14ac:dyDescent="0.2">
      <c r="A108" s="94" t="s">
        <v>90</v>
      </c>
      <c r="B108" s="94">
        <v>2001</v>
      </c>
      <c r="C108" s="95">
        <v>45827</v>
      </c>
      <c r="D108" s="131" t="s">
        <v>63</v>
      </c>
      <c r="E108" s="94">
        <v>17534</v>
      </c>
      <c r="F108" s="94">
        <v>6</v>
      </c>
    </row>
    <row r="109" spans="1:6" x14ac:dyDescent="0.2">
      <c r="A109" s="94" t="s">
        <v>90</v>
      </c>
      <c r="B109" s="94">
        <v>2001</v>
      </c>
      <c r="C109" s="95">
        <v>45827</v>
      </c>
      <c r="D109" s="131" t="s">
        <v>63</v>
      </c>
      <c r="E109" s="94">
        <v>549450</v>
      </c>
      <c r="F109" s="94">
        <v>3</v>
      </c>
    </row>
    <row r="110" spans="1:6" x14ac:dyDescent="0.2">
      <c r="A110" s="94" t="s">
        <v>90</v>
      </c>
      <c r="B110" s="94">
        <v>2001</v>
      </c>
      <c r="C110" s="95">
        <v>45827</v>
      </c>
      <c r="D110" s="131" t="s">
        <v>63</v>
      </c>
      <c r="E110" s="94">
        <v>720432</v>
      </c>
      <c r="F110" s="94">
        <v>13</v>
      </c>
    </row>
    <row r="111" spans="1:6" x14ac:dyDescent="0.2">
      <c r="A111" s="94" t="s">
        <v>90</v>
      </c>
      <c r="B111" s="94">
        <v>2001</v>
      </c>
      <c r="C111" s="95">
        <v>45827</v>
      </c>
      <c r="D111" s="131" t="s">
        <v>63</v>
      </c>
      <c r="E111" s="94">
        <v>768476</v>
      </c>
      <c r="F111" s="94">
        <v>4</v>
      </c>
    </row>
    <row r="112" spans="1:6" x14ac:dyDescent="0.2">
      <c r="A112" s="94" t="s">
        <v>90</v>
      </c>
      <c r="B112" s="94">
        <v>2001</v>
      </c>
      <c r="C112" s="95">
        <v>45827</v>
      </c>
      <c r="D112" s="131" t="s">
        <v>63</v>
      </c>
      <c r="E112" s="94">
        <v>779259</v>
      </c>
      <c r="F112" s="94">
        <v>2</v>
      </c>
    </row>
    <row r="113" spans="1:6" x14ac:dyDescent="0.2">
      <c r="A113" s="94" t="s">
        <v>90</v>
      </c>
      <c r="B113" s="94">
        <v>2001</v>
      </c>
      <c r="C113" s="95">
        <v>45827</v>
      </c>
      <c r="D113" s="131" t="s">
        <v>63</v>
      </c>
      <c r="E113" s="94">
        <v>902564</v>
      </c>
      <c r="F113" s="94">
        <v>3</v>
      </c>
    </row>
    <row r="114" spans="1:6" x14ac:dyDescent="0.2">
      <c r="A114" s="94" t="s">
        <v>90</v>
      </c>
      <c r="B114" s="94">
        <v>2001</v>
      </c>
      <c r="C114" s="95">
        <v>45827</v>
      </c>
      <c r="D114" s="131" t="s">
        <v>63</v>
      </c>
      <c r="E114" s="94">
        <v>181138</v>
      </c>
      <c r="F114" s="94">
        <v>1</v>
      </c>
    </row>
    <row r="115" spans="1:6" x14ac:dyDescent="0.2">
      <c r="A115" s="94" t="s">
        <v>90</v>
      </c>
      <c r="B115" s="94">
        <v>2001</v>
      </c>
      <c r="C115" s="95">
        <v>45827</v>
      </c>
      <c r="D115" s="131" t="s">
        <v>63</v>
      </c>
      <c r="E115" s="94">
        <v>215669002</v>
      </c>
      <c r="F115" s="94">
        <v>2</v>
      </c>
    </row>
    <row r="116" spans="1:6" x14ac:dyDescent="0.2">
      <c r="A116" s="94" t="s">
        <v>90</v>
      </c>
      <c r="B116" s="94">
        <v>2001</v>
      </c>
      <c r="C116" s="95">
        <v>45827</v>
      </c>
      <c r="D116" s="131" t="s">
        <v>63</v>
      </c>
      <c r="E116" s="94">
        <v>768064</v>
      </c>
      <c r="F116" s="94">
        <v>5</v>
      </c>
    </row>
    <row r="117" spans="1:6" x14ac:dyDescent="0.2">
      <c r="A117" s="94" t="s">
        <v>90</v>
      </c>
      <c r="B117" s="94">
        <v>2001</v>
      </c>
      <c r="C117" s="95">
        <v>45827</v>
      </c>
      <c r="D117" s="131" t="s">
        <v>63</v>
      </c>
      <c r="E117" s="94">
        <v>974359</v>
      </c>
      <c r="F117" s="94">
        <v>9</v>
      </c>
    </row>
    <row r="118" spans="1:6" x14ac:dyDescent="0.2">
      <c r="A118" s="94" t="s">
        <v>90</v>
      </c>
      <c r="B118" s="94">
        <v>2001</v>
      </c>
      <c r="C118" s="95">
        <v>45827</v>
      </c>
      <c r="D118" s="131" t="s">
        <v>63</v>
      </c>
      <c r="E118" s="94">
        <v>186264</v>
      </c>
      <c r="F118" s="94">
        <v>6</v>
      </c>
    </row>
    <row r="119" spans="1:6" x14ac:dyDescent="0.2">
      <c r="A119" s="94" t="s">
        <v>90</v>
      </c>
      <c r="B119" s="94">
        <v>2001</v>
      </c>
      <c r="C119" s="95">
        <v>45827</v>
      </c>
      <c r="D119" s="131" t="s">
        <v>63</v>
      </c>
      <c r="E119" s="94">
        <v>515988</v>
      </c>
      <c r="F119" s="94">
        <v>4</v>
      </c>
    </row>
    <row r="120" spans="1:6" x14ac:dyDescent="0.2">
      <c r="A120" s="94" t="s">
        <v>90</v>
      </c>
      <c r="B120" s="94">
        <v>2001</v>
      </c>
      <c r="C120" s="95">
        <v>45827</v>
      </c>
      <c r="D120" s="131" t="s">
        <v>63</v>
      </c>
      <c r="E120" s="94">
        <v>545902</v>
      </c>
      <c r="F120" s="94">
        <v>3</v>
      </c>
    </row>
    <row r="121" spans="1:6" x14ac:dyDescent="0.2">
      <c r="A121" s="94" t="s">
        <v>90</v>
      </c>
      <c r="B121" s="94">
        <v>2001</v>
      </c>
      <c r="C121" s="95">
        <v>45827</v>
      </c>
      <c r="D121" s="131" t="s">
        <v>63</v>
      </c>
      <c r="E121" s="94">
        <v>733536</v>
      </c>
      <c r="F121" s="94">
        <v>1</v>
      </c>
    </row>
    <row r="122" spans="1:6" x14ac:dyDescent="0.2">
      <c r="A122" s="94" t="s">
        <v>90</v>
      </c>
      <c r="B122" s="94">
        <v>2001</v>
      </c>
      <c r="C122" s="95">
        <v>45827</v>
      </c>
      <c r="D122" s="131" t="s">
        <v>63</v>
      </c>
      <c r="E122" s="94">
        <v>964925001</v>
      </c>
      <c r="F122" s="94">
        <v>6</v>
      </c>
    </row>
    <row r="123" spans="1:6" x14ac:dyDescent="0.2">
      <c r="A123" s="94" t="s">
        <v>90</v>
      </c>
      <c r="B123" s="94">
        <v>2001</v>
      </c>
      <c r="C123" s="95">
        <v>45827</v>
      </c>
      <c r="D123" s="131" t="s">
        <v>63</v>
      </c>
      <c r="E123" s="94">
        <v>1031097</v>
      </c>
      <c r="F123" s="94">
        <v>10</v>
      </c>
    </row>
    <row r="124" spans="1:6" x14ac:dyDescent="0.2">
      <c r="A124" s="94" t="s">
        <v>90</v>
      </c>
      <c r="B124" s="94">
        <v>2001</v>
      </c>
      <c r="C124" s="95">
        <v>45827</v>
      </c>
      <c r="D124" s="131" t="s">
        <v>63</v>
      </c>
      <c r="E124" s="94">
        <v>1032075</v>
      </c>
      <c r="F124" s="94">
        <v>9</v>
      </c>
    </row>
    <row r="125" spans="1:6" x14ac:dyDescent="0.2">
      <c r="A125" s="94" t="s">
        <v>90</v>
      </c>
      <c r="B125" s="94">
        <v>2001</v>
      </c>
      <c r="C125" s="95">
        <v>45827</v>
      </c>
      <c r="D125" s="131" t="s">
        <v>63</v>
      </c>
      <c r="E125" s="94">
        <v>3746</v>
      </c>
      <c r="F125" s="94">
        <v>9</v>
      </c>
    </row>
    <row r="126" spans="1:6" x14ac:dyDescent="0.2">
      <c r="A126" s="94" t="s">
        <v>90</v>
      </c>
      <c r="B126" s="94">
        <v>2001</v>
      </c>
      <c r="C126" s="95">
        <v>45827</v>
      </c>
      <c r="D126" s="131" t="s">
        <v>63</v>
      </c>
      <c r="E126" s="94">
        <v>563849003</v>
      </c>
      <c r="F126" s="94">
        <v>3</v>
      </c>
    </row>
    <row r="127" spans="1:6" x14ac:dyDescent="0.2">
      <c r="A127" s="94" t="s">
        <v>90</v>
      </c>
      <c r="B127" s="94">
        <v>2001</v>
      </c>
      <c r="C127" s="95">
        <v>45827</v>
      </c>
      <c r="D127" s="131" t="s">
        <v>63</v>
      </c>
      <c r="E127" s="94">
        <v>975710</v>
      </c>
      <c r="F127" s="94">
        <v>1</v>
      </c>
    </row>
    <row r="128" spans="1:6" x14ac:dyDescent="0.2">
      <c r="A128" s="94" t="s">
        <v>90</v>
      </c>
      <c r="B128" s="94">
        <v>2001</v>
      </c>
      <c r="C128" s="95">
        <v>45827</v>
      </c>
      <c r="D128" s="131" t="s">
        <v>63</v>
      </c>
      <c r="E128" s="94">
        <v>127638</v>
      </c>
      <c r="F128" s="94">
        <v>8</v>
      </c>
    </row>
    <row r="129" spans="1:6" x14ac:dyDescent="0.2">
      <c r="A129" s="94" t="s">
        <v>90</v>
      </c>
      <c r="B129" s="94">
        <v>2001</v>
      </c>
      <c r="C129" s="95">
        <v>45827</v>
      </c>
      <c r="D129" s="131" t="s">
        <v>63</v>
      </c>
      <c r="E129" s="94">
        <v>160564</v>
      </c>
      <c r="F129" s="94">
        <v>2</v>
      </c>
    </row>
    <row r="130" spans="1:6" x14ac:dyDescent="0.2">
      <c r="A130" s="94" t="s">
        <v>90</v>
      </c>
      <c r="B130" s="94">
        <v>2001</v>
      </c>
      <c r="C130" s="95">
        <v>45827</v>
      </c>
      <c r="D130" s="131" t="s">
        <v>63</v>
      </c>
      <c r="E130" s="94">
        <v>785237</v>
      </c>
      <c r="F130" s="94">
        <v>4</v>
      </c>
    </row>
    <row r="131" spans="1:6" x14ac:dyDescent="0.2">
      <c r="A131" s="94" t="s">
        <v>90</v>
      </c>
      <c r="B131" s="94">
        <v>2001</v>
      </c>
      <c r="C131" s="95">
        <v>45827</v>
      </c>
      <c r="D131" s="131" t="s">
        <v>63</v>
      </c>
      <c r="E131" s="94">
        <v>975714</v>
      </c>
      <c r="F131" s="94">
        <v>4</v>
      </c>
    </row>
    <row r="132" spans="1:6" x14ac:dyDescent="0.2">
      <c r="A132" s="94" t="s">
        <v>90</v>
      </c>
      <c r="B132" s="94">
        <v>2001</v>
      </c>
      <c r="C132" s="95">
        <v>45827</v>
      </c>
      <c r="D132" s="131" t="s">
        <v>63</v>
      </c>
      <c r="E132" s="94">
        <v>1032073</v>
      </c>
      <c r="F132" s="94">
        <v>3</v>
      </c>
    </row>
    <row r="133" spans="1:6" x14ac:dyDescent="0.2">
      <c r="A133" s="94" t="s">
        <v>90</v>
      </c>
      <c r="B133" s="94">
        <v>2001</v>
      </c>
      <c r="C133" s="95">
        <v>45827</v>
      </c>
      <c r="D133" s="131" t="s">
        <v>63</v>
      </c>
      <c r="E133" s="94">
        <v>118644001</v>
      </c>
      <c r="F133" s="94">
        <v>2</v>
      </c>
    </row>
    <row r="134" spans="1:6" x14ac:dyDescent="0.2">
      <c r="A134" s="94" t="s">
        <v>90</v>
      </c>
      <c r="B134" s="94">
        <v>2001</v>
      </c>
      <c r="C134" s="95">
        <v>45827</v>
      </c>
      <c r="D134" s="131" t="s">
        <v>63</v>
      </c>
      <c r="E134" s="94">
        <v>17495</v>
      </c>
      <c r="F134" s="94">
        <v>10</v>
      </c>
    </row>
    <row r="135" spans="1:6" x14ac:dyDescent="0.2">
      <c r="A135" s="94" t="s">
        <v>90</v>
      </c>
      <c r="B135" s="94">
        <v>2001</v>
      </c>
      <c r="C135" s="95">
        <v>45827</v>
      </c>
      <c r="D135" s="131" t="s">
        <v>63</v>
      </c>
      <c r="E135" s="94">
        <v>87336</v>
      </c>
      <c r="F135" s="94">
        <v>9</v>
      </c>
    </row>
    <row r="136" spans="1:6" x14ac:dyDescent="0.2">
      <c r="A136" s="94" t="s">
        <v>90</v>
      </c>
      <c r="B136" s="94">
        <v>2001</v>
      </c>
      <c r="C136" s="95">
        <v>45827</v>
      </c>
      <c r="D136" s="131" t="s">
        <v>63</v>
      </c>
      <c r="E136" s="94">
        <v>370846</v>
      </c>
      <c r="F136" s="94">
        <v>3</v>
      </c>
    </row>
    <row r="137" spans="1:6" x14ac:dyDescent="0.2">
      <c r="A137" s="94" t="s">
        <v>90</v>
      </c>
      <c r="B137" s="94">
        <v>2001</v>
      </c>
      <c r="C137" s="95">
        <v>45827</v>
      </c>
      <c r="D137" s="131" t="s">
        <v>63</v>
      </c>
      <c r="E137" s="94">
        <v>767775</v>
      </c>
      <c r="F137" s="94">
        <v>5</v>
      </c>
    </row>
    <row r="138" spans="1:6" x14ac:dyDescent="0.2">
      <c r="A138" s="94" t="s">
        <v>90</v>
      </c>
      <c r="B138" s="94">
        <v>2001</v>
      </c>
      <c r="C138" s="95">
        <v>45827</v>
      </c>
      <c r="D138" s="131" t="s">
        <v>63</v>
      </c>
      <c r="E138" s="94">
        <v>774005</v>
      </c>
      <c r="F138" s="94">
        <v>5</v>
      </c>
    </row>
    <row r="139" spans="1:6" x14ac:dyDescent="0.2">
      <c r="A139" s="94" t="s">
        <v>90</v>
      </c>
      <c r="B139" s="94">
        <v>2001</v>
      </c>
      <c r="C139" s="95">
        <v>45827</v>
      </c>
      <c r="D139" s="131" t="s">
        <v>63</v>
      </c>
      <c r="E139" s="94">
        <v>974365</v>
      </c>
      <c r="F139" s="94">
        <v>5</v>
      </c>
    </row>
    <row r="140" spans="1:6" x14ac:dyDescent="0.2">
      <c r="A140" s="94" t="s">
        <v>90</v>
      </c>
      <c r="B140" s="94">
        <v>2001</v>
      </c>
      <c r="C140" s="95">
        <v>45827</v>
      </c>
      <c r="D140" s="131" t="s">
        <v>63</v>
      </c>
      <c r="E140" s="94">
        <v>997982</v>
      </c>
      <c r="F140" s="94">
        <v>4</v>
      </c>
    </row>
    <row r="141" spans="1:6" x14ac:dyDescent="0.2">
      <c r="A141" s="94" t="s">
        <v>90</v>
      </c>
      <c r="B141" s="94">
        <v>2001</v>
      </c>
      <c r="C141" s="95">
        <v>45827</v>
      </c>
      <c r="D141" s="131" t="s">
        <v>63</v>
      </c>
      <c r="E141" s="94">
        <v>1023464</v>
      </c>
      <c r="F141" s="94">
        <v>9</v>
      </c>
    </row>
    <row r="142" spans="1:6" x14ac:dyDescent="0.2">
      <c r="A142" s="94" t="s">
        <v>90</v>
      </c>
      <c r="B142" s="94">
        <v>2001</v>
      </c>
      <c r="C142" s="95">
        <v>45827</v>
      </c>
      <c r="D142" s="131" t="s">
        <v>63</v>
      </c>
      <c r="E142" s="94">
        <v>201724</v>
      </c>
      <c r="F142" s="94">
        <v>4</v>
      </c>
    </row>
    <row r="143" spans="1:6" x14ac:dyDescent="0.2">
      <c r="A143" s="94" t="s">
        <v>90</v>
      </c>
      <c r="B143" s="94">
        <v>2001</v>
      </c>
      <c r="C143" s="95">
        <v>45827</v>
      </c>
      <c r="D143" s="131" t="s">
        <v>63</v>
      </c>
      <c r="E143" s="94">
        <v>768743002</v>
      </c>
      <c r="F143" s="94">
        <v>1</v>
      </c>
    </row>
    <row r="144" spans="1:6" x14ac:dyDescent="0.2">
      <c r="A144" s="94" t="s">
        <v>90</v>
      </c>
      <c r="B144" s="94">
        <v>2001</v>
      </c>
      <c r="C144" s="95">
        <v>45827</v>
      </c>
      <c r="D144" s="131" t="s">
        <v>63</v>
      </c>
      <c r="E144" s="94">
        <v>952079003</v>
      </c>
      <c r="F144" s="94">
        <v>2</v>
      </c>
    </row>
    <row r="145" spans="1:6" x14ac:dyDescent="0.2">
      <c r="A145" s="94" t="s">
        <v>90</v>
      </c>
      <c r="B145" s="94">
        <v>2001</v>
      </c>
      <c r="C145" s="95">
        <v>45827</v>
      </c>
      <c r="D145" s="131" t="s">
        <v>63</v>
      </c>
      <c r="E145" s="94">
        <v>252912</v>
      </c>
      <c r="F145" s="94">
        <v>9</v>
      </c>
    </row>
    <row r="146" spans="1:6" x14ac:dyDescent="0.2">
      <c r="A146" s="94" t="s">
        <v>90</v>
      </c>
      <c r="B146" s="94">
        <v>2001</v>
      </c>
      <c r="C146" s="95">
        <v>45827</v>
      </c>
      <c r="D146" s="131" t="s">
        <v>63</v>
      </c>
      <c r="E146" s="94">
        <v>407900</v>
      </c>
      <c r="F146" s="94">
        <v>2</v>
      </c>
    </row>
    <row r="147" spans="1:6" x14ac:dyDescent="0.2">
      <c r="A147" s="94" t="s">
        <v>90</v>
      </c>
      <c r="B147" s="94">
        <v>2001</v>
      </c>
      <c r="C147" s="95">
        <v>45827</v>
      </c>
      <c r="D147" s="131" t="s">
        <v>63</v>
      </c>
      <c r="E147" s="94">
        <v>531493</v>
      </c>
      <c r="F147" s="94">
        <v>1</v>
      </c>
    </row>
    <row r="148" spans="1:6" x14ac:dyDescent="0.2">
      <c r="A148" s="94" t="s">
        <v>90</v>
      </c>
      <c r="B148" s="94">
        <v>2001</v>
      </c>
      <c r="C148" s="95">
        <v>45827</v>
      </c>
      <c r="D148" s="131" t="s">
        <v>63</v>
      </c>
      <c r="E148" s="94">
        <v>916693</v>
      </c>
      <c r="F148" s="94">
        <v>3</v>
      </c>
    </row>
    <row r="149" spans="1:6" x14ac:dyDescent="0.2">
      <c r="A149" s="94" t="s">
        <v>90</v>
      </c>
      <c r="B149" s="94">
        <v>2001</v>
      </c>
      <c r="C149" s="95">
        <v>45827</v>
      </c>
      <c r="D149" s="131" t="s">
        <v>63</v>
      </c>
      <c r="E149" s="94">
        <v>733537002</v>
      </c>
      <c r="F149" s="94">
        <v>1</v>
      </c>
    </row>
    <row r="150" spans="1:6" x14ac:dyDescent="0.2">
      <c r="A150" s="94" t="s">
        <v>90</v>
      </c>
      <c r="B150" s="94">
        <v>2001</v>
      </c>
      <c r="C150" s="95">
        <v>45827</v>
      </c>
      <c r="D150" s="131" t="s">
        <v>63</v>
      </c>
      <c r="E150" s="94">
        <v>768744001</v>
      </c>
      <c r="F150" s="94">
        <v>4</v>
      </c>
    </row>
    <row r="151" spans="1:6" x14ac:dyDescent="0.2">
      <c r="A151" s="94" t="s">
        <v>90</v>
      </c>
      <c r="B151" s="94">
        <v>2001</v>
      </c>
      <c r="C151" s="95">
        <v>45827</v>
      </c>
      <c r="D151" s="131" t="s">
        <v>63</v>
      </c>
      <c r="E151" s="94">
        <v>532156</v>
      </c>
      <c r="F151" s="94">
        <v>4</v>
      </c>
    </row>
    <row r="152" spans="1:6" x14ac:dyDescent="0.2">
      <c r="A152" s="94" t="s">
        <v>90</v>
      </c>
      <c r="B152" s="94">
        <v>2001</v>
      </c>
      <c r="C152" s="95">
        <v>45827</v>
      </c>
      <c r="D152" s="131" t="s">
        <v>63</v>
      </c>
      <c r="E152" s="94">
        <v>76762</v>
      </c>
      <c r="F152" s="94">
        <v>8</v>
      </c>
    </row>
    <row r="153" spans="1:6" x14ac:dyDescent="0.2">
      <c r="A153" s="94" t="s">
        <v>90</v>
      </c>
      <c r="B153" s="94">
        <v>2001</v>
      </c>
      <c r="C153" s="95">
        <v>45827</v>
      </c>
      <c r="D153" s="131" t="s">
        <v>63</v>
      </c>
      <c r="E153" s="94">
        <v>768651</v>
      </c>
      <c r="F153" s="94">
        <v>3</v>
      </c>
    </row>
    <row r="154" spans="1:6" x14ac:dyDescent="0.2">
      <c r="A154" s="94" t="s">
        <v>90</v>
      </c>
      <c r="B154" s="94">
        <v>2001</v>
      </c>
      <c r="C154" s="95">
        <v>45827</v>
      </c>
      <c r="D154" s="131" t="s">
        <v>63</v>
      </c>
      <c r="E154" s="94">
        <v>19621</v>
      </c>
      <c r="F154" s="94">
        <v>3</v>
      </c>
    </row>
    <row r="155" spans="1:6" x14ac:dyDescent="0.2">
      <c r="A155" s="94" t="s">
        <v>90</v>
      </c>
      <c r="B155" s="94">
        <v>2001</v>
      </c>
      <c r="C155" s="95">
        <v>45827</v>
      </c>
      <c r="D155" s="131" t="s">
        <v>63</v>
      </c>
      <c r="E155" s="94">
        <v>929130003</v>
      </c>
      <c r="F155" s="94">
        <v>5</v>
      </c>
    </row>
    <row r="156" spans="1:6" x14ac:dyDescent="0.2">
      <c r="A156" s="94" t="s">
        <v>90</v>
      </c>
      <c r="B156" s="94">
        <v>2001</v>
      </c>
      <c r="C156" s="95">
        <v>45827</v>
      </c>
      <c r="D156" s="131" t="s">
        <v>63</v>
      </c>
      <c r="E156" s="94">
        <v>549446</v>
      </c>
      <c r="F156" s="94">
        <v>2</v>
      </c>
    </row>
    <row r="157" spans="1:6" x14ac:dyDescent="0.2">
      <c r="A157" s="94" t="s">
        <v>90</v>
      </c>
      <c r="B157" s="94">
        <v>2001</v>
      </c>
      <c r="C157" s="95">
        <v>45827</v>
      </c>
      <c r="D157" s="131" t="s">
        <v>63</v>
      </c>
      <c r="E157" s="94">
        <v>1022887</v>
      </c>
      <c r="F157" s="94">
        <v>11</v>
      </c>
    </row>
    <row r="158" spans="1:6" x14ac:dyDescent="0.2">
      <c r="A158" s="94" t="s">
        <v>90</v>
      </c>
      <c r="B158" s="94">
        <v>2001</v>
      </c>
      <c r="C158" s="95">
        <v>45827</v>
      </c>
      <c r="D158" s="131" t="s">
        <v>63</v>
      </c>
      <c r="E158" s="94">
        <v>960980</v>
      </c>
      <c r="F158" s="94">
        <v>2</v>
      </c>
    </row>
    <row r="159" spans="1:6" x14ac:dyDescent="0.2">
      <c r="A159" s="94" t="s">
        <v>90</v>
      </c>
      <c r="B159" s="94">
        <v>2001</v>
      </c>
      <c r="C159" s="95">
        <v>45827</v>
      </c>
      <c r="D159" s="131" t="s">
        <v>63</v>
      </c>
      <c r="E159" s="94">
        <v>1011365</v>
      </c>
      <c r="F159" s="94">
        <v>7</v>
      </c>
    </row>
    <row r="160" spans="1:6" x14ac:dyDescent="0.2">
      <c r="A160" s="94" t="s">
        <v>90</v>
      </c>
      <c r="B160" s="94">
        <v>2001</v>
      </c>
      <c r="C160" s="95">
        <v>45827</v>
      </c>
      <c r="D160" s="131" t="s">
        <v>63</v>
      </c>
      <c r="E160" s="94">
        <v>252913</v>
      </c>
      <c r="F160" s="94">
        <v>1</v>
      </c>
    </row>
    <row r="161" spans="1:6" x14ac:dyDescent="0.2">
      <c r="A161" s="94" t="s">
        <v>90</v>
      </c>
      <c r="B161" s="94">
        <v>2001</v>
      </c>
      <c r="C161" s="95">
        <v>45827</v>
      </c>
      <c r="D161" s="131" t="s">
        <v>63</v>
      </c>
      <c r="E161" s="94">
        <v>952982</v>
      </c>
      <c r="F161" s="94">
        <v>5</v>
      </c>
    </row>
    <row r="162" spans="1:6" x14ac:dyDescent="0.2">
      <c r="A162" s="94" t="s">
        <v>90</v>
      </c>
      <c r="B162" s="94">
        <v>2001</v>
      </c>
      <c r="C162" s="95">
        <v>45827</v>
      </c>
      <c r="D162" s="131" t="s">
        <v>63</v>
      </c>
      <c r="E162" s="94">
        <v>965501</v>
      </c>
      <c r="F162" s="94">
        <v>8</v>
      </c>
    </row>
    <row r="163" spans="1:6" x14ac:dyDescent="0.2">
      <c r="A163" s="94" t="s">
        <v>90</v>
      </c>
      <c r="B163" s="94">
        <v>2001</v>
      </c>
      <c r="C163" s="95">
        <v>45827</v>
      </c>
      <c r="D163" s="131" t="s">
        <v>63</v>
      </c>
      <c r="E163" s="94">
        <v>956390003</v>
      </c>
      <c r="F163" s="94">
        <v>2</v>
      </c>
    </row>
    <row r="164" spans="1:6" x14ac:dyDescent="0.2">
      <c r="A164" s="94" t="s">
        <v>90</v>
      </c>
      <c r="B164" s="94">
        <v>2001</v>
      </c>
      <c r="C164" s="95">
        <v>45827</v>
      </c>
      <c r="D164" s="131" t="s">
        <v>63</v>
      </c>
      <c r="E164" s="94">
        <v>76803</v>
      </c>
      <c r="F164" s="94">
        <v>8</v>
      </c>
    </row>
    <row r="165" spans="1:6" x14ac:dyDescent="0.2">
      <c r="A165" s="94" t="s">
        <v>90</v>
      </c>
      <c r="B165" s="94">
        <v>2001</v>
      </c>
      <c r="C165" s="95">
        <v>45827</v>
      </c>
      <c r="D165" s="131" t="s">
        <v>63</v>
      </c>
      <c r="E165" s="94">
        <v>768390002</v>
      </c>
      <c r="F165" s="94">
        <v>6</v>
      </c>
    </row>
    <row r="166" spans="1:6" x14ac:dyDescent="0.2">
      <c r="A166" s="94" t="s">
        <v>90</v>
      </c>
      <c r="B166" s="94">
        <v>2001</v>
      </c>
      <c r="C166" s="95">
        <v>45827</v>
      </c>
      <c r="D166" s="131" t="s">
        <v>63</v>
      </c>
      <c r="E166" s="94">
        <v>3386</v>
      </c>
      <c r="F166" s="94">
        <v>12</v>
      </c>
    </row>
    <row r="167" spans="1:6" x14ac:dyDescent="0.2">
      <c r="A167" s="94" t="s">
        <v>90</v>
      </c>
      <c r="B167" s="94">
        <v>2001</v>
      </c>
      <c r="C167" s="95">
        <v>45827</v>
      </c>
      <c r="D167" s="131" t="s">
        <v>63</v>
      </c>
      <c r="E167" s="94">
        <v>973317</v>
      </c>
      <c r="F167" s="94">
        <v>5</v>
      </c>
    </row>
    <row r="168" spans="1:6" x14ac:dyDescent="0.2">
      <c r="A168" s="94" t="s">
        <v>90</v>
      </c>
      <c r="B168" s="94">
        <v>2001</v>
      </c>
      <c r="C168" s="95">
        <v>45827</v>
      </c>
      <c r="D168" s="131" t="s">
        <v>63</v>
      </c>
      <c r="E168" s="94">
        <v>733535002</v>
      </c>
      <c r="F168" s="94">
        <v>3</v>
      </c>
    </row>
    <row r="169" spans="1:6" x14ac:dyDescent="0.2">
      <c r="A169" s="94" t="s">
        <v>90</v>
      </c>
      <c r="B169" s="94">
        <v>2001</v>
      </c>
      <c r="C169" s="95">
        <v>45827</v>
      </c>
      <c r="D169" s="131" t="s">
        <v>63</v>
      </c>
      <c r="E169" s="94">
        <v>457963</v>
      </c>
      <c r="F169" s="94">
        <v>1</v>
      </c>
    </row>
    <row r="170" spans="1:6" x14ac:dyDescent="0.2">
      <c r="A170" s="94" t="s">
        <v>90</v>
      </c>
      <c r="B170" s="94">
        <v>2001</v>
      </c>
      <c r="C170" s="95">
        <v>45827</v>
      </c>
      <c r="D170" s="131" t="s">
        <v>63</v>
      </c>
      <c r="E170" s="94">
        <v>973323</v>
      </c>
      <c r="F170" s="94">
        <v>4</v>
      </c>
    </row>
    <row r="171" spans="1:6" x14ac:dyDescent="0.2">
      <c r="A171" s="94" t="s">
        <v>90</v>
      </c>
      <c r="B171" s="94">
        <v>2001</v>
      </c>
      <c r="C171" s="95">
        <v>45827</v>
      </c>
      <c r="D171" s="131" t="s">
        <v>63</v>
      </c>
      <c r="E171" s="94">
        <v>209785</v>
      </c>
      <c r="F171" s="94">
        <v>3</v>
      </c>
    </row>
    <row r="172" spans="1:6" x14ac:dyDescent="0.2">
      <c r="A172" s="94" t="s">
        <v>90</v>
      </c>
      <c r="B172" s="94">
        <v>2001</v>
      </c>
      <c r="C172" s="95">
        <v>45827</v>
      </c>
      <c r="D172" s="131" t="s">
        <v>63</v>
      </c>
      <c r="E172" s="94">
        <v>916698</v>
      </c>
      <c r="F172" s="94">
        <v>1</v>
      </c>
    </row>
    <row r="173" spans="1:6" x14ac:dyDescent="0.2">
      <c r="A173" s="94" t="s">
        <v>90</v>
      </c>
      <c r="B173" s="94">
        <v>2001</v>
      </c>
      <c r="C173" s="95">
        <v>45827</v>
      </c>
      <c r="D173" s="131" t="s">
        <v>63</v>
      </c>
      <c r="E173" s="94">
        <v>1027530</v>
      </c>
      <c r="F173" s="94">
        <v>4</v>
      </c>
    </row>
    <row r="174" spans="1:6" x14ac:dyDescent="0.2">
      <c r="A174" s="94" t="s">
        <v>90</v>
      </c>
      <c r="B174" s="94">
        <v>2001</v>
      </c>
      <c r="C174" s="95">
        <v>45827</v>
      </c>
      <c r="D174" s="131" t="s">
        <v>63</v>
      </c>
      <c r="E174" s="94">
        <v>457137</v>
      </c>
      <c r="F174" s="94">
        <v>4</v>
      </c>
    </row>
    <row r="175" spans="1:6" x14ac:dyDescent="0.2">
      <c r="A175" s="94" t="s">
        <v>90</v>
      </c>
      <c r="B175" s="94">
        <v>2001</v>
      </c>
      <c r="C175" s="95">
        <v>45827</v>
      </c>
      <c r="D175" s="131" t="s">
        <v>63</v>
      </c>
      <c r="E175" s="94">
        <v>118644003</v>
      </c>
      <c r="F175" s="94">
        <v>9</v>
      </c>
    </row>
    <row r="176" spans="1:6" x14ac:dyDescent="0.2">
      <c r="A176" s="94" t="s">
        <v>90</v>
      </c>
      <c r="B176" s="94">
        <v>2001</v>
      </c>
      <c r="C176" s="95">
        <v>45827</v>
      </c>
      <c r="D176" s="131" t="s">
        <v>63</v>
      </c>
      <c r="E176" s="94">
        <v>735373003</v>
      </c>
      <c r="F176" s="94">
        <v>13</v>
      </c>
    </row>
    <row r="177" spans="1:6" x14ac:dyDescent="0.2">
      <c r="A177" s="94" t="s">
        <v>90</v>
      </c>
      <c r="B177" s="94">
        <v>2001</v>
      </c>
      <c r="C177" s="95">
        <v>45827</v>
      </c>
      <c r="D177" s="131" t="s">
        <v>63</v>
      </c>
      <c r="E177" s="94">
        <v>1028348</v>
      </c>
      <c r="F177" s="94">
        <v>84</v>
      </c>
    </row>
    <row r="178" spans="1:6" x14ac:dyDescent="0.2">
      <c r="A178" s="94" t="s">
        <v>90</v>
      </c>
      <c r="B178" s="94">
        <v>2001</v>
      </c>
      <c r="C178" s="95">
        <v>45827</v>
      </c>
      <c r="D178" s="131" t="s">
        <v>63</v>
      </c>
      <c r="E178" s="94">
        <v>989048</v>
      </c>
      <c r="F178" s="94">
        <v>3901</v>
      </c>
    </row>
    <row r="179" spans="1:6" x14ac:dyDescent="0.2">
      <c r="A179" s="94" t="s">
        <v>90</v>
      </c>
      <c r="B179" s="94">
        <v>2001</v>
      </c>
      <c r="C179" s="95">
        <v>45827</v>
      </c>
      <c r="D179" s="131" t="s">
        <v>63</v>
      </c>
      <c r="E179" s="94">
        <v>70841001</v>
      </c>
      <c r="F179" s="94">
        <v>72</v>
      </c>
    </row>
    <row r="180" spans="1:6" x14ac:dyDescent="0.2">
      <c r="A180" s="94" t="s">
        <v>90</v>
      </c>
      <c r="B180" s="94">
        <v>2001</v>
      </c>
      <c r="C180" s="95">
        <v>45827</v>
      </c>
      <c r="D180" s="131" t="s">
        <v>63</v>
      </c>
      <c r="E180" s="94">
        <v>396035003</v>
      </c>
      <c r="F180" s="94">
        <v>72</v>
      </c>
    </row>
    <row r="181" spans="1:6" x14ac:dyDescent="0.2">
      <c r="A181" s="94" t="s">
        <v>90</v>
      </c>
      <c r="B181" s="94">
        <v>2001</v>
      </c>
      <c r="C181" s="95">
        <v>45827</v>
      </c>
      <c r="D181" s="131" t="s">
        <v>63</v>
      </c>
      <c r="E181" s="94">
        <v>1021542</v>
      </c>
      <c r="F181" s="94">
        <v>11</v>
      </c>
    </row>
    <row r="182" spans="1:6" x14ac:dyDescent="0.2">
      <c r="A182" s="94" t="s">
        <v>90</v>
      </c>
      <c r="B182" s="94">
        <v>2001</v>
      </c>
      <c r="C182" s="95">
        <v>45827</v>
      </c>
      <c r="D182" s="131" t="s">
        <v>63</v>
      </c>
      <c r="E182" s="94">
        <v>484897</v>
      </c>
      <c r="F182" s="94">
        <v>10</v>
      </c>
    </row>
    <row r="183" spans="1:6" x14ac:dyDescent="0.2">
      <c r="A183" s="94" t="s">
        <v>90</v>
      </c>
      <c r="B183" s="94">
        <v>2001</v>
      </c>
      <c r="C183" s="95">
        <v>45827</v>
      </c>
      <c r="D183" s="131" t="s">
        <v>63</v>
      </c>
      <c r="E183" s="94">
        <v>1019074002</v>
      </c>
      <c r="F183" s="94">
        <v>22</v>
      </c>
    </row>
    <row r="184" spans="1:6" x14ac:dyDescent="0.2">
      <c r="A184" s="94" t="s">
        <v>90</v>
      </c>
      <c r="B184" s="94">
        <v>2001</v>
      </c>
      <c r="C184" s="95">
        <v>45827</v>
      </c>
      <c r="D184" s="131" t="s">
        <v>63</v>
      </c>
      <c r="E184" s="94">
        <v>1022402</v>
      </c>
      <c r="F184" s="94">
        <v>4</v>
      </c>
    </row>
    <row r="185" spans="1:6" x14ac:dyDescent="0.2">
      <c r="A185" s="94" t="s">
        <v>90</v>
      </c>
      <c r="B185" s="94">
        <v>2001</v>
      </c>
      <c r="C185" s="95">
        <v>45827</v>
      </c>
      <c r="D185" s="131" t="s">
        <v>63</v>
      </c>
      <c r="E185" s="94">
        <v>392304</v>
      </c>
      <c r="F185" s="94">
        <v>6</v>
      </c>
    </row>
    <row r="186" spans="1:6" x14ac:dyDescent="0.2">
      <c r="A186" s="94" t="s">
        <v>90</v>
      </c>
      <c r="B186" s="94">
        <v>2001</v>
      </c>
      <c r="C186" s="95">
        <v>45827</v>
      </c>
      <c r="D186" s="131" t="s">
        <v>63</v>
      </c>
      <c r="E186" s="94">
        <v>1016137</v>
      </c>
      <c r="F186" s="94">
        <v>25</v>
      </c>
    </row>
    <row r="187" spans="1:6" x14ac:dyDescent="0.2">
      <c r="A187" s="94" t="s">
        <v>90</v>
      </c>
      <c r="B187" s="94">
        <v>2001</v>
      </c>
      <c r="C187" s="95">
        <v>45827</v>
      </c>
      <c r="D187" s="131" t="s">
        <v>63</v>
      </c>
      <c r="E187" s="94">
        <v>947966</v>
      </c>
      <c r="F187" s="94">
        <v>24</v>
      </c>
    </row>
    <row r="188" spans="1:6" x14ac:dyDescent="0.2">
      <c r="A188" s="94" t="s">
        <v>90</v>
      </c>
      <c r="B188" s="94">
        <v>2001</v>
      </c>
      <c r="C188" s="95">
        <v>45827</v>
      </c>
      <c r="D188" s="131" t="s">
        <v>63</v>
      </c>
      <c r="E188" s="94">
        <v>334950</v>
      </c>
      <c r="F188" s="94">
        <v>72</v>
      </c>
    </row>
    <row r="189" spans="1:6" x14ac:dyDescent="0.2">
      <c r="A189" s="94" t="s">
        <v>90</v>
      </c>
      <c r="B189" s="94">
        <v>2001</v>
      </c>
      <c r="C189" s="95">
        <v>45827</v>
      </c>
      <c r="D189" s="131" t="s">
        <v>63</v>
      </c>
      <c r="E189" s="94">
        <v>1016134</v>
      </c>
      <c r="F189" s="94">
        <v>6</v>
      </c>
    </row>
    <row r="190" spans="1:6" x14ac:dyDescent="0.2">
      <c r="A190" s="94" t="s">
        <v>90</v>
      </c>
      <c r="B190" s="94">
        <v>2001</v>
      </c>
      <c r="C190" s="95">
        <v>45827</v>
      </c>
      <c r="D190" s="131" t="s">
        <v>63</v>
      </c>
      <c r="E190" s="94">
        <v>1021546</v>
      </c>
      <c r="F190" s="94">
        <v>18</v>
      </c>
    </row>
    <row r="191" spans="1:6" x14ac:dyDescent="0.2">
      <c r="A191" s="94" t="s">
        <v>90</v>
      </c>
      <c r="B191" s="94">
        <v>2001</v>
      </c>
      <c r="C191" s="95">
        <v>45827</v>
      </c>
      <c r="D191" s="131" t="s">
        <v>63</v>
      </c>
      <c r="E191" s="94">
        <v>560877</v>
      </c>
      <c r="F191" s="94">
        <v>9</v>
      </c>
    </row>
    <row r="192" spans="1:6" x14ac:dyDescent="0.2">
      <c r="A192" s="94" t="s">
        <v>90</v>
      </c>
      <c r="B192" s="94">
        <v>2001</v>
      </c>
      <c r="C192" s="95">
        <v>45827</v>
      </c>
      <c r="D192" s="131" t="s">
        <v>63</v>
      </c>
      <c r="E192" s="94">
        <v>531943</v>
      </c>
      <c r="F192" s="94">
        <v>12</v>
      </c>
    </row>
    <row r="193" spans="1:6" x14ac:dyDescent="0.2">
      <c r="A193" s="94" t="s">
        <v>90</v>
      </c>
      <c r="B193" s="94">
        <v>2001</v>
      </c>
      <c r="C193" s="95">
        <v>45827</v>
      </c>
      <c r="D193" s="131" t="s">
        <v>63</v>
      </c>
      <c r="E193" s="94">
        <v>482548</v>
      </c>
      <c r="F193" s="94">
        <v>3</v>
      </c>
    </row>
    <row r="194" spans="1:6" x14ac:dyDescent="0.2">
      <c r="A194" s="94" t="s">
        <v>90</v>
      </c>
      <c r="B194" s="94">
        <v>2001</v>
      </c>
      <c r="C194" s="95">
        <v>45827</v>
      </c>
      <c r="D194" s="131" t="s">
        <v>63</v>
      </c>
      <c r="E194" s="94">
        <v>1021543</v>
      </c>
      <c r="F194" s="94">
        <v>17</v>
      </c>
    </row>
    <row r="195" spans="1:6" x14ac:dyDescent="0.2">
      <c r="A195" s="94" t="s">
        <v>90</v>
      </c>
      <c r="B195" s="94">
        <v>2001</v>
      </c>
      <c r="C195" s="95">
        <v>45827</v>
      </c>
      <c r="D195" s="131" t="s">
        <v>63</v>
      </c>
      <c r="E195" s="94">
        <v>353468</v>
      </c>
      <c r="F195" s="94">
        <v>12</v>
      </c>
    </row>
    <row r="196" spans="1:6" x14ac:dyDescent="0.2">
      <c r="A196" s="94" t="s">
        <v>90</v>
      </c>
      <c r="B196" s="94">
        <v>2001</v>
      </c>
      <c r="C196" s="95">
        <v>45827</v>
      </c>
      <c r="D196" s="131" t="s">
        <v>63</v>
      </c>
      <c r="E196" s="94">
        <v>477426003</v>
      </c>
      <c r="F196" s="94">
        <v>3</v>
      </c>
    </row>
    <row r="197" spans="1:6" x14ac:dyDescent="0.2">
      <c r="A197" s="94" t="s">
        <v>90</v>
      </c>
      <c r="B197" s="94">
        <v>2001</v>
      </c>
      <c r="C197" s="95">
        <v>45827</v>
      </c>
      <c r="D197" s="131" t="s">
        <v>63</v>
      </c>
      <c r="E197" s="94">
        <v>70841003</v>
      </c>
      <c r="F197" s="94">
        <v>12</v>
      </c>
    </row>
    <row r="198" spans="1:6" x14ac:dyDescent="0.2">
      <c r="A198" s="94" t="s">
        <v>90</v>
      </c>
      <c r="B198" s="94">
        <v>2001</v>
      </c>
      <c r="C198" s="95">
        <v>45827</v>
      </c>
      <c r="D198" s="131" t="s">
        <v>63</v>
      </c>
      <c r="E198" s="94">
        <v>892485</v>
      </c>
      <c r="F198" s="94">
        <v>13</v>
      </c>
    </row>
    <row r="199" spans="1:6" x14ac:dyDescent="0.2">
      <c r="A199" s="94" t="s">
        <v>90</v>
      </c>
      <c r="B199" s="94">
        <v>2001</v>
      </c>
      <c r="C199" s="95">
        <v>45827</v>
      </c>
      <c r="D199" s="131" t="s">
        <v>63</v>
      </c>
      <c r="E199" s="94">
        <v>449851003</v>
      </c>
      <c r="F199" s="94">
        <v>24</v>
      </c>
    </row>
    <row r="200" spans="1:6" x14ac:dyDescent="0.2">
      <c r="A200" s="94" t="s">
        <v>90</v>
      </c>
      <c r="B200" s="94">
        <v>2001</v>
      </c>
      <c r="C200" s="95">
        <v>45827</v>
      </c>
      <c r="D200" s="131" t="s">
        <v>63</v>
      </c>
      <c r="E200" s="94">
        <v>768747</v>
      </c>
      <c r="F200" s="94">
        <v>6</v>
      </c>
    </row>
    <row r="201" spans="1:6" x14ac:dyDescent="0.2">
      <c r="A201" s="94" t="s">
        <v>90</v>
      </c>
      <c r="B201" s="94">
        <v>2001</v>
      </c>
      <c r="C201" s="95">
        <v>45827</v>
      </c>
      <c r="D201" s="131" t="s">
        <v>63</v>
      </c>
      <c r="E201" s="94">
        <v>485926</v>
      </c>
      <c r="F201" s="94">
        <v>3</v>
      </c>
    </row>
    <row r="202" spans="1:6" x14ac:dyDescent="0.2">
      <c r="A202" s="94" t="s">
        <v>90</v>
      </c>
      <c r="B202" s="94">
        <v>2001</v>
      </c>
      <c r="C202" s="95">
        <v>45827</v>
      </c>
      <c r="D202" s="131" t="s">
        <v>63</v>
      </c>
      <c r="E202" s="94">
        <v>774007</v>
      </c>
      <c r="F202" s="94">
        <v>2</v>
      </c>
    </row>
    <row r="203" spans="1:6" x14ac:dyDescent="0.2">
      <c r="A203" s="94" t="s">
        <v>90</v>
      </c>
      <c r="B203" s="94">
        <v>2001</v>
      </c>
      <c r="C203" s="95">
        <v>45827</v>
      </c>
      <c r="D203" s="131" t="s">
        <v>63</v>
      </c>
      <c r="E203" s="94">
        <v>892487</v>
      </c>
      <c r="F203" s="94">
        <v>4</v>
      </c>
    </row>
    <row r="204" spans="1:6" x14ac:dyDescent="0.2">
      <c r="A204" s="94" t="s">
        <v>90</v>
      </c>
      <c r="B204" s="94">
        <v>2001</v>
      </c>
      <c r="C204" s="95">
        <v>45827</v>
      </c>
      <c r="D204" s="131" t="s">
        <v>63</v>
      </c>
      <c r="E204" s="94">
        <v>543529</v>
      </c>
      <c r="F204" s="94">
        <v>12</v>
      </c>
    </row>
    <row r="205" spans="1:6" x14ac:dyDescent="0.2">
      <c r="A205" s="94" t="s">
        <v>90</v>
      </c>
      <c r="B205" s="94">
        <v>2001</v>
      </c>
      <c r="C205" s="95">
        <v>45827</v>
      </c>
      <c r="D205" s="131" t="s">
        <v>63</v>
      </c>
      <c r="E205" s="94">
        <v>560871</v>
      </c>
      <c r="F205" s="94">
        <v>18</v>
      </c>
    </row>
    <row r="206" spans="1:6" x14ac:dyDescent="0.2">
      <c r="A206" s="94" t="s">
        <v>90</v>
      </c>
      <c r="B206" s="94">
        <v>2001</v>
      </c>
      <c r="C206" s="95">
        <v>45827</v>
      </c>
      <c r="D206" s="131" t="s">
        <v>63</v>
      </c>
      <c r="E206" s="94">
        <v>1031962</v>
      </c>
      <c r="F206" s="94">
        <v>18</v>
      </c>
    </row>
    <row r="207" spans="1:6" x14ac:dyDescent="0.2">
      <c r="A207" s="94" t="s">
        <v>90</v>
      </c>
      <c r="B207" s="94">
        <v>2001</v>
      </c>
      <c r="C207" s="95">
        <v>45827</v>
      </c>
      <c r="D207" s="131" t="s">
        <v>63</v>
      </c>
      <c r="E207" s="94">
        <v>353462002</v>
      </c>
      <c r="F207" s="94">
        <v>1</v>
      </c>
    </row>
    <row r="208" spans="1:6" x14ac:dyDescent="0.2">
      <c r="A208" s="94" t="s">
        <v>90</v>
      </c>
      <c r="B208" s="94">
        <v>2001</v>
      </c>
      <c r="C208" s="95">
        <v>45827</v>
      </c>
      <c r="D208" s="131" t="s">
        <v>63</v>
      </c>
      <c r="E208" s="94">
        <v>4236</v>
      </c>
      <c r="F208" s="94">
        <v>9</v>
      </c>
    </row>
    <row r="209" spans="1:6" x14ac:dyDescent="0.2">
      <c r="A209" s="94" t="s">
        <v>90</v>
      </c>
      <c r="B209" s="94">
        <v>2001</v>
      </c>
      <c r="C209" s="95">
        <v>45827</v>
      </c>
      <c r="D209" s="131" t="s">
        <v>63</v>
      </c>
      <c r="E209" s="94">
        <v>49463005</v>
      </c>
      <c r="F209" s="94">
        <v>3</v>
      </c>
    </row>
    <row r="210" spans="1:6" x14ac:dyDescent="0.2">
      <c r="A210" s="94" t="s">
        <v>90</v>
      </c>
      <c r="B210" s="94">
        <v>2001</v>
      </c>
      <c r="C210" s="95">
        <v>45827</v>
      </c>
      <c r="D210" s="131" t="s">
        <v>63</v>
      </c>
      <c r="E210" s="94">
        <v>1031959</v>
      </c>
      <c r="F210" s="94">
        <v>6</v>
      </c>
    </row>
    <row r="211" spans="1:6" x14ac:dyDescent="0.2">
      <c r="A211" s="94" t="s">
        <v>90</v>
      </c>
      <c r="B211" s="94">
        <v>2001</v>
      </c>
      <c r="C211" s="95">
        <v>45827</v>
      </c>
      <c r="D211" s="131" t="s">
        <v>63</v>
      </c>
      <c r="E211" s="94">
        <v>1031957</v>
      </c>
      <c r="F211" s="94">
        <v>12</v>
      </c>
    </row>
    <row r="212" spans="1:6" x14ac:dyDescent="0.2">
      <c r="A212" s="94" t="s">
        <v>90</v>
      </c>
      <c r="B212" s="94">
        <v>2001</v>
      </c>
      <c r="C212" s="95">
        <v>45827</v>
      </c>
      <c r="D212" s="131" t="s">
        <v>63</v>
      </c>
      <c r="E212" s="94">
        <v>558891</v>
      </c>
      <c r="F212" s="94">
        <v>6</v>
      </c>
    </row>
    <row r="213" spans="1:6" x14ac:dyDescent="0.2">
      <c r="A213" s="94" t="s">
        <v>90</v>
      </c>
      <c r="B213" s="94">
        <v>2001</v>
      </c>
      <c r="C213" s="95">
        <v>45827</v>
      </c>
      <c r="D213" s="131" t="s">
        <v>63</v>
      </c>
      <c r="E213" s="94">
        <v>1031956</v>
      </c>
      <c r="F213" s="94">
        <v>12</v>
      </c>
    </row>
    <row r="214" spans="1:6" x14ac:dyDescent="0.2">
      <c r="A214" s="94" t="s">
        <v>90</v>
      </c>
      <c r="B214" s="94">
        <v>2001</v>
      </c>
      <c r="C214" s="95">
        <v>45827</v>
      </c>
      <c r="D214" s="131" t="s">
        <v>63</v>
      </c>
      <c r="E214" s="94">
        <v>70125</v>
      </c>
      <c r="F214" s="94">
        <v>9</v>
      </c>
    </row>
    <row r="215" spans="1:6" x14ac:dyDescent="0.2">
      <c r="A215" s="94" t="s">
        <v>90</v>
      </c>
      <c r="B215" s="94">
        <v>2001</v>
      </c>
      <c r="C215" s="95">
        <v>45827</v>
      </c>
      <c r="D215" s="131" t="s">
        <v>63</v>
      </c>
      <c r="E215" s="94">
        <v>750562001</v>
      </c>
      <c r="F215" s="94">
        <v>10</v>
      </c>
    </row>
    <row r="216" spans="1:6" x14ac:dyDescent="0.2">
      <c r="A216" s="94" t="s">
        <v>90</v>
      </c>
      <c r="B216" s="94">
        <v>2001</v>
      </c>
      <c r="C216" s="95">
        <v>45827</v>
      </c>
      <c r="D216" s="131" t="s">
        <v>63</v>
      </c>
      <c r="E216" s="94">
        <v>49463004</v>
      </c>
      <c r="F216" s="94">
        <v>36</v>
      </c>
    </row>
    <row r="217" spans="1:6" x14ac:dyDescent="0.2">
      <c r="A217" s="94" t="s">
        <v>90</v>
      </c>
      <c r="B217" s="94">
        <v>2001</v>
      </c>
      <c r="C217" s="95">
        <v>45827</v>
      </c>
      <c r="D217" s="131" t="s">
        <v>63</v>
      </c>
      <c r="E217" s="94">
        <v>562742</v>
      </c>
      <c r="F217" s="94">
        <v>2</v>
      </c>
    </row>
    <row r="218" spans="1:6" x14ac:dyDescent="0.2">
      <c r="A218" s="94" t="s">
        <v>90</v>
      </c>
      <c r="B218" s="94">
        <v>2001</v>
      </c>
      <c r="C218" s="95">
        <v>45827</v>
      </c>
      <c r="D218" s="131" t="s">
        <v>63</v>
      </c>
      <c r="E218" s="94">
        <v>4759</v>
      </c>
      <c r="F218" s="94">
        <v>34</v>
      </c>
    </row>
    <row r="219" spans="1:6" x14ac:dyDescent="0.2">
      <c r="A219" s="94" t="s">
        <v>90</v>
      </c>
      <c r="B219" s="94">
        <v>2001</v>
      </c>
      <c r="C219" s="95">
        <v>45827</v>
      </c>
      <c r="D219" s="131" t="s">
        <v>63</v>
      </c>
      <c r="E219" s="94">
        <v>531747</v>
      </c>
      <c r="F219" s="94">
        <v>6</v>
      </c>
    </row>
    <row r="220" spans="1:6" x14ac:dyDescent="0.2">
      <c r="A220" s="94" t="s">
        <v>90</v>
      </c>
      <c r="B220" s="94">
        <v>2001</v>
      </c>
      <c r="C220" s="95">
        <v>45827</v>
      </c>
      <c r="D220" s="131" t="s">
        <v>63</v>
      </c>
      <c r="E220" s="94">
        <v>533047006</v>
      </c>
      <c r="F220" s="94">
        <v>20</v>
      </c>
    </row>
    <row r="221" spans="1:6" x14ac:dyDescent="0.2">
      <c r="A221" s="94" t="s">
        <v>90</v>
      </c>
      <c r="B221" s="94">
        <v>2001</v>
      </c>
      <c r="C221" s="95">
        <v>45827</v>
      </c>
      <c r="D221" s="131" t="s">
        <v>63</v>
      </c>
      <c r="E221" s="94">
        <v>143829</v>
      </c>
      <c r="F221" s="94">
        <v>3</v>
      </c>
    </row>
    <row r="222" spans="1:6" x14ac:dyDescent="0.2">
      <c r="A222" s="94" t="s">
        <v>90</v>
      </c>
      <c r="B222" s="94">
        <v>2001</v>
      </c>
      <c r="C222" s="95">
        <v>45827</v>
      </c>
      <c r="D222" s="131" t="s">
        <v>63</v>
      </c>
      <c r="E222" s="94">
        <v>567791</v>
      </c>
      <c r="F222" s="94">
        <v>13</v>
      </c>
    </row>
    <row r="223" spans="1:6" x14ac:dyDescent="0.2">
      <c r="A223" s="94" t="s">
        <v>90</v>
      </c>
      <c r="B223" s="94">
        <v>2001</v>
      </c>
      <c r="C223" s="95">
        <v>45827</v>
      </c>
      <c r="D223" s="131" t="s">
        <v>63</v>
      </c>
      <c r="E223" s="94">
        <v>374077</v>
      </c>
      <c r="F223" s="94">
        <v>10</v>
      </c>
    </row>
    <row r="224" spans="1:6" x14ac:dyDescent="0.2">
      <c r="A224" s="94" t="s">
        <v>90</v>
      </c>
      <c r="B224" s="94">
        <v>2001</v>
      </c>
      <c r="C224" s="95">
        <v>45827</v>
      </c>
      <c r="D224" s="131" t="s">
        <v>63</v>
      </c>
      <c r="E224" s="94">
        <v>4763</v>
      </c>
      <c r="F224" s="94">
        <v>13</v>
      </c>
    </row>
    <row r="225" spans="1:6" x14ac:dyDescent="0.2">
      <c r="A225" s="94" t="s">
        <v>90</v>
      </c>
      <c r="B225" s="94">
        <v>2001</v>
      </c>
      <c r="C225" s="95">
        <v>45827</v>
      </c>
      <c r="D225" s="131" t="s">
        <v>63</v>
      </c>
      <c r="E225" s="94">
        <v>768637001</v>
      </c>
      <c r="F225" s="94">
        <v>12</v>
      </c>
    </row>
    <row r="226" spans="1:6" x14ac:dyDescent="0.2">
      <c r="A226" s="94" t="s">
        <v>90</v>
      </c>
      <c r="B226" s="94">
        <v>2001</v>
      </c>
      <c r="C226" s="95">
        <v>45827</v>
      </c>
      <c r="D226" s="131" t="s">
        <v>63</v>
      </c>
      <c r="E226" s="94">
        <v>789726</v>
      </c>
      <c r="F226" s="94">
        <v>2</v>
      </c>
    </row>
    <row r="227" spans="1:6" x14ac:dyDescent="0.2">
      <c r="A227" s="94" t="s">
        <v>90</v>
      </c>
      <c r="B227" s="94">
        <v>2001</v>
      </c>
      <c r="C227" s="95">
        <v>45827</v>
      </c>
      <c r="D227" s="131" t="s">
        <v>63</v>
      </c>
      <c r="E227" s="94">
        <v>115544</v>
      </c>
      <c r="F227" s="94">
        <v>18</v>
      </c>
    </row>
    <row r="228" spans="1:6" x14ac:dyDescent="0.2">
      <c r="A228" s="94" t="s">
        <v>90</v>
      </c>
      <c r="B228" s="94">
        <v>2001</v>
      </c>
      <c r="C228" s="95">
        <v>45827</v>
      </c>
      <c r="D228" s="131" t="s">
        <v>63</v>
      </c>
      <c r="E228" s="94">
        <v>4257</v>
      </c>
      <c r="F228" s="94">
        <v>13</v>
      </c>
    </row>
    <row r="229" spans="1:6" x14ac:dyDescent="0.2">
      <c r="A229" s="94" t="s">
        <v>90</v>
      </c>
      <c r="B229" s="94">
        <v>2001</v>
      </c>
      <c r="C229" s="95">
        <v>45827</v>
      </c>
      <c r="D229" s="131" t="s">
        <v>63</v>
      </c>
      <c r="E229" s="94">
        <v>787636</v>
      </c>
      <c r="F229" s="94">
        <v>6</v>
      </c>
    </row>
    <row r="230" spans="1:6" x14ac:dyDescent="0.2">
      <c r="A230" s="94" t="s">
        <v>90</v>
      </c>
      <c r="B230" s="94">
        <v>2001</v>
      </c>
      <c r="C230" s="95">
        <v>45827</v>
      </c>
      <c r="D230" s="131" t="s">
        <v>63</v>
      </c>
      <c r="E230" s="94">
        <v>4259</v>
      </c>
      <c r="F230" s="94">
        <v>20</v>
      </c>
    </row>
    <row r="231" spans="1:6" x14ac:dyDescent="0.2">
      <c r="A231" s="94" t="s">
        <v>90</v>
      </c>
      <c r="B231" s="94">
        <v>2001</v>
      </c>
      <c r="C231" s="95">
        <v>45827</v>
      </c>
      <c r="D231" s="131" t="s">
        <v>63</v>
      </c>
      <c r="E231" s="94">
        <v>1024535</v>
      </c>
      <c r="F231" s="94">
        <v>32</v>
      </c>
    </row>
    <row r="232" spans="1:6" x14ac:dyDescent="0.2">
      <c r="A232" s="94" t="s">
        <v>90</v>
      </c>
      <c r="B232" s="94">
        <v>2001</v>
      </c>
      <c r="C232" s="95">
        <v>45827</v>
      </c>
      <c r="D232" s="131" t="s">
        <v>63</v>
      </c>
      <c r="E232" s="94">
        <v>374076</v>
      </c>
      <c r="F232" s="94">
        <v>5</v>
      </c>
    </row>
    <row r="233" spans="1:6" x14ac:dyDescent="0.2">
      <c r="A233" s="94" t="s">
        <v>90</v>
      </c>
      <c r="B233" s="94">
        <v>2001</v>
      </c>
      <c r="C233" s="95">
        <v>45827</v>
      </c>
      <c r="D233" s="131" t="s">
        <v>63</v>
      </c>
      <c r="E233" s="94">
        <v>4228</v>
      </c>
      <c r="F233" s="94">
        <v>29</v>
      </c>
    </row>
    <row r="234" spans="1:6" x14ac:dyDescent="0.2">
      <c r="A234" s="94" t="s">
        <v>90</v>
      </c>
      <c r="B234" s="94">
        <v>2001</v>
      </c>
      <c r="C234" s="95">
        <v>45827</v>
      </c>
      <c r="D234" s="131" t="s">
        <v>63</v>
      </c>
      <c r="E234" s="94">
        <v>452020</v>
      </c>
      <c r="F234" s="94">
        <v>12</v>
      </c>
    </row>
    <row r="235" spans="1:6" x14ac:dyDescent="0.2">
      <c r="A235" s="94" t="s">
        <v>90</v>
      </c>
      <c r="B235" s="94">
        <v>2001</v>
      </c>
      <c r="C235" s="95">
        <v>45827</v>
      </c>
      <c r="D235" s="131" t="s">
        <v>63</v>
      </c>
      <c r="E235" s="94">
        <v>70124</v>
      </c>
      <c r="F235" s="94">
        <v>6</v>
      </c>
    </row>
    <row r="236" spans="1:6" x14ac:dyDescent="0.2">
      <c r="A236" s="94" t="s">
        <v>90</v>
      </c>
      <c r="B236" s="94">
        <v>2001</v>
      </c>
      <c r="C236" s="95">
        <v>45827</v>
      </c>
      <c r="D236" s="131" t="s">
        <v>63</v>
      </c>
      <c r="E236" s="94">
        <v>567790</v>
      </c>
      <c r="F236" s="94">
        <v>11</v>
      </c>
    </row>
    <row r="237" spans="1:6" x14ac:dyDescent="0.2">
      <c r="A237" s="94" t="s">
        <v>90</v>
      </c>
      <c r="B237" s="94">
        <v>2001</v>
      </c>
      <c r="C237" s="95">
        <v>45827</v>
      </c>
      <c r="D237" s="131" t="s">
        <v>63</v>
      </c>
      <c r="E237" s="94">
        <v>3378</v>
      </c>
      <c r="F237" s="94">
        <v>12</v>
      </c>
    </row>
    <row r="238" spans="1:6" x14ac:dyDescent="0.2">
      <c r="A238" s="94" t="s">
        <v>90</v>
      </c>
      <c r="B238" s="94">
        <v>2001</v>
      </c>
      <c r="C238" s="95">
        <v>45827</v>
      </c>
      <c r="D238" s="131" t="s">
        <v>63</v>
      </c>
      <c r="E238" s="94">
        <v>373449</v>
      </c>
      <c r="F238" s="94">
        <v>10</v>
      </c>
    </row>
    <row r="239" spans="1:6" x14ac:dyDescent="0.2">
      <c r="A239" s="94" t="s">
        <v>90</v>
      </c>
      <c r="B239" s="94">
        <v>2001</v>
      </c>
      <c r="C239" s="95">
        <v>45827</v>
      </c>
      <c r="D239" s="131" t="s">
        <v>63</v>
      </c>
      <c r="E239" s="94">
        <v>143871001</v>
      </c>
      <c r="F239" s="94">
        <v>9</v>
      </c>
    </row>
    <row r="240" spans="1:6" x14ac:dyDescent="0.2">
      <c r="A240" s="94" t="s">
        <v>90</v>
      </c>
      <c r="B240" s="94">
        <v>2001</v>
      </c>
      <c r="C240" s="95">
        <v>45827</v>
      </c>
      <c r="D240" s="131" t="s">
        <v>63</v>
      </c>
      <c r="E240" s="94">
        <v>719573</v>
      </c>
      <c r="F240" s="94">
        <v>17</v>
      </c>
    </row>
    <row r="241" spans="1:6" x14ac:dyDescent="0.2">
      <c r="A241" s="94" t="s">
        <v>90</v>
      </c>
      <c r="B241" s="94">
        <v>2001</v>
      </c>
      <c r="C241" s="95">
        <v>45827</v>
      </c>
      <c r="D241" s="131" t="s">
        <v>63</v>
      </c>
      <c r="E241" s="94">
        <v>1024529</v>
      </c>
      <c r="F241" s="94">
        <v>15</v>
      </c>
    </row>
    <row r="242" spans="1:6" x14ac:dyDescent="0.2">
      <c r="A242" s="94" t="s">
        <v>90</v>
      </c>
      <c r="B242" s="94">
        <v>2001</v>
      </c>
      <c r="C242" s="95">
        <v>45827</v>
      </c>
      <c r="D242" s="131" t="s">
        <v>63</v>
      </c>
      <c r="E242" s="94">
        <v>48223001</v>
      </c>
      <c r="F242" s="94">
        <v>3</v>
      </c>
    </row>
    <row r="243" spans="1:6" x14ac:dyDescent="0.2">
      <c r="A243" s="94" t="s">
        <v>90</v>
      </c>
      <c r="B243" s="94">
        <v>2001</v>
      </c>
      <c r="C243" s="95">
        <v>45827</v>
      </c>
      <c r="D243" s="131" t="s">
        <v>63</v>
      </c>
      <c r="E243" s="94">
        <v>508126</v>
      </c>
      <c r="F243" s="94">
        <v>9</v>
      </c>
    </row>
    <row r="244" spans="1:6" x14ac:dyDescent="0.2">
      <c r="A244" s="94" t="s">
        <v>90</v>
      </c>
      <c r="B244" s="94">
        <v>2001</v>
      </c>
      <c r="C244" s="95">
        <v>45827</v>
      </c>
      <c r="D244" s="131" t="s">
        <v>63</v>
      </c>
      <c r="E244" s="94">
        <v>143871002</v>
      </c>
      <c r="F244" s="94">
        <v>6</v>
      </c>
    </row>
    <row r="245" spans="1:6" x14ac:dyDescent="0.2">
      <c r="A245" s="94" t="s">
        <v>90</v>
      </c>
      <c r="B245" s="94">
        <v>2001</v>
      </c>
      <c r="C245" s="95">
        <v>45827</v>
      </c>
      <c r="D245" s="131" t="s">
        <v>63</v>
      </c>
      <c r="E245" s="94">
        <v>470338</v>
      </c>
      <c r="F245" s="94">
        <v>1</v>
      </c>
    </row>
    <row r="246" spans="1:6" x14ac:dyDescent="0.2">
      <c r="A246" s="94" t="s">
        <v>90</v>
      </c>
      <c r="B246" s="94">
        <v>2001</v>
      </c>
      <c r="C246" s="95">
        <v>45827</v>
      </c>
      <c r="D246" s="131" t="s">
        <v>63</v>
      </c>
      <c r="E246" s="94">
        <v>518476004</v>
      </c>
      <c r="F246" s="94">
        <v>9</v>
      </c>
    </row>
    <row r="247" spans="1:6" x14ac:dyDescent="0.2">
      <c r="A247" s="94" t="s">
        <v>90</v>
      </c>
      <c r="B247" s="94">
        <v>2001</v>
      </c>
      <c r="C247" s="95">
        <v>45827</v>
      </c>
      <c r="D247" s="131" t="s">
        <v>63</v>
      </c>
      <c r="E247" s="94">
        <v>59505002</v>
      </c>
      <c r="F247" s="94">
        <v>18</v>
      </c>
    </row>
    <row r="248" spans="1:6" x14ac:dyDescent="0.2">
      <c r="A248" s="94" t="s">
        <v>90</v>
      </c>
      <c r="B248" s="94">
        <v>2001</v>
      </c>
      <c r="C248" s="95">
        <v>45827</v>
      </c>
      <c r="D248" s="131" t="s">
        <v>63</v>
      </c>
      <c r="E248" s="94">
        <v>4993</v>
      </c>
      <c r="F248" s="94">
        <v>10</v>
      </c>
    </row>
    <row r="249" spans="1:6" x14ac:dyDescent="0.2">
      <c r="A249" s="94" t="s">
        <v>90</v>
      </c>
      <c r="B249" s="94">
        <v>2001</v>
      </c>
      <c r="C249" s="95">
        <v>45827</v>
      </c>
      <c r="D249" s="131" t="s">
        <v>63</v>
      </c>
      <c r="E249" s="94">
        <v>506514</v>
      </c>
      <c r="F249" s="94">
        <v>9</v>
      </c>
    </row>
    <row r="250" spans="1:6" x14ac:dyDescent="0.2">
      <c r="A250" s="94" t="s">
        <v>90</v>
      </c>
      <c r="B250" s="94">
        <v>2001</v>
      </c>
      <c r="C250" s="95">
        <v>45827</v>
      </c>
      <c r="D250" s="131" t="s">
        <v>63</v>
      </c>
      <c r="E250" s="94">
        <v>768638002</v>
      </c>
      <c r="F250" s="94">
        <v>8</v>
      </c>
    </row>
    <row r="251" spans="1:6" x14ac:dyDescent="0.2">
      <c r="A251" s="94" t="s">
        <v>90</v>
      </c>
      <c r="B251" s="94">
        <v>2001</v>
      </c>
      <c r="C251" s="95">
        <v>45827</v>
      </c>
      <c r="D251" s="131" t="s">
        <v>63</v>
      </c>
      <c r="E251" s="94">
        <v>48223002</v>
      </c>
      <c r="F251" s="94">
        <v>7</v>
      </c>
    </row>
    <row r="252" spans="1:6" x14ac:dyDescent="0.2">
      <c r="A252" s="94" t="s">
        <v>90</v>
      </c>
      <c r="B252" s="94">
        <v>2001</v>
      </c>
      <c r="C252" s="95">
        <v>45827</v>
      </c>
      <c r="D252" s="131" t="s">
        <v>63</v>
      </c>
      <c r="E252" s="94">
        <v>754389</v>
      </c>
      <c r="F252" s="94">
        <v>8</v>
      </c>
    </row>
    <row r="253" spans="1:6" x14ac:dyDescent="0.2">
      <c r="A253" s="94" t="s">
        <v>90</v>
      </c>
      <c r="B253" s="94">
        <v>2001</v>
      </c>
      <c r="C253" s="95">
        <v>45827</v>
      </c>
      <c r="D253" s="131" t="s">
        <v>63</v>
      </c>
      <c r="E253" s="94">
        <v>45685</v>
      </c>
      <c r="F253" s="94">
        <v>26</v>
      </c>
    </row>
    <row r="254" spans="1:6" x14ac:dyDescent="0.2">
      <c r="A254" s="94" t="s">
        <v>90</v>
      </c>
      <c r="B254" s="94">
        <v>2001</v>
      </c>
      <c r="C254" s="95">
        <v>45827</v>
      </c>
      <c r="D254" s="131" t="s">
        <v>63</v>
      </c>
      <c r="E254" s="94">
        <v>947275</v>
      </c>
      <c r="F254" s="94">
        <v>6</v>
      </c>
    </row>
    <row r="255" spans="1:6" x14ac:dyDescent="0.2">
      <c r="A255" s="94" t="s">
        <v>90</v>
      </c>
      <c r="B255" s="94">
        <v>2001</v>
      </c>
      <c r="C255" s="95">
        <v>45827</v>
      </c>
      <c r="D255" s="131" t="s">
        <v>63</v>
      </c>
      <c r="E255" s="94">
        <v>1024532</v>
      </c>
      <c r="F255" s="94">
        <v>15</v>
      </c>
    </row>
    <row r="256" spans="1:6" x14ac:dyDescent="0.2">
      <c r="A256" s="94" t="s">
        <v>90</v>
      </c>
      <c r="B256" s="94">
        <v>2001</v>
      </c>
      <c r="C256" s="95">
        <v>45827</v>
      </c>
      <c r="D256" s="131" t="s">
        <v>63</v>
      </c>
      <c r="E256" s="94">
        <v>38955</v>
      </c>
      <c r="F256" s="94">
        <v>12</v>
      </c>
    </row>
    <row r="257" spans="1:6" x14ac:dyDescent="0.2">
      <c r="A257" s="94" t="s">
        <v>90</v>
      </c>
      <c r="B257" s="94">
        <v>2001</v>
      </c>
      <c r="C257" s="95">
        <v>45827</v>
      </c>
      <c r="D257" s="131" t="s">
        <v>63</v>
      </c>
      <c r="E257" s="94">
        <v>768638001</v>
      </c>
      <c r="F257" s="94">
        <v>5</v>
      </c>
    </row>
    <row r="258" spans="1:6" x14ac:dyDescent="0.2">
      <c r="A258" s="94" t="s">
        <v>90</v>
      </c>
      <c r="B258" s="94">
        <v>2001</v>
      </c>
      <c r="C258" s="95">
        <v>45827</v>
      </c>
      <c r="D258" s="131" t="s">
        <v>63</v>
      </c>
      <c r="E258" s="94">
        <v>477090001</v>
      </c>
      <c r="F258" s="94">
        <v>6</v>
      </c>
    </row>
    <row r="259" spans="1:6" x14ac:dyDescent="0.2">
      <c r="A259" s="94" t="s">
        <v>90</v>
      </c>
      <c r="B259" s="94">
        <v>2001</v>
      </c>
      <c r="C259" s="95">
        <v>45827</v>
      </c>
      <c r="D259" s="131" t="s">
        <v>63</v>
      </c>
      <c r="E259" s="94">
        <v>451983</v>
      </c>
      <c r="F259" s="94">
        <v>18</v>
      </c>
    </row>
    <row r="260" spans="1:6" x14ac:dyDescent="0.2">
      <c r="A260" s="94" t="s">
        <v>90</v>
      </c>
      <c r="B260" s="94">
        <v>2001</v>
      </c>
      <c r="C260" s="95">
        <v>45827</v>
      </c>
      <c r="D260" s="131" t="s">
        <v>63</v>
      </c>
      <c r="E260" s="94">
        <v>49463003</v>
      </c>
      <c r="F260" s="94">
        <v>3</v>
      </c>
    </row>
    <row r="261" spans="1:6" x14ac:dyDescent="0.2">
      <c r="A261" s="94" t="s">
        <v>90</v>
      </c>
      <c r="B261" s="94">
        <v>2001</v>
      </c>
      <c r="C261" s="95">
        <v>45827</v>
      </c>
      <c r="D261" s="131" t="s">
        <v>63</v>
      </c>
      <c r="E261" s="94">
        <v>768637002</v>
      </c>
      <c r="F261" s="94">
        <v>6</v>
      </c>
    </row>
    <row r="262" spans="1:6" x14ac:dyDescent="0.2">
      <c r="A262" s="94" t="s">
        <v>90</v>
      </c>
      <c r="B262" s="94">
        <v>2001</v>
      </c>
      <c r="C262" s="95">
        <v>45827</v>
      </c>
      <c r="D262" s="131" t="s">
        <v>63</v>
      </c>
      <c r="E262" s="94">
        <v>771246</v>
      </c>
      <c r="F262" s="94">
        <v>4</v>
      </c>
    </row>
    <row r="263" spans="1:6" x14ac:dyDescent="0.2">
      <c r="A263" s="94" t="s">
        <v>90</v>
      </c>
      <c r="B263" s="94">
        <v>2001</v>
      </c>
      <c r="C263" s="95">
        <v>45827</v>
      </c>
      <c r="D263" s="131" t="s">
        <v>63</v>
      </c>
      <c r="E263" s="94">
        <v>1024530</v>
      </c>
      <c r="F263" s="94">
        <v>1</v>
      </c>
    </row>
    <row r="264" spans="1:6" x14ac:dyDescent="0.2">
      <c r="A264" s="94" t="s">
        <v>90</v>
      </c>
      <c r="B264" s="94">
        <v>2001</v>
      </c>
      <c r="C264" s="95">
        <v>45827</v>
      </c>
      <c r="D264" s="131" t="s">
        <v>63</v>
      </c>
      <c r="E264" s="94">
        <v>1031958</v>
      </c>
      <c r="F264" s="94">
        <v>18</v>
      </c>
    </row>
    <row r="265" spans="1:6" x14ac:dyDescent="0.2">
      <c r="A265" s="94" t="s">
        <v>90</v>
      </c>
      <c r="B265" s="94">
        <v>2001</v>
      </c>
      <c r="C265" s="95">
        <v>45827</v>
      </c>
      <c r="D265" s="131" t="s">
        <v>63</v>
      </c>
      <c r="E265" s="94">
        <v>23494</v>
      </c>
      <c r="F265" s="94">
        <v>10</v>
      </c>
    </row>
    <row r="266" spans="1:6" x14ac:dyDescent="0.2">
      <c r="A266" s="94" t="s">
        <v>90</v>
      </c>
      <c r="B266" s="94">
        <v>2001</v>
      </c>
      <c r="C266" s="95">
        <v>45827</v>
      </c>
      <c r="D266" s="131" t="s">
        <v>63</v>
      </c>
      <c r="E266" s="94">
        <v>357712</v>
      </c>
      <c r="F266" s="94">
        <v>12</v>
      </c>
    </row>
    <row r="267" spans="1:6" x14ac:dyDescent="0.2">
      <c r="A267" s="94" t="s">
        <v>90</v>
      </c>
      <c r="B267" s="94">
        <v>2001</v>
      </c>
      <c r="C267" s="95">
        <v>45827</v>
      </c>
      <c r="D267" s="131" t="s">
        <v>63</v>
      </c>
      <c r="E267" s="94">
        <v>531745</v>
      </c>
      <c r="F267" s="94">
        <v>3</v>
      </c>
    </row>
    <row r="268" spans="1:6" x14ac:dyDescent="0.2">
      <c r="A268" s="94" t="s">
        <v>90</v>
      </c>
      <c r="B268" s="94">
        <v>2001</v>
      </c>
      <c r="C268" s="95">
        <v>45827</v>
      </c>
      <c r="D268" s="131" t="s">
        <v>63</v>
      </c>
      <c r="E268" s="94">
        <v>1030706</v>
      </c>
      <c r="F268" s="94">
        <v>3</v>
      </c>
    </row>
    <row r="269" spans="1:6" x14ac:dyDescent="0.2">
      <c r="A269" s="94" t="s">
        <v>90</v>
      </c>
      <c r="B269" s="94">
        <v>9995</v>
      </c>
      <c r="C269" s="95">
        <v>45827</v>
      </c>
      <c r="D269" s="131" t="s">
        <v>63</v>
      </c>
      <c r="E269" s="94">
        <v>203744</v>
      </c>
      <c r="F269" s="94">
        <v>2</v>
      </c>
    </row>
    <row r="270" spans="1:6" x14ac:dyDescent="0.2">
      <c r="A270" s="94" t="s">
        <v>90</v>
      </c>
      <c r="B270" s="94">
        <v>9995</v>
      </c>
      <c r="C270" s="95">
        <v>45827</v>
      </c>
      <c r="D270" s="131" t="s">
        <v>63</v>
      </c>
      <c r="E270" s="94">
        <v>735373002</v>
      </c>
      <c r="F270" s="94">
        <v>1</v>
      </c>
    </row>
    <row r="271" spans="1:6" x14ac:dyDescent="0.2">
      <c r="A271" s="94" t="s">
        <v>90</v>
      </c>
      <c r="B271" s="94">
        <v>9995</v>
      </c>
      <c r="C271" s="95">
        <v>45827</v>
      </c>
      <c r="D271" s="131" t="s">
        <v>63</v>
      </c>
      <c r="E271" s="94">
        <v>1025985</v>
      </c>
      <c r="F271" s="94">
        <v>1</v>
      </c>
    </row>
    <row r="272" spans="1:6" x14ac:dyDescent="0.2">
      <c r="A272" s="94" t="s">
        <v>90</v>
      </c>
      <c r="B272" s="94">
        <v>9995</v>
      </c>
      <c r="C272" s="95">
        <v>45827</v>
      </c>
      <c r="D272" s="131" t="s">
        <v>63</v>
      </c>
      <c r="E272" s="94">
        <v>1033634</v>
      </c>
      <c r="F272" s="94">
        <v>1</v>
      </c>
    </row>
    <row r="273" spans="1:6" x14ac:dyDescent="0.2">
      <c r="A273" s="94" t="s">
        <v>90</v>
      </c>
      <c r="B273" s="94">
        <v>9995</v>
      </c>
      <c r="C273" s="95">
        <v>45827</v>
      </c>
      <c r="D273" s="131" t="s">
        <v>63</v>
      </c>
      <c r="E273" s="94">
        <v>227919</v>
      </c>
      <c r="F273" s="94">
        <v>1</v>
      </c>
    </row>
    <row r="274" spans="1:6" x14ac:dyDescent="0.2">
      <c r="A274" s="94" t="s">
        <v>90</v>
      </c>
      <c r="B274" s="94">
        <v>9995</v>
      </c>
      <c r="C274" s="95">
        <v>45827</v>
      </c>
      <c r="D274" s="131" t="s">
        <v>63</v>
      </c>
      <c r="E274" s="94">
        <v>228076</v>
      </c>
      <c r="F274" s="94">
        <v>6</v>
      </c>
    </row>
    <row r="275" spans="1:6" x14ac:dyDescent="0.2">
      <c r="A275" s="94" t="s">
        <v>90</v>
      </c>
      <c r="B275" s="94">
        <v>9995</v>
      </c>
      <c r="C275" s="95">
        <v>45827</v>
      </c>
      <c r="D275" s="131" t="s">
        <v>63</v>
      </c>
      <c r="E275" s="94">
        <v>3287</v>
      </c>
      <c r="F275" s="94">
        <v>6</v>
      </c>
    </row>
    <row r="276" spans="1:6" x14ac:dyDescent="0.2">
      <c r="A276" s="94" t="s">
        <v>90</v>
      </c>
      <c r="B276" s="94">
        <v>9995</v>
      </c>
      <c r="C276" s="95">
        <v>45827</v>
      </c>
      <c r="D276" s="131" t="s">
        <v>63</v>
      </c>
      <c r="E276" s="94">
        <v>376554</v>
      </c>
      <c r="F276" s="94">
        <v>1</v>
      </c>
    </row>
    <row r="277" spans="1:6" x14ac:dyDescent="0.2">
      <c r="A277" s="94" t="s">
        <v>90</v>
      </c>
      <c r="B277" s="94">
        <v>9995</v>
      </c>
      <c r="C277" s="95">
        <v>45827</v>
      </c>
      <c r="D277" s="131" t="s">
        <v>63</v>
      </c>
      <c r="E277" s="94">
        <v>531773</v>
      </c>
      <c r="F277" s="94">
        <v>1</v>
      </c>
    </row>
    <row r="278" spans="1:6" x14ac:dyDescent="0.2">
      <c r="A278" s="94" t="s">
        <v>90</v>
      </c>
      <c r="B278" s="94">
        <v>9995</v>
      </c>
      <c r="C278" s="95">
        <v>45827</v>
      </c>
      <c r="D278" s="131" t="s">
        <v>63</v>
      </c>
      <c r="E278" s="94">
        <v>560744002</v>
      </c>
      <c r="F278" s="94">
        <v>1</v>
      </c>
    </row>
    <row r="279" spans="1:6" x14ac:dyDescent="0.2">
      <c r="A279" s="94" t="s">
        <v>90</v>
      </c>
      <c r="B279" s="94">
        <v>9995</v>
      </c>
      <c r="C279" s="95">
        <v>45827</v>
      </c>
      <c r="D279" s="131" t="s">
        <v>63</v>
      </c>
      <c r="E279" s="94">
        <v>574668</v>
      </c>
      <c r="F279" s="94">
        <v>1</v>
      </c>
    </row>
    <row r="280" spans="1:6" x14ac:dyDescent="0.2">
      <c r="A280" s="94" t="s">
        <v>90</v>
      </c>
      <c r="B280" s="94">
        <v>9995</v>
      </c>
      <c r="C280" s="95">
        <v>45827</v>
      </c>
      <c r="D280" s="131" t="s">
        <v>63</v>
      </c>
      <c r="E280" s="94">
        <v>82823</v>
      </c>
      <c r="F280" s="94">
        <v>11</v>
      </c>
    </row>
    <row r="281" spans="1:6" x14ac:dyDescent="0.2">
      <c r="A281" s="94" t="s">
        <v>90</v>
      </c>
      <c r="B281" s="94">
        <v>9995</v>
      </c>
      <c r="C281" s="95">
        <v>45827</v>
      </c>
      <c r="D281" s="131" t="s">
        <v>63</v>
      </c>
      <c r="E281" s="94">
        <v>959870</v>
      </c>
      <c r="F281" s="94">
        <v>6</v>
      </c>
    </row>
    <row r="282" spans="1:6" x14ac:dyDescent="0.2">
      <c r="A282" s="94" t="s">
        <v>90</v>
      </c>
      <c r="B282" s="94">
        <v>9995</v>
      </c>
      <c r="C282" s="95">
        <v>45827</v>
      </c>
      <c r="D282" s="131" t="s">
        <v>63</v>
      </c>
      <c r="E282" s="94">
        <v>962268</v>
      </c>
      <c r="F282" s="94">
        <v>1</v>
      </c>
    </row>
    <row r="283" spans="1:6" x14ac:dyDescent="0.2">
      <c r="A283" s="94" t="s">
        <v>90</v>
      </c>
      <c r="B283" s="94">
        <v>9995</v>
      </c>
      <c r="C283" s="95">
        <v>45827</v>
      </c>
      <c r="D283" s="131" t="s">
        <v>63</v>
      </c>
      <c r="E283" s="94">
        <v>98704</v>
      </c>
      <c r="F283" s="94">
        <v>1</v>
      </c>
    </row>
    <row r="284" spans="1:6" x14ac:dyDescent="0.2">
      <c r="A284" s="94" t="s">
        <v>90</v>
      </c>
      <c r="B284" s="94">
        <v>2002</v>
      </c>
      <c r="C284" s="95">
        <v>45827</v>
      </c>
      <c r="D284" s="131" t="s">
        <v>63</v>
      </c>
      <c r="E284" s="94">
        <v>973054</v>
      </c>
      <c r="F284" s="94">
        <v>430</v>
      </c>
    </row>
    <row r="285" spans="1:6" x14ac:dyDescent="0.2">
      <c r="A285" s="94" t="s">
        <v>90</v>
      </c>
      <c r="B285" s="94">
        <v>2002</v>
      </c>
      <c r="C285" s="95">
        <v>45827</v>
      </c>
      <c r="D285" s="131" t="s">
        <v>63</v>
      </c>
      <c r="E285" s="94">
        <v>733536</v>
      </c>
      <c r="F285" s="94">
        <v>1</v>
      </c>
    </row>
    <row r="286" spans="1:6" x14ac:dyDescent="0.2">
      <c r="A286" s="94" t="s">
        <v>90</v>
      </c>
      <c r="B286" s="94">
        <v>2002</v>
      </c>
      <c r="C286" s="95">
        <v>45827</v>
      </c>
      <c r="D286" s="131" t="s">
        <v>63</v>
      </c>
      <c r="E286" s="94">
        <v>1032135</v>
      </c>
      <c r="F286" s="94">
        <v>24</v>
      </c>
    </row>
    <row r="287" spans="1:6" x14ac:dyDescent="0.2">
      <c r="A287" s="94" t="s">
        <v>90</v>
      </c>
      <c r="B287" s="94">
        <v>2002</v>
      </c>
      <c r="C287" s="95">
        <v>45827</v>
      </c>
      <c r="D287" s="131" t="s">
        <v>63</v>
      </c>
      <c r="E287" s="94">
        <v>10649</v>
      </c>
      <c r="F287" s="94">
        <v>1</v>
      </c>
    </row>
    <row r="288" spans="1:6" x14ac:dyDescent="0.2">
      <c r="A288" s="94" t="s">
        <v>90</v>
      </c>
      <c r="B288" s="94">
        <v>2002</v>
      </c>
      <c r="C288" s="95">
        <v>45827</v>
      </c>
      <c r="D288" s="131" t="s">
        <v>63</v>
      </c>
      <c r="E288" s="94">
        <v>107670</v>
      </c>
      <c r="F288" s="94">
        <v>12</v>
      </c>
    </row>
    <row r="289" spans="1:6" x14ac:dyDescent="0.2">
      <c r="A289" s="94" t="s">
        <v>90</v>
      </c>
      <c r="B289" s="94">
        <v>2002</v>
      </c>
      <c r="C289" s="95">
        <v>45827</v>
      </c>
      <c r="D289" s="131" t="s">
        <v>63</v>
      </c>
      <c r="E289" s="94">
        <v>118644003</v>
      </c>
      <c r="F289" s="94">
        <v>2</v>
      </c>
    </row>
    <row r="290" spans="1:6" x14ac:dyDescent="0.2">
      <c r="A290" s="94" t="s">
        <v>90</v>
      </c>
      <c r="B290" s="94">
        <v>2002</v>
      </c>
      <c r="C290" s="95">
        <v>45827</v>
      </c>
      <c r="D290" s="131" t="s">
        <v>63</v>
      </c>
      <c r="E290" s="94">
        <v>220649</v>
      </c>
      <c r="F290" s="94">
        <v>12</v>
      </c>
    </row>
    <row r="291" spans="1:6" x14ac:dyDescent="0.2">
      <c r="A291" s="94" t="s">
        <v>90</v>
      </c>
      <c r="B291" s="94">
        <v>2002</v>
      </c>
      <c r="C291" s="95">
        <v>45827</v>
      </c>
      <c r="D291" s="131" t="s">
        <v>63</v>
      </c>
      <c r="E291" s="94">
        <v>38332</v>
      </c>
      <c r="F291" s="94">
        <v>24</v>
      </c>
    </row>
    <row r="292" spans="1:6" x14ac:dyDescent="0.2">
      <c r="A292" s="94" t="s">
        <v>90</v>
      </c>
      <c r="B292" s="94">
        <v>2002</v>
      </c>
      <c r="C292" s="95">
        <v>45827</v>
      </c>
      <c r="D292" s="131" t="s">
        <v>63</v>
      </c>
      <c r="E292" s="94">
        <v>404957</v>
      </c>
      <c r="F292" s="94">
        <v>12</v>
      </c>
    </row>
    <row r="293" spans="1:6" x14ac:dyDescent="0.2">
      <c r="A293" s="94" t="s">
        <v>90</v>
      </c>
      <c r="B293" s="94">
        <v>2002</v>
      </c>
      <c r="C293" s="95">
        <v>45827</v>
      </c>
      <c r="D293" s="131" t="s">
        <v>63</v>
      </c>
      <c r="E293" s="94">
        <v>438370</v>
      </c>
      <c r="F293" s="94">
        <v>12</v>
      </c>
    </row>
    <row r="294" spans="1:6" x14ac:dyDescent="0.2">
      <c r="A294" s="94" t="s">
        <v>90</v>
      </c>
      <c r="B294" s="94">
        <v>2002</v>
      </c>
      <c r="C294" s="95">
        <v>45827</v>
      </c>
      <c r="D294" s="131" t="s">
        <v>63</v>
      </c>
      <c r="E294" s="94">
        <v>531596004</v>
      </c>
      <c r="F294" s="94">
        <v>310</v>
      </c>
    </row>
    <row r="295" spans="1:6" x14ac:dyDescent="0.2">
      <c r="A295" s="94" t="s">
        <v>90</v>
      </c>
      <c r="B295" s="94">
        <v>2002</v>
      </c>
      <c r="C295" s="95">
        <v>45827</v>
      </c>
      <c r="D295" s="131" t="s">
        <v>63</v>
      </c>
      <c r="E295" s="94">
        <v>565765</v>
      </c>
      <c r="F295" s="94">
        <v>6</v>
      </c>
    </row>
    <row r="296" spans="1:6" x14ac:dyDescent="0.2">
      <c r="A296" s="94" t="s">
        <v>90</v>
      </c>
      <c r="B296" s="94">
        <v>2002</v>
      </c>
      <c r="C296" s="95">
        <v>45827</v>
      </c>
      <c r="D296" s="131" t="s">
        <v>63</v>
      </c>
      <c r="E296" s="94">
        <v>565848</v>
      </c>
      <c r="F296" s="94">
        <v>8</v>
      </c>
    </row>
    <row r="297" spans="1:6" x14ac:dyDescent="0.2">
      <c r="A297" s="94" t="s">
        <v>90</v>
      </c>
      <c r="B297" s="94">
        <v>2002</v>
      </c>
      <c r="C297" s="95">
        <v>45827</v>
      </c>
      <c r="D297" s="131" t="s">
        <v>63</v>
      </c>
      <c r="E297" s="94">
        <v>713010</v>
      </c>
      <c r="F297" s="94">
        <v>6</v>
      </c>
    </row>
    <row r="298" spans="1:6" x14ac:dyDescent="0.2">
      <c r="A298" s="94" t="s">
        <v>90</v>
      </c>
      <c r="B298" s="94">
        <v>2002</v>
      </c>
      <c r="C298" s="95">
        <v>45827</v>
      </c>
      <c r="D298" s="131" t="s">
        <v>63</v>
      </c>
      <c r="E298" s="94">
        <v>714167</v>
      </c>
      <c r="F298" s="94">
        <v>2</v>
      </c>
    </row>
    <row r="299" spans="1:6" x14ac:dyDescent="0.2">
      <c r="A299" s="94" t="s">
        <v>90</v>
      </c>
      <c r="B299" s="94">
        <v>2002</v>
      </c>
      <c r="C299" s="95">
        <v>45827</v>
      </c>
      <c r="D299" s="131" t="s">
        <v>63</v>
      </c>
      <c r="E299" s="94">
        <v>734691</v>
      </c>
      <c r="F299" s="94">
        <v>4</v>
      </c>
    </row>
    <row r="300" spans="1:6" x14ac:dyDescent="0.2">
      <c r="A300" s="94" t="s">
        <v>90</v>
      </c>
      <c r="B300" s="94">
        <v>2002</v>
      </c>
      <c r="C300" s="95">
        <v>45827</v>
      </c>
      <c r="D300" s="131" t="s">
        <v>63</v>
      </c>
      <c r="E300" s="94">
        <v>735373003</v>
      </c>
      <c r="F300" s="94">
        <v>1</v>
      </c>
    </row>
    <row r="301" spans="1:6" x14ac:dyDescent="0.2">
      <c r="A301" s="94" t="s">
        <v>90</v>
      </c>
      <c r="B301" s="94">
        <v>2002</v>
      </c>
      <c r="C301" s="95">
        <v>45827</v>
      </c>
      <c r="D301" s="131" t="s">
        <v>63</v>
      </c>
      <c r="E301" s="94">
        <v>753538005</v>
      </c>
      <c r="F301" s="94">
        <v>24</v>
      </c>
    </row>
    <row r="302" spans="1:6" x14ac:dyDescent="0.2">
      <c r="A302" s="94" t="s">
        <v>90</v>
      </c>
      <c r="B302" s="94">
        <v>2002</v>
      </c>
      <c r="C302" s="95">
        <v>45827</v>
      </c>
      <c r="D302" s="131" t="s">
        <v>63</v>
      </c>
      <c r="E302" s="94">
        <v>753538007</v>
      </c>
      <c r="F302" s="94">
        <v>24</v>
      </c>
    </row>
    <row r="303" spans="1:6" x14ac:dyDescent="0.2">
      <c r="A303" s="94" t="s">
        <v>90</v>
      </c>
      <c r="B303" s="94">
        <v>2002</v>
      </c>
      <c r="C303" s="95">
        <v>45827</v>
      </c>
      <c r="D303" s="131" t="s">
        <v>63</v>
      </c>
      <c r="E303" s="94">
        <v>78738</v>
      </c>
      <c r="F303" s="94">
        <v>12</v>
      </c>
    </row>
    <row r="304" spans="1:6" x14ac:dyDescent="0.2">
      <c r="A304" s="94" t="s">
        <v>90</v>
      </c>
      <c r="B304" s="94">
        <v>2002</v>
      </c>
      <c r="C304" s="95">
        <v>45827</v>
      </c>
      <c r="D304" s="131" t="s">
        <v>63</v>
      </c>
      <c r="E304" s="94">
        <v>929129002</v>
      </c>
      <c r="F304" s="94">
        <v>2</v>
      </c>
    </row>
    <row r="305" spans="1:6" x14ac:dyDescent="0.2">
      <c r="A305" s="94" t="s">
        <v>90</v>
      </c>
      <c r="B305" s="94">
        <v>2002</v>
      </c>
      <c r="C305" s="95">
        <v>45827</v>
      </c>
      <c r="D305" s="131" t="s">
        <v>63</v>
      </c>
      <c r="E305" s="94">
        <v>962182</v>
      </c>
      <c r="F305" s="94">
        <v>1</v>
      </c>
    </row>
    <row r="306" spans="1:6" x14ac:dyDescent="0.2">
      <c r="A306" s="94" t="s">
        <v>90</v>
      </c>
      <c r="B306" s="94">
        <v>2002</v>
      </c>
      <c r="C306" s="95">
        <v>45827</v>
      </c>
      <c r="D306" s="131" t="s">
        <v>63</v>
      </c>
      <c r="E306" s="94">
        <v>963276</v>
      </c>
      <c r="F306" s="94">
        <v>6</v>
      </c>
    </row>
    <row r="307" spans="1:6" x14ac:dyDescent="0.2">
      <c r="A307" s="94" t="s">
        <v>90</v>
      </c>
      <c r="B307" s="94">
        <v>2002</v>
      </c>
      <c r="C307" s="95">
        <v>45827</v>
      </c>
      <c r="D307" s="131" t="s">
        <v>63</v>
      </c>
      <c r="E307" s="94">
        <v>963277</v>
      </c>
      <c r="F307" s="94">
        <v>6</v>
      </c>
    </row>
    <row r="308" spans="1:6" x14ac:dyDescent="0.2">
      <c r="A308" s="94" t="s">
        <v>90</v>
      </c>
      <c r="B308" s="94">
        <v>2002</v>
      </c>
      <c r="C308" s="95">
        <v>45827</v>
      </c>
      <c r="D308" s="131" t="s">
        <v>63</v>
      </c>
      <c r="E308" s="94">
        <v>975721</v>
      </c>
      <c r="F308" s="94">
        <v>2</v>
      </c>
    </row>
    <row r="309" spans="1:6" x14ac:dyDescent="0.2">
      <c r="A309" s="94" t="s">
        <v>90</v>
      </c>
      <c r="B309" s="94" t="s">
        <v>79</v>
      </c>
      <c r="C309" s="95">
        <v>45827</v>
      </c>
      <c r="D309" s="131" t="s">
        <v>63</v>
      </c>
      <c r="E309" s="94">
        <v>317947</v>
      </c>
      <c r="F309" s="94">
        <v>1</v>
      </c>
    </row>
    <row r="310" spans="1:6" x14ac:dyDescent="0.2">
      <c r="A310" s="94" t="s">
        <v>90</v>
      </c>
      <c r="B310" s="94" t="s">
        <v>79</v>
      </c>
      <c r="C310" s="95">
        <v>45827</v>
      </c>
      <c r="D310" s="131" t="s">
        <v>63</v>
      </c>
      <c r="E310" s="94">
        <v>59505001</v>
      </c>
      <c r="F310" s="94">
        <v>1</v>
      </c>
    </row>
    <row r="311" spans="1:6" x14ac:dyDescent="0.2">
      <c r="A311" s="94" t="s">
        <v>90</v>
      </c>
      <c r="B311" s="94" t="s">
        <v>79</v>
      </c>
      <c r="C311" s="95">
        <v>45827</v>
      </c>
      <c r="D311" s="131" t="s">
        <v>63</v>
      </c>
      <c r="E311" s="94">
        <v>789725</v>
      </c>
      <c r="F311" s="94">
        <v>1</v>
      </c>
    </row>
    <row r="312" spans="1:6" x14ac:dyDescent="0.2">
      <c r="A312" s="94" t="s">
        <v>90</v>
      </c>
      <c r="B312" s="94" t="s">
        <v>79</v>
      </c>
      <c r="C312" s="95">
        <v>45827</v>
      </c>
      <c r="D312" s="131" t="s">
        <v>63</v>
      </c>
      <c r="E312" s="94">
        <v>754392</v>
      </c>
      <c r="F312" s="94">
        <v>2</v>
      </c>
    </row>
    <row r="313" spans="1:6" x14ac:dyDescent="0.2">
      <c r="A313" s="94" t="s">
        <v>90</v>
      </c>
      <c r="B313" s="94" t="s">
        <v>79</v>
      </c>
      <c r="C313" s="95">
        <v>45827</v>
      </c>
      <c r="D313" s="131" t="s">
        <v>63</v>
      </c>
      <c r="E313" s="94">
        <v>736118</v>
      </c>
      <c r="F313" s="94">
        <v>1</v>
      </c>
    </row>
    <row r="314" spans="1:6" x14ac:dyDescent="0.2">
      <c r="A314" s="94" t="s">
        <v>90</v>
      </c>
      <c r="B314" s="94" t="s">
        <v>79</v>
      </c>
      <c r="C314" s="95">
        <v>45827</v>
      </c>
      <c r="D314" s="131" t="s">
        <v>63</v>
      </c>
      <c r="E314" s="94">
        <v>1019409</v>
      </c>
      <c r="F314" s="94">
        <v>1</v>
      </c>
    </row>
    <row r="315" spans="1:6" x14ac:dyDescent="0.2">
      <c r="A315" s="94" t="s">
        <v>90</v>
      </c>
      <c r="B315" s="94" t="s">
        <v>79</v>
      </c>
      <c r="C315" s="95">
        <v>45827</v>
      </c>
      <c r="D315" s="131" t="s">
        <v>63</v>
      </c>
      <c r="E315" s="94">
        <v>1025869</v>
      </c>
      <c r="F315" s="94">
        <v>2</v>
      </c>
    </row>
    <row r="316" spans="1:6" x14ac:dyDescent="0.2">
      <c r="A316" s="94" t="s">
        <v>90</v>
      </c>
      <c r="B316" s="94" t="s">
        <v>79</v>
      </c>
      <c r="C316" s="95">
        <v>45827</v>
      </c>
      <c r="D316" s="131" t="s">
        <v>63</v>
      </c>
      <c r="E316" s="94">
        <v>1025902</v>
      </c>
      <c r="F316" s="94">
        <v>2</v>
      </c>
    </row>
    <row r="317" spans="1:6" x14ac:dyDescent="0.2">
      <c r="A317" s="94" t="s">
        <v>90</v>
      </c>
      <c r="B317" s="94" t="s">
        <v>79</v>
      </c>
      <c r="C317" s="95">
        <v>45827</v>
      </c>
      <c r="D317" s="131" t="s">
        <v>63</v>
      </c>
      <c r="E317" s="94">
        <v>113219005</v>
      </c>
      <c r="F317" s="94">
        <v>1</v>
      </c>
    </row>
    <row r="318" spans="1:6" x14ac:dyDescent="0.2">
      <c r="A318" s="94" t="s">
        <v>90</v>
      </c>
      <c r="B318" s="94" t="s">
        <v>79</v>
      </c>
      <c r="C318" s="95">
        <v>45827</v>
      </c>
      <c r="D318" s="131" t="s">
        <v>63</v>
      </c>
      <c r="E318" s="94">
        <v>137400001</v>
      </c>
      <c r="F318" s="94">
        <v>12</v>
      </c>
    </row>
    <row r="319" spans="1:6" x14ac:dyDescent="0.2">
      <c r="A319" s="94" t="s">
        <v>90</v>
      </c>
      <c r="B319" s="94" t="s">
        <v>79</v>
      </c>
      <c r="C319" s="95">
        <v>45827</v>
      </c>
      <c r="D319" s="131" t="s">
        <v>63</v>
      </c>
      <c r="E319" s="94">
        <v>262192</v>
      </c>
      <c r="F319" s="94">
        <v>1</v>
      </c>
    </row>
    <row r="320" spans="1:6" x14ac:dyDescent="0.2">
      <c r="A320" s="94" t="s">
        <v>90</v>
      </c>
      <c r="B320" s="94" t="s">
        <v>79</v>
      </c>
      <c r="C320" s="95">
        <v>45827</v>
      </c>
      <c r="D320" s="131" t="s">
        <v>63</v>
      </c>
      <c r="E320" s="94">
        <v>3202</v>
      </c>
      <c r="F320" s="94">
        <v>11</v>
      </c>
    </row>
    <row r="321" spans="1:6" x14ac:dyDescent="0.2">
      <c r="A321" s="94" t="s">
        <v>90</v>
      </c>
      <c r="B321" s="94" t="s">
        <v>79</v>
      </c>
      <c r="C321" s="95">
        <v>45827</v>
      </c>
      <c r="D321" s="131" t="s">
        <v>63</v>
      </c>
      <c r="E321" s="94">
        <v>394373002</v>
      </c>
      <c r="F321" s="94">
        <v>3</v>
      </c>
    </row>
    <row r="322" spans="1:6" x14ac:dyDescent="0.2">
      <c r="A322" s="94" t="s">
        <v>90</v>
      </c>
      <c r="B322" s="94" t="s">
        <v>79</v>
      </c>
      <c r="C322" s="95">
        <v>45827</v>
      </c>
      <c r="D322" s="131" t="s">
        <v>63</v>
      </c>
      <c r="E322" s="94">
        <v>395221</v>
      </c>
      <c r="F322" s="94">
        <v>1</v>
      </c>
    </row>
    <row r="323" spans="1:6" x14ac:dyDescent="0.2">
      <c r="A323" s="94" t="s">
        <v>90</v>
      </c>
      <c r="B323" s="94" t="s">
        <v>79</v>
      </c>
      <c r="C323" s="95">
        <v>45827</v>
      </c>
      <c r="D323" s="131" t="s">
        <v>63</v>
      </c>
      <c r="E323" s="94">
        <v>418210</v>
      </c>
      <c r="F323" s="94">
        <v>1</v>
      </c>
    </row>
    <row r="324" spans="1:6" x14ac:dyDescent="0.2">
      <c r="A324" s="94" t="s">
        <v>90</v>
      </c>
      <c r="B324" s="94" t="s">
        <v>79</v>
      </c>
      <c r="C324" s="95">
        <v>45827</v>
      </c>
      <c r="D324" s="131" t="s">
        <v>63</v>
      </c>
      <c r="E324" s="94">
        <v>428369</v>
      </c>
      <c r="F324" s="94">
        <v>1</v>
      </c>
    </row>
    <row r="325" spans="1:6" x14ac:dyDescent="0.2">
      <c r="A325" s="94" t="s">
        <v>90</v>
      </c>
      <c r="B325" s="94" t="s">
        <v>79</v>
      </c>
      <c r="C325" s="95">
        <v>45827</v>
      </c>
      <c r="D325" s="131" t="s">
        <v>63</v>
      </c>
      <c r="E325" s="94">
        <v>4352</v>
      </c>
      <c r="F325" s="94">
        <v>12</v>
      </c>
    </row>
    <row r="326" spans="1:6" x14ac:dyDescent="0.2">
      <c r="A326" s="94" t="s">
        <v>90</v>
      </c>
      <c r="B326" s="94" t="s">
        <v>79</v>
      </c>
      <c r="C326" s="95">
        <v>45827</v>
      </c>
      <c r="D326" s="131" t="s">
        <v>63</v>
      </c>
      <c r="E326" s="94">
        <v>4772</v>
      </c>
      <c r="F326" s="94">
        <v>4</v>
      </c>
    </row>
    <row r="327" spans="1:6" x14ac:dyDescent="0.2">
      <c r="A327" s="94" t="s">
        <v>90</v>
      </c>
      <c r="B327" s="94" t="s">
        <v>79</v>
      </c>
      <c r="C327" s="95">
        <v>45827</v>
      </c>
      <c r="D327" s="131" t="s">
        <v>63</v>
      </c>
      <c r="E327" s="94">
        <v>506558002</v>
      </c>
      <c r="F327" s="94">
        <v>12</v>
      </c>
    </row>
    <row r="328" spans="1:6" x14ac:dyDescent="0.2">
      <c r="A328" s="94" t="s">
        <v>90</v>
      </c>
      <c r="B328" s="94" t="s">
        <v>79</v>
      </c>
      <c r="C328" s="95">
        <v>45827</v>
      </c>
      <c r="D328" s="131" t="s">
        <v>63</v>
      </c>
      <c r="E328" s="94">
        <v>522972</v>
      </c>
      <c r="F328" s="94">
        <v>1</v>
      </c>
    </row>
    <row r="329" spans="1:6" x14ac:dyDescent="0.2">
      <c r="A329" s="94" t="s">
        <v>90</v>
      </c>
      <c r="B329" s="94" t="s">
        <v>79</v>
      </c>
      <c r="C329" s="95">
        <v>45827</v>
      </c>
      <c r="D329" s="131" t="s">
        <v>63</v>
      </c>
      <c r="E329" s="94">
        <v>557846</v>
      </c>
      <c r="F329" s="94">
        <v>1</v>
      </c>
    </row>
    <row r="330" spans="1:6" x14ac:dyDescent="0.2">
      <c r="A330" s="94" t="s">
        <v>90</v>
      </c>
      <c r="B330" s="94" t="s">
        <v>79</v>
      </c>
      <c r="C330" s="95">
        <v>45827</v>
      </c>
      <c r="D330" s="131" t="s">
        <v>63</v>
      </c>
      <c r="E330" s="94">
        <v>59393001</v>
      </c>
      <c r="F330" s="94">
        <v>1</v>
      </c>
    </row>
    <row r="331" spans="1:6" x14ac:dyDescent="0.2">
      <c r="A331" s="94" t="s">
        <v>90</v>
      </c>
      <c r="B331" s="94" t="s">
        <v>79</v>
      </c>
      <c r="C331" s="95">
        <v>45827</v>
      </c>
      <c r="D331" s="131" t="s">
        <v>63</v>
      </c>
      <c r="E331" s="94">
        <v>702667</v>
      </c>
      <c r="F331" s="94">
        <v>1</v>
      </c>
    </row>
    <row r="332" spans="1:6" x14ac:dyDescent="0.2">
      <c r="A332" s="94" t="s">
        <v>90</v>
      </c>
      <c r="B332" s="94" t="s">
        <v>79</v>
      </c>
      <c r="C332" s="95">
        <v>45827</v>
      </c>
      <c r="D332" s="131" t="s">
        <v>63</v>
      </c>
      <c r="E332" s="94">
        <v>759710</v>
      </c>
      <c r="F332" s="94">
        <v>2</v>
      </c>
    </row>
    <row r="333" spans="1:6" x14ac:dyDescent="0.2">
      <c r="A333" s="94" t="s">
        <v>90</v>
      </c>
      <c r="B333" s="94" t="s">
        <v>79</v>
      </c>
      <c r="C333" s="95">
        <v>45827</v>
      </c>
      <c r="D333" s="131" t="s">
        <v>63</v>
      </c>
      <c r="E333" s="94">
        <v>759829002</v>
      </c>
      <c r="F333" s="94">
        <v>12</v>
      </c>
    </row>
    <row r="334" spans="1:6" x14ac:dyDescent="0.2">
      <c r="A334" s="94" t="s">
        <v>90</v>
      </c>
      <c r="B334" s="94" t="s">
        <v>79</v>
      </c>
      <c r="C334" s="95">
        <v>45827</v>
      </c>
      <c r="D334" s="131" t="s">
        <v>63</v>
      </c>
      <c r="E334" s="94">
        <v>794886</v>
      </c>
      <c r="F334" s="94">
        <v>1</v>
      </c>
    </row>
    <row r="335" spans="1:6" x14ac:dyDescent="0.2">
      <c r="A335" s="94" t="s">
        <v>90</v>
      </c>
      <c r="B335" s="94" t="s">
        <v>79</v>
      </c>
      <c r="C335" s="95">
        <v>45827</v>
      </c>
      <c r="D335" s="131" t="s">
        <v>63</v>
      </c>
      <c r="E335" s="94">
        <v>928913</v>
      </c>
      <c r="F335" s="94">
        <v>13</v>
      </c>
    </row>
    <row r="336" spans="1:6" x14ac:dyDescent="0.2">
      <c r="A336" s="94" t="s">
        <v>90</v>
      </c>
      <c r="B336" s="94" t="s">
        <v>79</v>
      </c>
      <c r="C336" s="95">
        <v>45827</v>
      </c>
      <c r="D336" s="131" t="s">
        <v>63</v>
      </c>
      <c r="E336" s="94">
        <v>938062</v>
      </c>
      <c r="F336" s="94">
        <v>1</v>
      </c>
    </row>
    <row r="337" spans="1:6" x14ac:dyDescent="0.2">
      <c r="A337" s="94" t="s">
        <v>90</v>
      </c>
      <c r="B337" s="94" t="s">
        <v>79</v>
      </c>
      <c r="C337" s="95">
        <v>45827</v>
      </c>
      <c r="D337" s="131" t="s">
        <v>63</v>
      </c>
      <c r="E337" s="94">
        <v>951041</v>
      </c>
      <c r="F337" s="94">
        <v>1</v>
      </c>
    </row>
    <row r="338" spans="1:6" x14ac:dyDescent="0.2">
      <c r="A338" s="94" t="s">
        <v>90</v>
      </c>
      <c r="B338" s="94" t="s">
        <v>79</v>
      </c>
      <c r="C338" s="95">
        <v>45827</v>
      </c>
      <c r="D338" s="131" t="s">
        <v>63</v>
      </c>
      <c r="E338" s="94">
        <v>973126</v>
      </c>
      <c r="F338" s="94">
        <v>12</v>
      </c>
    </row>
    <row r="339" spans="1:6" x14ac:dyDescent="0.2">
      <c r="A339" s="94" t="s">
        <v>90</v>
      </c>
      <c r="B339" s="94" t="s">
        <v>79</v>
      </c>
      <c r="C339" s="95">
        <v>45827</v>
      </c>
      <c r="D339" s="131" t="s">
        <v>63</v>
      </c>
      <c r="E339" s="94">
        <v>984490</v>
      </c>
      <c r="F339" s="94">
        <v>6</v>
      </c>
    </row>
    <row r="340" spans="1:6" x14ac:dyDescent="0.2">
      <c r="A340" s="94" t="s">
        <v>90</v>
      </c>
      <c r="B340" s="94" t="s">
        <v>79</v>
      </c>
      <c r="C340" s="95">
        <v>45827</v>
      </c>
      <c r="D340" s="131" t="s">
        <v>63</v>
      </c>
      <c r="E340" s="94">
        <v>996622001</v>
      </c>
      <c r="F340" s="94">
        <v>4</v>
      </c>
    </row>
    <row r="341" spans="1:6" x14ac:dyDescent="0.2">
      <c r="A341"/>
      <c r="B341"/>
      <c r="C341"/>
      <c r="D341"/>
    </row>
    <row r="342" spans="1:6" x14ac:dyDescent="0.2">
      <c r="A342"/>
      <c r="B342"/>
      <c r="C342"/>
      <c r="D342"/>
    </row>
    <row r="343" spans="1:6" x14ac:dyDescent="0.2">
      <c r="A343"/>
      <c r="B343"/>
      <c r="C343"/>
      <c r="D343"/>
    </row>
    <row r="344" spans="1:6" x14ac:dyDescent="0.2">
      <c r="A344"/>
      <c r="B344"/>
      <c r="C344"/>
      <c r="D344"/>
    </row>
    <row r="345" spans="1:6" x14ac:dyDescent="0.2">
      <c r="A345"/>
      <c r="B345"/>
      <c r="C345"/>
      <c r="D345"/>
    </row>
    <row r="346" spans="1:6" x14ac:dyDescent="0.2">
      <c r="A346"/>
      <c r="B346"/>
      <c r="C346"/>
      <c r="D346"/>
    </row>
    <row r="347" spans="1:6" x14ac:dyDescent="0.2">
      <c r="A347"/>
      <c r="B347"/>
      <c r="C347"/>
      <c r="D347"/>
    </row>
    <row r="348" spans="1:6" x14ac:dyDescent="0.2">
      <c r="A348"/>
      <c r="B348"/>
      <c r="C348"/>
      <c r="D348"/>
    </row>
    <row r="349" spans="1:6" x14ac:dyDescent="0.2">
      <c r="A349"/>
      <c r="B349"/>
      <c r="C349"/>
      <c r="D349"/>
    </row>
    <row r="350" spans="1:6" x14ac:dyDescent="0.2">
      <c r="A350"/>
      <c r="B350"/>
      <c r="C350"/>
      <c r="D350"/>
    </row>
    <row r="351" spans="1:6" x14ac:dyDescent="0.2">
      <c r="A351"/>
      <c r="B351"/>
      <c r="C351"/>
      <c r="D351"/>
    </row>
    <row r="352" spans="1:6" x14ac:dyDescent="0.2">
      <c r="A352"/>
      <c r="B352"/>
      <c r="C352"/>
      <c r="D352"/>
    </row>
    <row r="353" spans="1:4" x14ac:dyDescent="0.2">
      <c r="A353"/>
      <c r="B353"/>
      <c r="C353"/>
      <c r="D353"/>
    </row>
    <row r="354" spans="1:4" x14ac:dyDescent="0.2">
      <c r="A354"/>
      <c r="B354"/>
      <c r="C354"/>
      <c r="D354"/>
    </row>
    <row r="355" spans="1:4" x14ac:dyDescent="0.2">
      <c r="A355"/>
      <c r="B355"/>
      <c r="C355"/>
      <c r="D355"/>
    </row>
    <row r="356" spans="1:4" x14ac:dyDescent="0.2">
      <c r="A356"/>
      <c r="B356"/>
      <c r="C356"/>
      <c r="D356"/>
    </row>
    <row r="357" spans="1:4" x14ac:dyDescent="0.2">
      <c r="A357"/>
      <c r="B357"/>
      <c r="C357"/>
      <c r="D357"/>
    </row>
    <row r="358" spans="1:4" x14ac:dyDescent="0.2">
      <c r="A358"/>
      <c r="B358"/>
      <c r="C358"/>
      <c r="D358"/>
    </row>
    <row r="359" spans="1:4" x14ac:dyDescent="0.2">
      <c r="A359"/>
      <c r="B359"/>
      <c r="C359"/>
      <c r="D359"/>
    </row>
    <row r="360" spans="1:4" x14ac:dyDescent="0.2">
      <c r="A360"/>
      <c r="B360"/>
      <c r="C360"/>
      <c r="D360"/>
    </row>
    <row r="361" spans="1:4" x14ac:dyDescent="0.2">
      <c r="A361"/>
      <c r="B361"/>
      <c r="C361"/>
      <c r="D361"/>
    </row>
    <row r="362" spans="1:4" x14ac:dyDescent="0.2">
      <c r="A362"/>
      <c r="B362"/>
      <c r="C362"/>
      <c r="D362"/>
    </row>
    <row r="363" spans="1:4" x14ac:dyDescent="0.2">
      <c r="A363"/>
      <c r="B363"/>
      <c r="C363"/>
      <c r="D363"/>
    </row>
    <row r="364" spans="1:4" x14ac:dyDescent="0.2">
      <c r="A364"/>
      <c r="B364"/>
      <c r="C364"/>
      <c r="D364"/>
    </row>
    <row r="365" spans="1:4" x14ac:dyDescent="0.2">
      <c r="A365"/>
      <c r="B365"/>
      <c r="C365"/>
      <c r="D365"/>
    </row>
    <row r="366" spans="1:4" x14ac:dyDescent="0.2">
      <c r="A366"/>
      <c r="B366"/>
      <c r="C366"/>
      <c r="D366"/>
    </row>
    <row r="367" spans="1:4" x14ac:dyDescent="0.2">
      <c r="A367"/>
      <c r="B367"/>
      <c r="C367"/>
      <c r="D367"/>
    </row>
    <row r="368" spans="1:4" x14ac:dyDescent="0.2">
      <c r="A368"/>
      <c r="B368"/>
      <c r="C368"/>
      <c r="D368"/>
    </row>
    <row r="369" spans="1:4" x14ac:dyDescent="0.2">
      <c r="A369"/>
      <c r="B369"/>
      <c r="C369"/>
      <c r="D369"/>
    </row>
    <row r="370" spans="1:4" x14ac:dyDescent="0.2">
      <c r="A370"/>
      <c r="B370"/>
      <c r="C370"/>
      <c r="D370"/>
    </row>
    <row r="371" spans="1:4" x14ac:dyDescent="0.2">
      <c r="A371"/>
      <c r="B371"/>
      <c r="C371"/>
      <c r="D371"/>
    </row>
    <row r="372" spans="1:4" x14ac:dyDescent="0.2">
      <c r="A372"/>
      <c r="B372"/>
      <c r="C372"/>
      <c r="D372"/>
    </row>
    <row r="373" spans="1:4" x14ac:dyDescent="0.2">
      <c r="A373"/>
      <c r="B373"/>
      <c r="C373"/>
      <c r="D373"/>
    </row>
    <row r="374" spans="1:4" x14ac:dyDescent="0.2">
      <c r="A374"/>
      <c r="B374"/>
      <c r="C374"/>
      <c r="D374"/>
    </row>
    <row r="375" spans="1:4" x14ac:dyDescent="0.2">
      <c r="A375"/>
      <c r="B375"/>
      <c r="C375"/>
      <c r="D375"/>
    </row>
    <row r="376" spans="1:4" x14ac:dyDescent="0.2">
      <c r="A376"/>
      <c r="B376"/>
      <c r="C376"/>
      <c r="D376"/>
    </row>
    <row r="377" spans="1:4" x14ac:dyDescent="0.2">
      <c r="A377"/>
      <c r="B377"/>
      <c r="C377"/>
      <c r="D377"/>
    </row>
    <row r="378" spans="1:4" x14ac:dyDescent="0.2">
      <c r="A378"/>
      <c r="B378"/>
      <c r="C378"/>
      <c r="D378"/>
    </row>
    <row r="379" spans="1:4" x14ac:dyDescent="0.2">
      <c r="A379"/>
      <c r="B379"/>
      <c r="C379"/>
      <c r="D379"/>
    </row>
    <row r="380" spans="1:4" x14ac:dyDescent="0.2">
      <c r="A380"/>
      <c r="B380"/>
      <c r="C380"/>
      <c r="D380"/>
    </row>
    <row r="381" spans="1:4" x14ac:dyDescent="0.2">
      <c r="A381"/>
      <c r="B381"/>
      <c r="C381"/>
      <c r="D381"/>
    </row>
    <row r="382" spans="1:4" x14ac:dyDescent="0.2">
      <c r="A382"/>
      <c r="B382"/>
      <c r="C382"/>
      <c r="D382"/>
    </row>
    <row r="383" spans="1:4" x14ac:dyDescent="0.2">
      <c r="A383"/>
      <c r="B383"/>
      <c r="C383"/>
      <c r="D383"/>
    </row>
    <row r="384" spans="1:4" x14ac:dyDescent="0.2">
      <c r="A384"/>
      <c r="B384"/>
      <c r="C384"/>
      <c r="D384"/>
    </row>
    <row r="385" spans="1:4" x14ac:dyDescent="0.2">
      <c r="A385"/>
      <c r="B385"/>
      <c r="C385"/>
      <c r="D385"/>
    </row>
    <row r="386" spans="1:4" x14ac:dyDescent="0.2">
      <c r="A386"/>
      <c r="B386"/>
      <c r="C386"/>
      <c r="D386"/>
    </row>
    <row r="387" spans="1:4" x14ac:dyDescent="0.2">
      <c r="A387"/>
      <c r="B387"/>
      <c r="C387"/>
      <c r="D387"/>
    </row>
    <row r="388" spans="1:4" x14ac:dyDescent="0.2">
      <c r="A388"/>
      <c r="B388"/>
      <c r="C388"/>
      <c r="D388"/>
    </row>
    <row r="389" spans="1:4" x14ac:dyDescent="0.2">
      <c r="A389"/>
      <c r="B389"/>
      <c r="C389"/>
      <c r="D389"/>
    </row>
    <row r="390" spans="1:4" x14ac:dyDescent="0.2">
      <c r="A390"/>
      <c r="B390"/>
      <c r="C390"/>
      <c r="D390"/>
    </row>
    <row r="391" spans="1:4" x14ac:dyDescent="0.2">
      <c r="A391"/>
      <c r="B391"/>
      <c r="C391"/>
      <c r="D391"/>
    </row>
    <row r="392" spans="1:4" x14ac:dyDescent="0.2">
      <c r="A392"/>
      <c r="B392"/>
      <c r="C392"/>
      <c r="D392"/>
    </row>
    <row r="393" spans="1:4" x14ac:dyDescent="0.2">
      <c r="A393"/>
      <c r="B393"/>
      <c r="C393"/>
      <c r="D393"/>
    </row>
    <row r="394" spans="1:4" x14ac:dyDescent="0.2">
      <c r="A394"/>
      <c r="B394"/>
      <c r="C394"/>
      <c r="D394"/>
    </row>
    <row r="395" spans="1:4" x14ac:dyDescent="0.2">
      <c r="A395"/>
      <c r="B395"/>
      <c r="C395"/>
      <c r="D395"/>
    </row>
    <row r="396" spans="1:4" x14ac:dyDescent="0.2">
      <c r="A396"/>
      <c r="B396"/>
      <c r="C396"/>
      <c r="D396"/>
    </row>
    <row r="397" spans="1:4" x14ac:dyDescent="0.2">
      <c r="A397"/>
      <c r="B397"/>
      <c r="C397"/>
      <c r="D397"/>
    </row>
    <row r="398" spans="1:4" x14ac:dyDescent="0.2">
      <c r="A398"/>
      <c r="B398"/>
      <c r="C398"/>
      <c r="D398"/>
    </row>
    <row r="399" spans="1:4" x14ac:dyDescent="0.2">
      <c r="A399"/>
      <c r="B399"/>
      <c r="C399"/>
      <c r="D399"/>
    </row>
    <row r="400" spans="1:4" x14ac:dyDescent="0.2">
      <c r="A400"/>
      <c r="B400"/>
      <c r="C400"/>
      <c r="D400"/>
    </row>
    <row r="401" spans="1:4" x14ac:dyDescent="0.2">
      <c r="A401"/>
      <c r="B401"/>
      <c r="C401"/>
      <c r="D401"/>
    </row>
    <row r="402" spans="1:4" x14ac:dyDescent="0.2">
      <c r="A402"/>
      <c r="B402"/>
      <c r="C402"/>
      <c r="D402"/>
    </row>
    <row r="403" spans="1:4" x14ac:dyDescent="0.2">
      <c r="A403"/>
      <c r="B403"/>
      <c r="C403"/>
      <c r="D403"/>
    </row>
    <row r="404" spans="1:4" x14ac:dyDescent="0.2">
      <c r="A404"/>
      <c r="B404"/>
      <c r="C404"/>
      <c r="D404"/>
    </row>
    <row r="405" spans="1:4" x14ac:dyDescent="0.2">
      <c r="A405"/>
      <c r="B405"/>
      <c r="C405"/>
      <c r="D405"/>
    </row>
    <row r="406" spans="1:4" x14ac:dyDescent="0.2">
      <c r="A406"/>
      <c r="B406"/>
      <c r="C406"/>
      <c r="D406"/>
    </row>
    <row r="407" spans="1:4" x14ac:dyDescent="0.2">
      <c r="A407"/>
      <c r="B407"/>
      <c r="C407"/>
      <c r="D407"/>
    </row>
    <row r="408" spans="1:4" x14ac:dyDescent="0.2">
      <c r="A408"/>
      <c r="B408"/>
      <c r="C408"/>
      <c r="D408"/>
    </row>
    <row r="409" spans="1:4" x14ac:dyDescent="0.2">
      <c r="A409"/>
      <c r="B409"/>
      <c r="C409"/>
      <c r="D409"/>
    </row>
    <row r="410" spans="1:4" x14ac:dyDescent="0.2">
      <c r="A410"/>
      <c r="B410"/>
      <c r="C410"/>
      <c r="D410"/>
    </row>
    <row r="411" spans="1:4" x14ac:dyDescent="0.2">
      <c r="A411"/>
      <c r="B411"/>
      <c r="C411"/>
      <c r="D411"/>
    </row>
    <row r="412" spans="1:4" x14ac:dyDescent="0.2">
      <c r="A412"/>
      <c r="B412"/>
      <c r="C412"/>
      <c r="D412"/>
    </row>
    <row r="413" spans="1:4" x14ac:dyDescent="0.2">
      <c r="A413"/>
      <c r="B413"/>
      <c r="C413"/>
      <c r="D413"/>
    </row>
    <row r="414" spans="1:4" x14ac:dyDescent="0.2">
      <c r="A414"/>
      <c r="B414"/>
      <c r="C414"/>
      <c r="D414"/>
    </row>
    <row r="415" spans="1:4" x14ac:dyDescent="0.2">
      <c r="A415"/>
      <c r="B415"/>
      <c r="C415"/>
      <c r="D415"/>
    </row>
    <row r="416" spans="1:4" x14ac:dyDescent="0.2">
      <c r="A416"/>
      <c r="B416"/>
      <c r="C416"/>
      <c r="D416"/>
    </row>
    <row r="417" spans="1:4" x14ac:dyDescent="0.2">
      <c r="A417"/>
      <c r="B417"/>
      <c r="C417"/>
      <c r="D417"/>
    </row>
    <row r="418" spans="1:4" x14ac:dyDescent="0.2">
      <c r="A418"/>
      <c r="B418"/>
      <c r="C418"/>
      <c r="D418"/>
    </row>
    <row r="419" spans="1:4" x14ac:dyDescent="0.2">
      <c r="A419"/>
      <c r="B419"/>
      <c r="C419"/>
      <c r="D419"/>
    </row>
    <row r="420" spans="1:4" x14ac:dyDescent="0.2">
      <c r="A420"/>
      <c r="B420"/>
      <c r="C420"/>
      <c r="D420"/>
    </row>
    <row r="421" spans="1:4" x14ac:dyDescent="0.2">
      <c r="A421"/>
      <c r="B421"/>
      <c r="C421"/>
      <c r="D421"/>
    </row>
    <row r="422" spans="1:4" x14ac:dyDescent="0.2">
      <c r="A422"/>
      <c r="B422"/>
      <c r="C422"/>
      <c r="D422"/>
    </row>
    <row r="423" spans="1:4" x14ac:dyDescent="0.2">
      <c r="A423"/>
      <c r="B423"/>
      <c r="C423"/>
      <c r="D423"/>
    </row>
    <row r="424" spans="1:4" x14ac:dyDescent="0.2">
      <c r="A424"/>
      <c r="B424"/>
      <c r="C424"/>
      <c r="D424"/>
    </row>
    <row r="425" spans="1:4" x14ac:dyDescent="0.2">
      <c r="A425"/>
      <c r="B425"/>
      <c r="C425"/>
      <c r="D425"/>
    </row>
    <row r="426" spans="1:4" x14ac:dyDescent="0.2">
      <c r="A426"/>
      <c r="B426"/>
      <c r="C426"/>
      <c r="D426"/>
    </row>
    <row r="427" spans="1:4" x14ac:dyDescent="0.2">
      <c r="A427"/>
      <c r="B427"/>
      <c r="C427"/>
      <c r="D427"/>
    </row>
    <row r="428" spans="1:4" x14ac:dyDescent="0.2">
      <c r="A428"/>
      <c r="B428"/>
      <c r="C428"/>
      <c r="D428"/>
    </row>
    <row r="429" spans="1:4" x14ac:dyDescent="0.2">
      <c r="A429"/>
      <c r="B429"/>
      <c r="C429"/>
      <c r="D429"/>
    </row>
    <row r="430" spans="1:4" x14ac:dyDescent="0.2">
      <c r="A430"/>
      <c r="B430"/>
      <c r="C430"/>
      <c r="D430"/>
    </row>
    <row r="431" spans="1:4" x14ac:dyDescent="0.2">
      <c r="A431"/>
      <c r="B431"/>
      <c r="C431"/>
      <c r="D431"/>
    </row>
    <row r="432" spans="1:4" x14ac:dyDescent="0.2">
      <c r="A432"/>
      <c r="B432"/>
      <c r="C432"/>
      <c r="D432"/>
    </row>
    <row r="433" spans="1:4" x14ac:dyDescent="0.2">
      <c r="A433"/>
      <c r="B433"/>
      <c r="C433"/>
      <c r="D433"/>
    </row>
    <row r="434" spans="1:4" x14ac:dyDescent="0.2">
      <c r="A434"/>
      <c r="B434"/>
      <c r="C434"/>
      <c r="D434"/>
    </row>
    <row r="435" spans="1:4" x14ac:dyDescent="0.2">
      <c r="A435"/>
      <c r="B435"/>
      <c r="C435"/>
      <c r="D435"/>
    </row>
    <row r="436" spans="1:4" x14ac:dyDescent="0.2">
      <c r="A436"/>
      <c r="B436"/>
      <c r="C436"/>
      <c r="D436"/>
    </row>
    <row r="437" spans="1:4" x14ac:dyDescent="0.2">
      <c r="A437"/>
      <c r="B437"/>
      <c r="C437"/>
      <c r="D437"/>
    </row>
    <row r="438" spans="1:4" x14ac:dyDescent="0.2">
      <c r="A438"/>
      <c r="B438"/>
      <c r="C438"/>
      <c r="D438"/>
    </row>
    <row r="439" spans="1:4" x14ac:dyDescent="0.2">
      <c r="A439"/>
      <c r="B439"/>
      <c r="C439"/>
      <c r="D439"/>
    </row>
    <row r="440" spans="1:4" x14ac:dyDescent="0.2">
      <c r="A440"/>
      <c r="B440"/>
      <c r="C440"/>
      <c r="D440"/>
    </row>
    <row r="441" spans="1:4" x14ac:dyDescent="0.2">
      <c r="A441"/>
      <c r="B441"/>
      <c r="C441"/>
      <c r="D441"/>
    </row>
    <row r="442" spans="1:4" x14ac:dyDescent="0.2">
      <c r="A442"/>
      <c r="B442"/>
      <c r="C442"/>
      <c r="D442"/>
    </row>
    <row r="443" spans="1:4" x14ac:dyDescent="0.2">
      <c r="A443"/>
      <c r="B443"/>
      <c r="C443"/>
      <c r="D443"/>
    </row>
    <row r="444" spans="1:4" x14ac:dyDescent="0.2">
      <c r="A444"/>
      <c r="B444"/>
      <c r="C444"/>
      <c r="D444"/>
    </row>
    <row r="445" spans="1:4" x14ac:dyDescent="0.2">
      <c r="A445"/>
      <c r="B445"/>
      <c r="C445"/>
      <c r="D445"/>
    </row>
    <row r="446" spans="1:4" x14ac:dyDescent="0.2">
      <c r="A446"/>
      <c r="B446"/>
      <c r="C446"/>
      <c r="D446"/>
    </row>
    <row r="447" spans="1:4" x14ac:dyDescent="0.2">
      <c r="A447"/>
      <c r="B447"/>
      <c r="C447"/>
      <c r="D447"/>
    </row>
    <row r="448" spans="1:4" x14ac:dyDescent="0.2">
      <c r="A448"/>
      <c r="B448"/>
      <c r="C448"/>
      <c r="D448"/>
    </row>
    <row r="449" spans="1:4" x14ac:dyDescent="0.2">
      <c r="A449"/>
      <c r="B449"/>
      <c r="C449"/>
      <c r="D449"/>
    </row>
    <row r="450" spans="1:4" x14ac:dyDescent="0.2">
      <c r="A450"/>
      <c r="B450"/>
      <c r="C450"/>
      <c r="D450"/>
    </row>
    <row r="451" spans="1:4" x14ac:dyDescent="0.2">
      <c r="A451"/>
      <c r="B451"/>
      <c r="C451"/>
      <c r="D451"/>
    </row>
    <row r="452" spans="1:4" x14ac:dyDescent="0.2">
      <c r="A452"/>
      <c r="B452"/>
      <c r="C452"/>
      <c r="D452"/>
    </row>
    <row r="453" spans="1:4" x14ac:dyDescent="0.2">
      <c r="A453"/>
      <c r="B453"/>
      <c r="C453"/>
      <c r="D453"/>
    </row>
    <row r="454" spans="1:4" x14ac:dyDescent="0.2">
      <c r="A454"/>
      <c r="B454"/>
      <c r="C454"/>
      <c r="D454"/>
    </row>
    <row r="455" spans="1:4" x14ac:dyDescent="0.2">
      <c r="A455"/>
      <c r="B455"/>
      <c r="C455"/>
      <c r="D455"/>
    </row>
    <row r="456" spans="1:4" x14ac:dyDescent="0.2">
      <c r="A456"/>
      <c r="B456"/>
      <c r="C456"/>
      <c r="D456"/>
    </row>
    <row r="457" spans="1:4" x14ac:dyDescent="0.2">
      <c r="A457"/>
      <c r="B457"/>
      <c r="C457"/>
      <c r="D457"/>
    </row>
    <row r="458" spans="1:4" x14ac:dyDescent="0.2">
      <c r="A458"/>
      <c r="B458"/>
      <c r="C458"/>
      <c r="D458"/>
    </row>
    <row r="459" spans="1:4" x14ac:dyDescent="0.2">
      <c r="A459"/>
      <c r="B459"/>
      <c r="C459"/>
      <c r="D459"/>
    </row>
    <row r="460" spans="1:4" x14ac:dyDescent="0.2">
      <c r="A460"/>
      <c r="B460"/>
      <c r="C460"/>
      <c r="D460"/>
    </row>
    <row r="461" spans="1:4" x14ac:dyDescent="0.2">
      <c r="A461"/>
      <c r="B461"/>
      <c r="C461"/>
      <c r="D461"/>
    </row>
    <row r="462" spans="1:4" x14ac:dyDescent="0.2">
      <c r="A462"/>
      <c r="B462"/>
      <c r="C462"/>
      <c r="D462"/>
    </row>
    <row r="463" spans="1:4" x14ac:dyDescent="0.2">
      <c r="A463"/>
      <c r="B463"/>
      <c r="C463"/>
      <c r="D463"/>
    </row>
    <row r="464" spans="1:4" x14ac:dyDescent="0.2">
      <c r="A464"/>
      <c r="B464"/>
      <c r="C464"/>
      <c r="D464"/>
    </row>
    <row r="465" spans="1:4" x14ac:dyDescent="0.2">
      <c r="A465"/>
      <c r="B465"/>
      <c r="C465"/>
      <c r="D465"/>
    </row>
    <row r="466" spans="1:4" x14ac:dyDescent="0.2">
      <c r="A466"/>
      <c r="B466"/>
      <c r="C466"/>
      <c r="D466"/>
    </row>
    <row r="467" spans="1:4" x14ac:dyDescent="0.2">
      <c r="A467"/>
      <c r="B467"/>
      <c r="C467"/>
      <c r="D467"/>
    </row>
    <row r="468" spans="1:4" x14ac:dyDescent="0.2">
      <c r="A468"/>
      <c r="B468"/>
      <c r="C468"/>
      <c r="D468"/>
    </row>
    <row r="469" spans="1:4" x14ac:dyDescent="0.2">
      <c r="A469"/>
      <c r="B469"/>
      <c r="C469"/>
      <c r="D469"/>
    </row>
    <row r="470" spans="1:4" x14ac:dyDescent="0.2">
      <c r="A470"/>
      <c r="B470"/>
      <c r="C470"/>
      <c r="D470"/>
    </row>
    <row r="471" spans="1:4" x14ac:dyDescent="0.2">
      <c r="A471"/>
      <c r="B471"/>
      <c r="C471"/>
      <c r="D471"/>
    </row>
    <row r="472" spans="1:4" x14ac:dyDescent="0.2">
      <c r="A472"/>
      <c r="B472"/>
      <c r="C472"/>
      <c r="D472"/>
    </row>
    <row r="473" spans="1:4" x14ac:dyDescent="0.2">
      <c r="A473"/>
      <c r="B473"/>
      <c r="C473"/>
      <c r="D473"/>
    </row>
    <row r="474" spans="1:4" x14ac:dyDescent="0.2">
      <c r="A474"/>
      <c r="B474"/>
      <c r="C474"/>
      <c r="D474"/>
    </row>
    <row r="475" spans="1:4" x14ac:dyDescent="0.2">
      <c r="A475"/>
      <c r="B475"/>
      <c r="C475"/>
      <c r="D475"/>
    </row>
    <row r="476" spans="1:4" x14ac:dyDescent="0.2">
      <c r="A476"/>
      <c r="B476"/>
      <c r="C476"/>
      <c r="D476"/>
    </row>
    <row r="477" spans="1:4" x14ac:dyDescent="0.2">
      <c r="A477"/>
      <c r="B477"/>
      <c r="C477"/>
      <c r="D477"/>
    </row>
    <row r="478" spans="1:4" x14ac:dyDescent="0.2">
      <c r="A478"/>
      <c r="B478"/>
      <c r="C478"/>
      <c r="D478"/>
    </row>
    <row r="479" spans="1:4" x14ac:dyDescent="0.2">
      <c r="A479"/>
      <c r="B479"/>
      <c r="C479"/>
      <c r="D479"/>
    </row>
    <row r="480" spans="1:4" x14ac:dyDescent="0.2">
      <c r="A480"/>
      <c r="B480"/>
      <c r="C480"/>
      <c r="D480"/>
    </row>
    <row r="481" spans="1:4" x14ac:dyDescent="0.2">
      <c r="A481"/>
      <c r="B481"/>
      <c r="C481"/>
      <c r="D481"/>
    </row>
    <row r="482" spans="1:4" x14ac:dyDescent="0.2">
      <c r="A482"/>
      <c r="B482"/>
      <c r="C482"/>
      <c r="D482"/>
    </row>
    <row r="483" spans="1:4" x14ac:dyDescent="0.2">
      <c r="A483"/>
      <c r="B483"/>
      <c r="C483"/>
      <c r="D483"/>
    </row>
    <row r="484" spans="1:4" x14ac:dyDescent="0.2">
      <c r="A484"/>
      <c r="B484"/>
      <c r="C484"/>
      <c r="D484"/>
    </row>
    <row r="485" spans="1:4" x14ac:dyDescent="0.2">
      <c r="A485"/>
      <c r="B485"/>
      <c r="C485"/>
      <c r="D485"/>
    </row>
    <row r="486" spans="1:4" x14ac:dyDescent="0.2">
      <c r="A486"/>
      <c r="B486"/>
      <c r="C486"/>
      <c r="D486"/>
    </row>
    <row r="487" spans="1:4" x14ac:dyDescent="0.2">
      <c r="A487"/>
      <c r="B487"/>
      <c r="C487"/>
      <c r="D487"/>
    </row>
    <row r="488" spans="1:4" x14ac:dyDescent="0.2">
      <c r="A488"/>
      <c r="B488"/>
      <c r="C488"/>
      <c r="D488"/>
    </row>
    <row r="489" spans="1:4" x14ac:dyDescent="0.2">
      <c r="A489"/>
      <c r="B489"/>
      <c r="C489"/>
      <c r="D489"/>
    </row>
    <row r="490" spans="1:4" x14ac:dyDescent="0.2">
      <c r="A490"/>
      <c r="B490"/>
      <c r="C490"/>
      <c r="D490"/>
    </row>
    <row r="491" spans="1:4" x14ac:dyDescent="0.2">
      <c r="A491"/>
      <c r="B491"/>
      <c r="C491"/>
      <c r="D491"/>
    </row>
    <row r="492" spans="1:4" x14ac:dyDescent="0.2">
      <c r="A492"/>
      <c r="B492"/>
      <c r="C492"/>
      <c r="D492"/>
    </row>
    <row r="493" spans="1:4" x14ac:dyDescent="0.2">
      <c r="A493"/>
      <c r="B493"/>
      <c r="C493"/>
      <c r="D493"/>
    </row>
    <row r="494" spans="1:4" x14ac:dyDescent="0.2">
      <c r="A494"/>
      <c r="B494"/>
      <c r="C494"/>
      <c r="D494"/>
    </row>
    <row r="495" spans="1:4" x14ac:dyDescent="0.2">
      <c r="A495"/>
      <c r="B495"/>
      <c r="C495"/>
      <c r="D495"/>
    </row>
    <row r="496" spans="1:4" x14ac:dyDescent="0.2">
      <c r="A496"/>
      <c r="B496"/>
      <c r="C496"/>
      <c r="D496"/>
    </row>
    <row r="497" spans="1:4" x14ac:dyDescent="0.2">
      <c r="A497"/>
      <c r="B497"/>
      <c r="C497"/>
      <c r="D497"/>
    </row>
    <row r="498" spans="1:4" x14ac:dyDescent="0.2">
      <c r="A498"/>
      <c r="B498"/>
      <c r="C498"/>
      <c r="D498"/>
    </row>
    <row r="499" spans="1:4" x14ac:dyDescent="0.2">
      <c r="A499"/>
      <c r="B499"/>
      <c r="C499"/>
      <c r="D499"/>
    </row>
    <row r="500" spans="1:4" x14ac:dyDescent="0.2">
      <c r="A500"/>
      <c r="B500"/>
      <c r="C500"/>
      <c r="D500"/>
    </row>
    <row r="501" spans="1:4" x14ac:dyDescent="0.2">
      <c r="A501"/>
      <c r="B501"/>
      <c r="C501"/>
      <c r="D501"/>
    </row>
    <row r="502" spans="1:4" x14ac:dyDescent="0.2">
      <c r="A502"/>
      <c r="B502"/>
      <c r="C502"/>
      <c r="D502"/>
    </row>
    <row r="503" spans="1:4" x14ac:dyDescent="0.2">
      <c r="A503"/>
      <c r="B503"/>
      <c r="C503"/>
      <c r="D503"/>
    </row>
    <row r="504" spans="1:4" x14ac:dyDescent="0.2">
      <c r="A504"/>
      <c r="B504"/>
      <c r="C504"/>
      <c r="D504"/>
    </row>
    <row r="505" spans="1:4" x14ac:dyDescent="0.2">
      <c r="A505"/>
      <c r="B505"/>
      <c r="C505"/>
      <c r="D505"/>
    </row>
    <row r="506" spans="1:4" x14ac:dyDescent="0.2">
      <c r="A506"/>
      <c r="B506"/>
      <c r="C506"/>
      <c r="D506"/>
    </row>
    <row r="507" spans="1:4" x14ac:dyDescent="0.2">
      <c r="A507"/>
      <c r="B507"/>
      <c r="C507"/>
      <c r="D507"/>
    </row>
    <row r="508" spans="1:4" x14ac:dyDescent="0.2">
      <c r="A508"/>
      <c r="B508"/>
      <c r="C508"/>
      <c r="D508"/>
    </row>
    <row r="509" spans="1:4" x14ac:dyDescent="0.2">
      <c r="A509"/>
      <c r="B509"/>
      <c r="C509"/>
      <c r="D509"/>
    </row>
    <row r="510" spans="1:4" x14ac:dyDescent="0.2">
      <c r="A510"/>
      <c r="B510"/>
      <c r="C510"/>
      <c r="D510"/>
    </row>
    <row r="511" spans="1:4" x14ac:dyDescent="0.2">
      <c r="A511"/>
      <c r="B511"/>
      <c r="C511"/>
      <c r="D511"/>
    </row>
    <row r="512" spans="1:4" x14ac:dyDescent="0.2">
      <c r="A512"/>
      <c r="B512"/>
      <c r="C512"/>
      <c r="D512"/>
    </row>
    <row r="513" spans="1:4" x14ac:dyDescent="0.2">
      <c r="A513"/>
      <c r="B513"/>
      <c r="C513"/>
      <c r="D513"/>
    </row>
    <row r="514" spans="1:4" x14ac:dyDescent="0.2">
      <c r="A514"/>
      <c r="B514"/>
      <c r="C514"/>
      <c r="D514"/>
    </row>
    <row r="515" spans="1:4" x14ac:dyDescent="0.2">
      <c r="A515"/>
      <c r="B515"/>
      <c r="C515"/>
      <c r="D515"/>
    </row>
    <row r="516" spans="1:4" x14ac:dyDescent="0.2">
      <c r="A516"/>
      <c r="B516"/>
      <c r="C516"/>
      <c r="D516"/>
    </row>
    <row r="517" spans="1:4" x14ac:dyDescent="0.2">
      <c r="A517"/>
      <c r="B517"/>
      <c r="C517"/>
      <c r="D517"/>
    </row>
    <row r="518" spans="1:4" x14ac:dyDescent="0.2">
      <c r="A518"/>
      <c r="B518"/>
      <c r="C518"/>
      <c r="D518"/>
    </row>
    <row r="519" spans="1:4" x14ac:dyDescent="0.2">
      <c r="A519"/>
      <c r="B519"/>
      <c r="C519"/>
      <c r="D519"/>
    </row>
    <row r="520" spans="1:4" x14ac:dyDescent="0.2">
      <c r="A520"/>
      <c r="B520"/>
      <c r="C520"/>
      <c r="D520"/>
    </row>
    <row r="521" spans="1:4" x14ac:dyDescent="0.2">
      <c r="A521"/>
      <c r="B521"/>
      <c r="C521"/>
      <c r="D521"/>
    </row>
    <row r="522" spans="1:4" x14ac:dyDescent="0.2">
      <c r="A522"/>
      <c r="B522"/>
      <c r="C522"/>
      <c r="D522"/>
    </row>
    <row r="523" spans="1:4" x14ac:dyDescent="0.2">
      <c r="A523"/>
      <c r="B523"/>
      <c r="C523"/>
      <c r="D523"/>
    </row>
    <row r="524" spans="1:4" x14ac:dyDescent="0.2">
      <c r="A524"/>
      <c r="B524"/>
      <c r="C524"/>
      <c r="D524"/>
    </row>
    <row r="525" spans="1:4" x14ac:dyDescent="0.2">
      <c r="A525"/>
      <c r="B525"/>
      <c r="C525"/>
      <c r="D525"/>
    </row>
    <row r="526" spans="1:4" x14ac:dyDescent="0.2">
      <c r="A526"/>
      <c r="B526"/>
      <c r="C526"/>
      <c r="D526"/>
    </row>
    <row r="527" spans="1:4" x14ac:dyDescent="0.2">
      <c r="A527"/>
      <c r="B527"/>
      <c r="C527"/>
      <c r="D527"/>
    </row>
    <row r="528" spans="1:4" x14ac:dyDescent="0.2">
      <c r="A528"/>
      <c r="B528"/>
      <c r="C528"/>
      <c r="D528"/>
    </row>
    <row r="529" spans="1:4" x14ac:dyDescent="0.2">
      <c r="A529"/>
      <c r="B529"/>
      <c r="C529"/>
      <c r="D529"/>
    </row>
    <row r="530" spans="1:4" x14ac:dyDescent="0.2">
      <c r="A530"/>
      <c r="B530"/>
      <c r="C530"/>
      <c r="D530"/>
    </row>
    <row r="531" spans="1:4" x14ac:dyDescent="0.2">
      <c r="A531"/>
      <c r="B531"/>
      <c r="C531"/>
      <c r="D531"/>
    </row>
    <row r="532" spans="1:4" x14ac:dyDescent="0.2">
      <c r="A532"/>
      <c r="B532"/>
      <c r="C532"/>
      <c r="D532"/>
    </row>
    <row r="533" spans="1:4" x14ac:dyDescent="0.2">
      <c r="A533"/>
      <c r="B533"/>
      <c r="C533"/>
      <c r="D533"/>
    </row>
    <row r="534" spans="1:4" x14ac:dyDescent="0.2">
      <c r="A534"/>
      <c r="B534"/>
      <c r="C534"/>
      <c r="D534"/>
    </row>
    <row r="535" spans="1:4" x14ac:dyDescent="0.2">
      <c r="A535"/>
      <c r="B535"/>
      <c r="C535"/>
      <c r="D535"/>
    </row>
    <row r="536" spans="1:4" x14ac:dyDescent="0.2">
      <c r="A536"/>
      <c r="B536"/>
      <c r="C536"/>
      <c r="D536"/>
    </row>
    <row r="537" spans="1:4" x14ac:dyDescent="0.2">
      <c r="A537"/>
      <c r="B537"/>
      <c r="C537"/>
      <c r="D537"/>
    </row>
    <row r="538" spans="1:4" x14ac:dyDescent="0.2">
      <c r="A538"/>
      <c r="B538"/>
      <c r="C538"/>
      <c r="D538"/>
    </row>
    <row r="539" spans="1:4" x14ac:dyDescent="0.2">
      <c r="A539"/>
      <c r="B539"/>
      <c r="C539"/>
      <c r="D539"/>
    </row>
    <row r="540" spans="1:4" x14ac:dyDescent="0.2">
      <c r="A540"/>
      <c r="B540"/>
      <c r="C540"/>
      <c r="D540"/>
    </row>
    <row r="541" spans="1:4" x14ac:dyDescent="0.2">
      <c r="A541"/>
      <c r="B541"/>
      <c r="C541"/>
      <c r="D541"/>
    </row>
    <row r="542" spans="1:4" x14ac:dyDescent="0.2">
      <c r="A542"/>
      <c r="B542"/>
      <c r="C542"/>
      <c r="D542"/>
    </row>
    <row r="543" spans="1:4" x14ac:dyDescent="0.2">
      <c r="A543"/>
      <c r="B543"/>
      <c r="C543"/>
      <c r="D543"/>
    </row>
    <row r="544" spans="1:4" x14ac:dyDescent="0.2">
      <c r="A544"/>
      <c r="B544"/>
      <c r="C544"/>
      <c r="D544"/>
    </row>
    <row r="545" spans="1:4" x14ac:dyDescent="0.2">
      <c r="A545"/>
      <c r="B545"/>
      <c r="C545"/>
      <c r="D545"/>
    </row>
    <row r="546" spans="1:4" x14ac:dyDescent="0.2">
      <c r="A546"/>
      <c r="B546"/>
      <c r="C546"/>
      <c r="D546"/>
    </row>
    <row r="547" spans="1:4" x14ac:dyDescent="0.2">
      <c r="A547"/>
      <c r="B547"/>
      <c r="C547"/>
      <c r="D547"/>
    </row>
    <row r="548" spans="1:4" x14ac:dyDescent="0.2">
      <c r="A548"/>
      <c r="B548"/>
      <c r="C548"/>
      <c r="D548"/>
    </row>
    <row r="549" spans="1:4" x14ac:dyDescent="0.2">
      <c r="A549"/>
      <c r="B549"/>
      <c r="C549"/>
      <c r="D549"/>
    </row>
    <row r="550" spans="1:4" x14ac:dyDescent="0.2">
      <c r="A550"/>
      <c r="B550"/>
      <c r="C550"/>
      <c r="D550"/>
    </row>
    <row r="551" spans="1:4" x14ac:dyDescent="0.2">
      <c r="A551"/>
      <c r="B551"/>
      <c r="C551"/>
      <c r="D551"/>
    </row>
    <row r="552" spans="1:4" x14ac:dyDescent="0.2">
      <c r="A552"/>
      <c r="B552"/>
      <c r="C552"/>
      <c r="D552"/>
    </row>
    <row r="553" spans="1:4" x14ac:dyDescent="0.2">
      <c r="A553"/>
      <c r="B553"/>
      <c r="C553"/>
      <c r="D553"/>
    </row>
    <row r="554" spans="1:4" x14ac:dyDescent="0.2">
      <c r="A554"/>
      <c r="B554"/>
      <c r="C554"/>
      <c r="D554"/>
    </row>
    <row r="555" spans="1:4" x14ac:dyDescent="0.2">
      <c r="A555"/>
      <c r="B555"/>
      <c r="C555"/>
      <c r="D555"/>
    </row>
    <row r="556" spans="1:4" x14ac:dyDescent="0.2">
      <c r="A556"/>
      <c r="B556"/>
      <c r="C556"/>
      <c r="D556"/>
    </row>
    <row r="557" spans="1:4" x14ac:dyDescent="0.2">
      <c r="A557"/>
      <c r="B557"/>
      <c r="C557"/>
      <c r="D557"/>
    </row>
    <row r="558" spans="1:4" x14ac:dyDescent="0.2">
      <c r="A558"/>
      <c r="B558"/>
      <c r="C558"/>
      <c r="D558"/>
    </row>
    <row r="559" spans="1:4" x14ac:dyDescent="0.2">
      <c r="A559"/>
      <c r="B559"/>
      <c r="C559"/>
      <c r="D559"/>
    </row>
    <row r="560" spans="1:4" x14ac:dyDescent="0.2">
      <c r="A560"/>
      <c r="B560"/>
      <c r="C560"/>
      <c r="D560"/>
    </row>
    <row r="561" spans="1:4" x14ac:dyDescent="0.2">
      <c r="A561"/>
      <c r="B561"/>
      <c r="C561"/>
      <c r="D561"/>
    </row>
    <row r="562" spans="1:4" x14ac:dyDescent="0.2">
      <c r="A562"/>
      <c r="B562"/>
      <c r="C562"/>
      <c r="D562"/>
    </row>
    <row r="563" spans="1:4" x14ac:dyDescent="0.2">
      <c r="A563"/>
      <c r="B563"/>
      <c r="C563"/>
      <c r="D563"/>
    </row>
    <row r="564" spans="1:4" x14ac:dyDescent="0.2">
      <c r="A564"/>
      <c r="B564"/>
      <c r="C564"/>
      <c r="D564"/>
    </row>
    <row r="565" spans="1:4" x14ac:dyDescent="0.2">
      <c r="A565"/>
      <c r="B565"/>
      <c r="C565"/>
      <c r="D565"/>
    </row>
    <row r="566" spans="1:4" x14ac:dyDescent="0.2">
      <c r="A566"/>
      <c r="B566"/>
      <c r="C566"/>
      <c r="D566"/>
    </row>
    <row r="567" spans="1:4" x14ac:dyDescent="0.2">
      <c r="A567"/>
      <c r="B567"/>
      <c r="C567"/>
      <c r="D567"/>
    </row>
    <row r="568" spans="1:4" x14ac:dyDescent="0.2">
      <c r="A568"/>
      <c r="B568"/>
      <c r="C568"/>
      <c r="D568"/>
    </row>
    <row r="569" spans="1:4" x14ac:dyDescent="0.2">
      <c r="A569"/>
      <c r="B569"/>
      <c r="C569"/>
      <c r="D569"/>
    </row>
    <row r="570" spans="1:4" x14ac:dyDescent="0.2">
      <c r="A570"/>
      <c r="B570"/>
      <c r="C570"/>
      <c r="D570"/>
    </row>
    <row r="571" spans="1:4" x14ac:dyDescent="0.2">
      <c r="A571"/>
      <c r="B571"/>
      <c r="C571"/>
      <c r="D571"/>
    </row>
    <row r="572" spans="1:4" x14ac:dyDescent="0.2">
      <c r="A572"/>
      <c r="B572"/>
      <c r="C572"/>
      <c r="D572"/>
    </row>
    <row r="573" spans="1:4" x14ac:dyDescent="0.2">
      <c r="A573"/>
      <c r="B573"/>
      <c r="C573"/>
      <c r="D573"/>
    </row>
    <row r="574" spans="1:4" x14ac:dyDescent="0.2">
      <c r="A574"/>
      <c r="B574"/>
      <c r="C574"/>
      <c r="D574"/>
    </row>
    <row r="575" spans="1:4" x14ac:dyDescent="0.2">
      <c r="A575"/>
      <c r="B575"/>
      <c r="C575"/>
      <c r="D575"/>
    </row>
    <row r="576" spans="1:4" x14ac:dyDescent="0.2">
      <c r="A576"/>
      <c r="B576"/>
      <c r="C576"/>
      <c r="D576"/>
    </row>
    <row r="577" spans="1:4" x14ac:dyDescent="0.2">
      <c r="A577"/>
      <c r="B577"/>
      <c r="C577"/>
      <c r="D577"/>
    </row>
    <row r="578" spans="1:4" x14ac:dyDescent="0.2">
      <c r="A578"/>
      <c r="B578"/>
      <c r="C578"/>
      <c r="D578"/>
    </row>
    <row r="579" spans="1:4" x14ac:dyDescent="0.2">
      <c r="A579"/>
      <c r="B579"/>
      <c r="C579"/>
      <c r="D579"/>
    </row>
    <row r="580" spans="1:4" x14ac:dyDescent="0.2">
      <c r="A580"/>
      <c r="B580"/>
      <c r="C580"/>
      <c r="D580"/>
    </row>
    <row r="581" spans="1:4" x14ac:dyDescent="0.2">
      <c r="A581"/>
      <c r="B581"/>
      <c r="C581"/>
      <c r="D581"/>
    </row>
    <row r="582" spans="1:4" x14ac:dyDescent="0.2">
      <c r="A582"/>
      <c r="B582"/>
      <c r="C582"/>
      <c r="D582"/>
    </row>
    <row r="583" spans="1:4" x14ac:dyDescent="0.2">
      <c r="A583"/>
      <c r="B583"/>
      <c r="C583"/>
      <c r="D583"/>
    </row>
    <row r="584" spans="1:4" x14ac:dyDescent="0.2">
      <c r="A584"/>
      <c r="B584"/>
      <c r="C584"/>
      <c r="D584"/>
    </row>
    <row r="585" spans="1:4" x14ac:dyDescent="0.2">
      <c r="A585"/>
      <c r="B585"/>
      <c r="C585"/>
      <c r="D585"/>
    </row>
    <row r="586" spans="1:4" x14ac:dyDescent="0.2">
      <c r="A586"/>
      <c r="B586"/>
      <c r="C586"/>
      <c r="D586"/>
    </row>
    <row r="587" spans="1:4" x14ac:dyDescent="0.2">
      <c r="A587"/>
      <c r="B587"/>
      <c r="C587"/>
      <c r="D587"/>
    </row>
    <row r="588" spans="1:4" x14ac:dyDescent="0.2">
      <c r="A588"/>
      <c r="B588"/>
      <c r="C588"/>
      <c r="D588"/>
    </row>
    <row r="589" spans="1:4" x14ac:dyDescent="0.2">
      <c r="A589"/>
      <c r="B589"/>
      <c r="C589"/>
      <c r="D589"/>
    </row>
    <row r="590" spans="1:4" x14ac:dyDescent="0.2">
      <c r="A590"/>
      <c r="B590"/>
      <c r="C590"/>
      <c r="D590"/>
    </row>
    <row r="591" spans="1:4" x14ac:dyDescent="0.2">
      <c r="A591"/>
      <c r="B591"/>
      <c r="C591"/>
      <c r="D591"/>
    </row>
    <row r="592" spans="1:4" x14ac:dyDescent="0.2">
      <c r="A592"/>
      <c r="B592"/>
      <c r="C592"/>
      <c r="D592"/>
    </row>
    <row r="593" spans="1:4" x14ac:dyDescent="0.2">
      <c r="A593"/>
      <c r="B593"/>
      <c r="C593"/>
      <c r="D593"/>
    </row>
    <row r="594" spans="1:4" x14ac:dyDescent="0.2">
      <c r="A594"/>
      <c r="B594"/>
      <c r="C594"/>
      <c r="D594"/>
    </row>
    <row r="595" spans="1:4" x14ac:dyDescent="0.2">
      <c r="A595"/>
      <c r="B595"/>
      <c r="C595"/>
      <c r="D595"/>
    </row>
    <row r="596" spans="1:4" x14ac:dyDescent="0.2">
      <c r="A596"/>
      <c r="B596"/>
      <c r="C596"/>
      <c r="D596"/>
    </row>
    <row r="597" spans="1:4" x14ac:dyDescent="0.2">
      <c r="A597"/>
      <c r="B597"/>
      <c r="C597"/>
      <c r="D597"/>
    </row>
    <row r="598" spans="1:4" x14ac:dyDescent="0.2">
      <c r="A598"/>
      <c r="B598"/>
      <c r="C598"/>
      <c r="D598"/>
    </row>
    <row r="599" spans="1:4" x14ac:dyDescent="0.2">
      <c r="A599"/>
      <c r="B599"/>
      <c r="C599"/>
      <c r="D599"/>
    </row>
    <row r="600" spans="1:4" x14ac:dyDescent="0.2">
      <c r="A600"/>
      <c r="B600"/>
      <c r="C600"/>
      <c r="D600"/>
    </row>
    <row r="601" spans="1:4" x14ac:dyDescent="0.2">
      <c r="A601"/>
      <c r="B601"/>
      <c r="C601"/>
      <c r="D601"/>
    </row>
    <row r="602" spans="1:4" x14ac:dyDescent="0.2">
      <c r="A602"/>
      <c r="B602"/>
      <c r="C602"/>
      <c r="D602"/>
    </row>
    <row r="603" spans="1:4" x14ac:dyDescent="0.2">
      <c r="A603"/>
      <c r="B603"/>
      <c r="C603"/>
      <c r="D603"/>
    </row>
    <row r="604" spans="1:4" x14ac:dyDescent="0.2">
      <c r="A604"/>
      <c r="B604"/>
      <c r="C604"/>
      <c r="D604"/>
    </row>
    <row r="605" spans="1:4" x14ac:dyDescent="0.2">
      <c r="A605"/>
      <c r="B605"/>
      <c r="C605"/>
      <c r="D605"/>
    </row>
    <row r="606" spans="1:4" x14ac:dyDescent="0.2">
      <c r="A606"/>
      <c r="B606"/>
      <c r="C606"/>
      <c r="D606"/>
    </row>
    <row r="607" spans="1:4" x14ac:dyDescent="0.2">
      <c r="A607"/>
      <c r="B607"/>
      <c r="C607"/>
      <c r="D607"/>
    </row>
    <row r="608" spans="1:4" x14ac:dyDescent="0.2">
      <c r="A608"/>
      <c r="B608"/>
      <c r="C608"/>
      <c r="D608"/>
    </row>
    <row r="609" spans="1:4" x14ac:dyDescent="0.2">
      <c r="A609"/>
      <c r="B609"/>
      <c r="C609"/>
      <c r="D609"/>
    </row>
    <row r="610" spans="1:4" x14ac:dyDescent="0.2">
      <c r="A610"/>
      <c r="B610"/>
      <c r="C610"/>
      <c r="D610"/>
    </row>
    <row r="611" spans="1:4" x14ac:dyDescent="0.2">
      <c r="A611"/>
      <c r="B611"/>
      <c r="C611"/>
      <c r="D611"/>
    </row>
    <row r="612" spans="1:4" x14ac:dyDescent="0.2">
      <c r="A612"/>
      <c r="B612"/>
      <c r="C612"/>
      <c r="D612"/>
    </row>
    <row r="613" spans="1:4" x14ac:dyDescent="0.2">
      <c r="A613"/>
      <c r="B613"/>
      <c r="C613"/>
      <c r="D613"/>
    </row>
    <row r="614" spans="1:4" x14ac:dyDescent="0.2">
      <c r="A614"/>
      <c r="B614"/>
      <c r="C614"/>
      <c r="D614"/>
    </row>
    <row r="615" spans="1:4" x14ac:dyDescent="0.2">
      <c r="A615"/>
      <c r="B615"/>
      <c r="C615"/>
      <c r="D615"/>
    </row>
    <row r="616" spans="1:4" x14ac:dyDescent="0.2">
      <c r="A616"/>
      <c r="B616"/>
      <c r="C616"/>
      <c r="D616"/>
    </row>
    <row r="617" spans="1:4" x14ac:dyDescent="0.2">
      <c r="A617"/>
      <c r="B617"/>
      <c r="C617"/>
      <c r="D617"/>
    </row>
    <row r="618" spans="1:4" x14ac:dyDescent="0.2">
      <c r="A618"/>
      <c r="B618"/>
      <c r="C618"/>
      <c r="D618"/>
    </row>
    <row r="619" spans="1:4" x14ac:dyDescent="0.2">
      <c r="A619"/>
      <c r="B619"/>
      <c r="C619"/>
      <c r="D619"/>
    </row>
    <row r="620" spans="1:4" x14ac:dyDescent="0.2">
      <c r="A620"/>
      <c r="B620"/>
      <c r="C620"/>
      <c r="D620"/>
    </row>
    <row r="621" spans="1:4" x14ac:dyDescent="0.2">
      <c r="A621"/>
      <c r="B621"/>
      <c r="C621"/>
      <c r="D621"/>
    </row>
    <row r="622" spans="1:4" x14ac:dyDescent="0.2">
      <c r="A622"/>
      <c r="B622"/>
      <c r="C622"/>
      <c r="D622"/>
    </row>
    <row r="623" spans="1:4" x14ac:dyDescent="0.2">
      <c r="A623"/>
      <c r="B623"/>
      <c r="C623"/>
      <c r="D623"/>
    </row>
    <row r="624" spans="1:4" x14ac:dyDescent="0.2">
      <c r="A624"/>
      <c r="B624"/>
      <c r="C624"/>
      <c r="D624"/>
    </row>
    <row r="625" spans="1:4" x14ac:dyDescent="0.2">
      <c r="A625"/>
      <c r="B625"/>
      <c r="C625"/>
      <c r="D625"/>
    </row>
    <row r="626" spans="1:4" x14ac:dyDescent="0.2">
      <c r="A626"/>
      <c r="B626"/>
      <c r="C626"/>
      <c r="D626"/>
    </row>
    <row r="627" spans="1:4" x14ac:dyDescent="0.2">
      <c r="A627"/>
      <c r="B627"/>
      <c r="C627"/>
      <c r="D627"/>
    </row>
    <row r="628" spans="1:4" x14ac:dyDescent="0.2">
      <c r="A628"/>
      <c r="B628"/>
      <c r="C628"/>
      <c r="D628"/>
    </row>
    <row r="629" spans="1:4" x14ac:dyDescent="0.2">
      <c r="A629"/>
      <c r="B629"/>
      <c r="C629"/>
      <c r="D629"/>
    </row>
    <row r="630" spans="1:4" x14ac:dyDescent="0.2">
      <c r="A630"/>
      <c r="B630"/>
      <c r="C630"/>
      <c r="D630"/>
    </row>
    <row r="631" spans="1:4" x14ac:dyDescent="0.2">
      <c r="A631"/>
      <c r="B631"/>
      <c r="C631"/>
      <c r="D631"/>
    </row>
    <row r="632" spans="1:4" x14ac:dyDescent="0.2">
      <c r="A632"/>
      <c r="B632"/>
      <c r="C632"/>
      <c r="D632"/>
    </row>
    <row r="633" spans="1:4" x14ac:dyDescent="0.2">
      <c r="A633"/>
      <c r="B633"/>
      <c r="C633"/>
      <c r="D633"/>
    </row>
    <row r="634" spans="1:4" x14ac:dyDescent="0.2">
      <c r="A634"/>
      <c r="B634"/>
      <c r="C634"/>
      <c r="D634"/>
    </row>
    <row r="635" spans="1:4" x14ac:dyDescent="0.2">
      <c r="A635"/>
      <c r="B635"/>
      <c r="C635"/>
      <c r="D635"/>
    </row>
    <row r="636" spans="1:4" x14ac:dyDescent="0.2">
      <c r="A636"/>
      <c r="B636"/>
      <c r="C636"/>
      <c r="D636"/>
    </row>
    <row r="637" spans="1:4" x14ac:dyDescent="0.2">
      <c r="A637"/>
      <c r="B637"/>
      <c r="C637"/>
      <c r="D637"/>
    </row>
    <row r="638" spans="1:4" x14ac:dyDescent="0.2">
      <c r="A638"/>
      <c r="B638"/>
      <c r="C638"/>
      <c r="D638"/>
    </row>
    <row r="639" spans="1:4" x14ac:dyDescent="0.2">
      <c r="A639"/>
      <c r="B639"/>
      <c r="C639"/>
      <c r="D639"/>
    </row>
    <row r="640" spans="1:4" x14ac:dyDescent="0.2">
      <c r="A640"/>
      <c r="B640"/>
      <c r="C640"/>
      <c r="D640"/>
    </row>
    <row r="641" spans="1:4" x14ac:dyDescent="0.2">
      <c r="A641"/>
      <c r="B641"/>
      <c r="C641"/>
      <c r="D641"/>
    </row>
    <row r="642" spans="1:4" x14ac:dyDescent="0.2">
      <c r="A642"/>
      <c r="B642"/>
      <c r="C642"/>
      <c r="D642"/>
    </row>
    <row r="643" spans="1:4" x14ac:dyDescent="0.2">
      <c r="A643"/>
      <c r="B643"/>
      <c r="C643"/>
      <c r="D643"/>
    </row>
    <row r="644" spans="1:4" x14ac:dyDescent="0.2">
      <c r="A644"/>
      <c r="B644"/>
      <c r="C644"/>
      <c r="D644"/>
    </row>
    <row r="645" spans="1:4" x14ac:dyDescent="0.2">
      <c r="A645"/>
      <c r="B645"/>
      <c r="C645"/>
      <c r="D645"/>
    </row>
    <row r="646" spans="1:4" x14ac:dyDescent="0.2">
      <c r="A646"/>
      <c r="B646"/>
      <c r="C646"/>
      <c r="D646"/>
    </row>
    <row r="647" spans="1:4" x14ac:dyDescent="0.2">
      <c r="A647"/>
      <c r="B647"/>
      <c r="C647"/>
      <c r="D647"/>
    </row>
    <row r="648" spans="1:4" x14ac:dyDescent="0.2">
      <c r="A648"/>
      <c r="B648"/>
      <c r="C648"/>
      <c r="D648"/>
    </row>
    <row r="649" spans="1:4" x14ac:dyDescent="0.2">
      <c r="A649"/>
      <c r="B649"/>
      <c r="C649"/>
      <c r="D649"/>
    </row>
    <row r="650" spans="1:4" x14ac:dyDescent="0.2">
      <c r="A650"/>
      <c r="B650"/>
      <c r="C650"/>
      <c r="D650"/>
    </row>
    <row r="651" spans="1:4" x14ac:dyDescent="0.2">
      <c r="A651"/>
      <c r="B651"/>
      <c r="C651"/>
      <c r="D651"/>
    </row>
    <row r="652" spans="1:4" x14ac:dyDescent="0.2">
      <c r="A652"/>
      <c r="B652"/>
      <c r="C652"/>
      <c r="D652"/>
    </row>
    <row r="653" spans="1:4" x14ac:dyDescent="0.2">
      <c r="A653"/>
      <c r="B653"/>
      <c r="C653"/>
      <c r="D653"/>
    </row>
    <row r="654" spans="1:4" x14ac:dyDescent="0.2">
      <c r="A654"/>
      <c r="B654"/>
      <c r="C654"/>
      <c r="D654"/>
    </row>
    <row r="655" spans="1:4" x14ac:dyDescent="0.2">
      <c r="A655"/>
      <c r="B655"/>
      <c r="C655"/>
      <c r="D655"/>
    </row>
    <row r="656" spans="1:4" x14ac:dyDescent="0.2">
      <c r="A656"/>
      <c r="B656"/>
      <c r="C656"/>
      <c r="D656"/>
    </row>
    <row r="657" spans="1:4" x14ac:dyDescent="0.2">
      <c r="A657"/>
      <c r="B657"/>
      <c r="C657"/>
      <c r="D657"/>
    </row>
    <row r="658" spans="1:4" x14ac:dyDescent="0.2">
      <c r="A658"/>
      <c r="B658"/>
      <c r="C658"/>
      <c r="D658"/>
    </row>
    <row r="659" spans="1:4" x14ac:dyDescent="0.2">
      <c r="A659"/>
      <c r="B659"/>
      <c r="C659"/>
      <c r="D659"/>
    </row>
    <row r="660" spans="1:4" x14ac:dyDescent="0.2">
      <c r="A660"/>
      <c r="B660"/>
      <c r="C660"/>
      <c r="D660"/>
    </row>
    <row r="661" spans="1:4" x14ac:dyDescent="0.2">
      <c r="A661"/>
      <c r="B661"/>
      <c r="C661"/>
      <c r="D661"/>
    </row>
    <row r="662" spans="1:4" x14ac:dyDescent="0.2">
      <c r="A662"/>
      <c r="B662"/>
      <c r="C662"/>
      <c r="D662"/>
    </row>
    <row r="663" spans="1:4" x14ac:dyDescent="0.2">
      <c r="A663"/>
      <c r="B663"/>
      <c r="C663"/>
      <c r="D663"/>
    </row>
    <row r="664" spans="1:4" x14ac:dyDescent="0.2">
      <c r="A664"/>
      <c r="B664"/>
      <c r="C664"/>
      <c r="D664"/>
    </row>
    <row r="665" spans="1:4" x14ac:dyDescent="0.2">
      <c r="A665"/>
      <c r="B665"/>
      <c r="C665"/>
      <c r="D665"/>
    </row>
    <row r="666" spans="1:4" x14ac:dyDescent="0.2">
      <c r="A666"/>
      <c r="B666"/>
      <c r="C666"/>
      <c r="D666"/>
    </row>
    <row r="667" spans="1:4" x14ac:dyDescent="0.2">
      <c r="A667"/>
      <c r="B667"/>
      <c r="C667"/>
      <c r="D667"/>
    </row>
    <row r="668" spans="1:4" x14ac:dyDescent="0.2">
      <c r="A668"/>
      <c r="B668"/>
      <c r="C668"/>
      <c r="D668"/>
    </row>
    <row r="669" spans="1:4" x14ac:dyDescent="0.2">
      <c r="A669"/>
      <c r="B669"/>
      <c r="C669"/>
      <c r="D669"/>
    </row>
    <row r="670" spans="1:4" x14ac:dyDescent="0.2">
      <c r="A670"/>
      <c r="B670"/>
      <c r="C670"/>
      <c r="D670"/>
    </row>
    <row r="671" spans="1:4" x14ac:dyDescent="0.2">
      <c r="A671"/>
      <c r="B671"/>
      <c r="C671"/>
      <c r="D671"/>
    </row>
    <row r="672" spans="1:4" x14ac:dyDescent="0.2">
      <c r="A672"/>
      <c r="B672"/>
      <c r="C672"/>
      <c r="D672"/>
    </row>
    <row r="673" spans="1:4" x14ac:dyDescent="0.2">
      <c r="A673"/>
      <c r="B673"/>
      <c r="C673"/>
      <c r="D673"/>
    </row>
    <row r="674" spans="1:4" x14ac:dyDescent="0.2">
      <c r="A674"/>
      <c r="B674"/>
      <c r="C674"/>
      <c r="D674"/>
    </row>
    <row r="675" spans="1:4" x14ac:dyDescent="0.2">
      <c r="A675"/>
      <c r="B675"/>
      <c r="C675"/>
      <c r="D675"/>
    </row>
    <row r="676" spans="1:4" x14ac:dyDescent="0.2">
      <c r="A676"/>
      <c r="B676"/>
      <c r="C676"/>
      <c r="D676"/>
    </row>
    <row r="677" spans="1:4" x14ac:dyDescent="0.2">
      <c r="A677"/>
      <c r="B677"/>
      <c r="C677"/>
      <c r="D677"/>
    </row>
    <row r="678" spans="1:4" x14ac:dyDescent="0.2">
      <c r="A678"/>
      <c r="B678"/>
      <c r="C678"/>
      <c r="D678"/>
    </row>
    <row r="679" spans="1:4" x14ac:dyDescent="0.2">
      <c r="A679"/>
      <c r="B679"/>
      <c r="C679"/>
      <c r="D679"/>
    </row>
    <row r="680" spans="1:4" x14ac:dyDescent="0.2">
      <c r="A680"/>
      <c r="B680"/>
      <c r="C680"/>
      <c r="D680"/>
    </row>
    <row r="681" spans="1:4" x14ac:dyDescent="0.2">
      <c r="A681"/>
      <c r="B681"/>
      <c r="C681"/>
      <c r="D681"/>
    </row>
    <row r="682" spans="1:4" x14ac:dyDescent="0.2">
      <c r="A682"/>
      <c r="B682"/>
      <c r="C682"/>
      <c r="D682"/>
    </row>
    <row r="683" spans="1:4" x14ac:dyDescent="0.2">
      <c r="A683"/>
      <c r="B683"/>
      <c r="C683"/>
      <c r="D683"/>
    </row>
    <row r="684" spans="1:4" x14ac:dyDescent="0.2">
      <c r="A684"/>
      <c r="B684"/>
      <c r="C684"/>
      <c r="D684"/>
    </row>
    <row r="685" spans="1:4" x14ac:dyDescent="0.2">
      <c r="A685"/>
      <c r="B685"/>
      <c r="C685"/>
      <c r="D685"/>
    </row>
    <row r="686" spans="1:4" x14ac:dyDescent="0.2">
      <c r="A686"/>
      <c r="B686"/>
      <c r="C686"/>
      <c r="D686"/>
    </row>
    <row r="687" spans="1:4" x14ac:dyDescent="0.2">
      <c r="A687"/>
      <c r="B687"/>
      <c r="C687"/>
      <c r="D687"/>
    </row>
    <row r="688" spans="1:4" x14ac:dyDescent="0.2">
      <c r="A688"/>
      <c r="B688"/>
      <c r="C688"/>
      <c r="D688"/>
    </row>
    <row r="689" spans="1:4" x14ac:dyDescent="0.2">
      <c r="A689"/>
      <c r="B689"/>
      <c r="C689"/>
      <c r="D689"/>
    </row>
    <row r="690" spans="1:4" x14ac:dyDescent="0.2">
      <c r="A690"/>
      <c r="B690"/>
      <c r="C690"/>
      <c r="D690"/>
    </row>
    <row r="691" spans="1:4" x14ac:dyDescent="0.2">
      <c r="A691"/>
      <c r="B691"/>
      <c r="C691"/>
      <c r="D691"/>
    </row>
    <row r="692" spans="1:4" x14ac:dyDescent="0.2">
      <c r="A692"/>
      <c r="B692"/>
      <c r="C692"/>
      <c r="D692"/>
    </row>
    <row r="693" spans="1:4" x14ac:dyDescent="0.2">
      <c r="A693"/>
      <c r="B693"/>
      <c r="C693"/>
      <c r="D693"/>
    </row>
    <row r="694" spans="1:4" x14ac:dyDescent="0.2">
      <c r="A694"/>
      <c r="B694"/>
      <c r="C694"/>
      <c r="D694"/>
    </row>
    <row r="695" spans="1:4" x14ac:dyDescent="0.2">
      <c r="A695"/>
      <c r="B695"/>
      <c r="C695"/>
      <c r="D695"/>
    </row>
    <row r="696" spans="1:4" x14ac:dyDescent="0.2">
      <c r="A696"/>
      <c r="B696"/>
      <c r="C696"/>
      <c r="D696"/>
    </row>
    <row r="697" spans="1:4" x14ac:dyDescent="0.2">
      <c r="A697"/>
      <c r="B697"/>
      <c r="C697"/>
      <c r="D697"/>
    </row>
    <row r="698" spans="1:4" x14ac:dyDescent="0.2">
      <c r="A698"/>
      <c r="B698"/>
      <c r="C698"/>
      <c r="D698"/>
    </row>
    <row r="699" spans="1:4" x14ac:dyDescent="0.2">
      <c r="A699"/>
      <c r="B699"/>
      <c r="C699"/>
      <c r="D699"/>
    </row>
    <row r="700" spans="1:4" x14ac:dyDescent="0.2">
      <c r="A700"/>
      <c r="B700"/>
      <c r="C700"/>
      <c r="D700"/>
    </row>
    <row r="701" spans="1:4" x14ac:dyDescent="0.2">
      <c r="A701"/>
      <c r="B701"/>
      <c r="C701"/>
      <c r="D701"/>
    </row>
    <row r="702" spans="1:4" x14ac:dyDescent="0.2">
      <c r="A702"/>
      <c r="B702"/>
      <c r="C702"/>
      <c r="D702"/>
    </row>
    <row r="703" spans="1:4" x14ac:dyDescent="0.2">
      <c r="A703"/>
      <c r="B703"/>
      <c r="C703"/>
      <c r="D703"/>
    </row>
    <row r="704" spans="1:4" x14ac:dyDescent="0.2">
      <c r="A704"/>
      <c r="B704"/>
      <c r="C704"/>
      <c r="D704"/>
    </row>
    <row r="705" spans="1:4" x14ac:dyDescent="0.2">
      <c r="A705"/>
      <c r="B705"/>
      <c r="C705"/>
      <c r="D705"/>
    </row>
    <row r="706" spans="1:4" x14ac:dyDescent="0.2">
      <c r="A706"/>
      <c r="B706"/>
      <c r="C706"/>
      <c r="D706"/>
    </row>
    <row r="707" spans="1:4" x14ac:dyDescent="0.2">
      <c r="A707"/>
      <c r="B707"/>
      <c r="C707"/>
      <c r="D707"/>
    </row>
    <row r="708" spans="1:4" x14ac:dyDescent="0.2">
      <c r="A708"/>
      <c r="B708"/>
      <c r="C708"/>
      <c r="D708"/>
    </row>
    <row r="709" spans="1:4" x14ac:dyDescent="0.2">
      <c r="A709"/>
      <c r="B709"/>
      <c r="C709"/>
      <c r="D709"/>
    </row>
    <row r="710" spans="1:4" x14ac:dyDescent="0.2">
      <c r="A710"/>
      <c r="B710"/>
      <c r="C710"/>
      <c r="D710"/>
    </row>
    <row r="711" spans="1:4" x14ac:dyDescent="0.2">
      <c r="A711"/>
      <c r="B711"/>
      <c r="C711"/>
      <c r="D711"/>
    </row>
    <row r="712" spans="1:4" x14ac:dyDescent="0.2">
      <c r="A712"/>
      <c r="B712"/>
      <c r="C712"/>
      <c r="D712"/>
    </row>
    <row r="713" spans="1:4" x14ac:dyDescent="0.2">
      <c r="A713"/>
      <c r="B713"/>
      <c r="C713"/>
      <c r="D713"/>
    </row>
    <row r="714" spans="1:4" x14ac:dyDescent="0.2">
      <c r="A714"/>
      <c r="B714"/>
      <c r="C714"/>
      <c r="D714"/>
    </row>
    <row r="715" spans="1:4" x14ac:dyDescent="0.2">
      <c r="A715"/>
      <c r="B715"/>
      <c r="C715"/>
      <c r="D715"/>
    </row>
    <row r="716" spans="1:4" x14ac:dyDescent="0.2">
      <c r="A716"/>
      <c r="B716"/>
      <c r="C716"/>
      <c r="D716"/>
    </row>
    <row r="717" spans="1:4" x14ac:dyDescent="0.2">
      <c r="A717"/>
      <c r="B717"/>
      <c r="C717"/>
      <c r="D717"/>
    </row>
    <row r="718" spans="1:4" x14ac:dyDescent="0.2">
      <c r="A718"/>
      <c r="B718"/>
      <c r="C718"/>
      <c r="D718"/>
    </row>
    <row r="719" spans="1:4" x14ac:dyDescent="0.2">
      <c r="A719"/>
      <c r="B719"/>
      <c r="C719"/>
      <c r="D719"/>
    </row>
    <row r="720" spans="1:4" x14ac:dyDescent="0.2">
      <c r="A720"/>
      <c r="B720"/>
      <c r="C720"/>
      <c r="D720"/>
    </row>
    <row r="721" spans="1:4" x14ac:dyDescent="0.2">
      <c r="A721"/>
      <c r="B721"/>
      <c r="C721"/>
      <c r="D721"/>
    </row>
    <row r="722" spans="1:4" x14ac:dyDescent="0.2">
      <c r="A722"/>
      <c r="B722"/>
      <c r="C722"/>
      <c r="D722"/>
    </row>
    <row r="723" spans="1:4" x14ac:dyDescent="0.2">
      <c r="A723"/>
      <c r="B723"/>
      <c r="C723"/>
      <c r="D723"/>
    </row>
    <row r="724" spans="1:4" x14ac:dyDescent="0.2">
      <c r="A724"/>
      <c r="B724"/>
      <c r="C724"/>
      <c r="D724"/>
    </row>
    <row r="725" spans="1:4" x14ac:dyDescent="0.2">
      <c r="A725"/>
      <c r="B725"/>
      <c r="C725"/>
      <c r="D725"/>
    </row>
    <row r="726" spans="1:4" x14ac:dyDescent="0.2">
      <c r="A726"/>
      <c r="B726"/>
      <c r="C726"/>
      <c r="D726"/>
    </row>
    <row r="727" spans="1:4" x14ac:dyDescent="0.2">
      <c r="A727"/>
      <c r="B727"/>
      <c r="C727"/>
      <c r="D727"/>
    </row>
    <row r="728" spans="1:4" x14ac:dyDescent="0.2">
      <c r="A728"/>
      <c r="B728"/>
      <c r="C728"/>
      <c r="D728"/>
    </row>
    <row r="729" spans="1:4" x14ac:dyDescent="0.2">
      <c r="A729"/>
      <c r="B729"/>
      <c r="C729"/>
      <c r="D729"/>
    </row>
    <row r="730" spans="1:4" x14ac:dyDescent="0.2">
      <c r="A730"/>
      <c r="B730"/>
      <c r="C730"/>
      <c r="D730"/>
    </row>
    <row r="731" spans="1:4" x14ac:dyDescent="0.2">
      <c r="A731"/>
      <c r="B731"/>
      <c r="C731"/>
      <c r="D731"/>
    </row>
    <row r="732" spans="1:4" x14ac:dyDescent="0.2">
      <c r="A732"/>
      <c r="B732"/>
      <c r="C732"/>
      <c r="D732"/>
    </row>
    <row r="733" spans="1:4" x14ac:dyDescent="0.2">
      <c r="A733"/>
      <c r="B733"/>
      <c r="C733"/>
      <c r="D733"/>
    </row>
    <row r="734" spans="1:4" x14ac:dyDescent="0.2">
      <c r="A734"/>
      <c r="B734"/>
      <c r="C734"/>
      <c r="D734"/>
    </row>
    <row r="735" spans="1:4" x14ac:dyDescent="0.2">
      <c r="A735"/>
      <c r="B735"/>
      <c r="C735"/>
      <c r="D735"/>
    </row>
    <row r="736" spans="1:4" x14ac:dyDescent="0.2">
      <c r="A736"/>
      <c r="B736"/>
      <c r="C736"/>
      <c r="D736"/>
    </row>
    <row r="737" spans="1:4" x14ac:dyDescent="0.2">
      <c r="A737"/>
      <c r="B737"/>
      <c r="C737"/>
      <c r="D737"/>
    </row>
    <row r="738" spans="1:4" x14ac:dyDescent="0.2">
      <c r="A738"/>
      <c r="B738"/>
      <c r="C738"/>
      <c r="D738"/>
    </row>
    <row r="739" spans="1:4" x14ac:dyDescent="0.2">
      <c r="A739"/>
      <c r="B739"/>
      <c r="C739"/>
      <c r="D739"/>
    </row>
    <row r="740" spans="1:4" x14ac:dyDescent="0.2">
      <c r="A740"/>
      <c r="B740"/>
      <c r="C740"/>
      <c r="D740"/>
    </row>
    <row r="741" spans="1:4" x14ac:dyDescent="0.2">
      <c r="A741"/>
      <c r="B741"/>
      <c r="C741"/>
      <c r="D741"/>
    </row>
    <row r="742" spans="1:4" x14ac:dyDescent="0.2">
      <c r="A742"/>
      <c r="B742"/>
      <c r="C742"/>
      <c r="D742"/>
    </row>
    <row r="743" spans="1:4" x14ac:dyDescent="0.2">
      <c r="A743"/>
      <c r="B743"/>
      <c r="C743"/>
      <c r="D743"/>
    </row>
    <row r="744" spans="1:4" x14ac:dyDescent="0.2">
      <c r="A744"/>
      <c r="B744"/>
      <c r="C744"/>
      <c r="D744"/>
    </row>
    <row r="745" spans="1:4" x14ac:dyDescent="0.2">
      <c r="A745"/>
      <c r="B745"/>
      <c r="C745"/>
      <c r="D745"/>
    </row>
    <row r="746" spans="1:4" x14ac:dyDescent="0.2">
      <c r="A746"/>
      <c r="B746"/>
      <c r="C746"/>
      <c r="D746"/>
    </row>
    <row r="747" spans="1:4" x14ac:dyDescent="0.2">
      <c r="A747"/>
      <c r="B747"/>
      <c r="C747"/>
      <c r="D747"/>
    </row>
    <row r="748" spans="1:4" x14ac:dyDescent="0.2">
      <c r="A748"/>
      <c r="B748"/>
      <c r="C748"/>
      <c r="D748"/>
    </row>
    <row r="749" spans="1:4" x14ac:dyDescent="0.2">
      <c r="A749"/>
      <c r="B749"/>
      <c r="C749"/>
      <c r="D749"/>
    </row>
    <row r="750" spans="1:4" x14ac:dyDescent="0.2">
      <c r="A750"/>
      <c r="B750"/>
      <c r="C750"/>
      <c r="D750"/>
    </row>
    <row r="751" spans="1:4" x14ac:dyDescent="0.2">
      <c r="A751"/>
      <c r="B751"/>
      <c r="C751"/>
      <c r="D751"/>
    </row>
    <row r="752" spans="1:4" x14ac:dyDescent="0.2">
      <c r="A752"/>
      <c r="B752"/>
      <c r="C752"/>
      <c r="D752"/>
    </row>
    <row r="753" spans="1:4" x14ac:dyDescent="0.2">
      <c r="A753"/>
      <c r="B753"/>
      <c r="C753"/>
      <c r="D753"/>
    </row>
    <row r="754" spans="1:4" x14ac:dyDescent="0.2">
      <c r="A754"/>
      <c r="B754"/>
      <c r="C754"/>
      <c r="D754"/>
    </row>
    <row r="755" spans="1:4" x14ac:dyDescent="0.2">
      <c r="A755"/>
      <c r="B755"/>
      <c r="C755"/>
      <c r="D755"/>
    </row>
    <row r="756" spans="1:4" x14ac:dyDescent="0.2">
      <c r="A756"/>
      <c r="B756"/>
      <c r="C756"/>
      <c r="D756"/>
    </row>
    <row r="757" spans="1:4" x14ac:dyDescent="0.2">
      <c r="A757"/>
      <c r="B757"/>
      <c r="C757"/>
      <c r="D757"/>
    </row>
    <row r="758" spans="1:4" x14ac:dyDescent="0.2">
      <c r="A758"/>
      <c r="B758"/>
      <c r="C758"/>
      <c r="D758"/>
    </row>
    <row r="759" spans="1:4" x14ac:dyDescent="0.2">
      <c r="A759"/>
      <c r="B759"/>
      <c r="C759"/>
      <c r="D759"/>
    </row>
    <row r="760" spans="1:4" x14ac:dyDescent="0.2">
      <c r="A760"/>
      <c r="B760"/>
      <c r="C760"/>
      <c r="D760"/>
    </row>
    <row r="761" spans="1:4" x14ac:dyDescent="0.2">
      <c r="A761"/>
      <c r="B761"/>
      <c r="C761"/>
      <c r="D761"/>
    </row>
    <row r="762" spans="1:4" x14ac:dyDescent="0.2">
      <c r="A762"/>
      <c r="B762"/>
      <c r="C762"/>
      <c r="D762"/>
    </row>
    <row r="763" spans="1:4" x14ac:dyDescent="0.2">
      <c r="A763"/>
      <c r="B763"/>
      <c r="C763"/>
      <c r="D763"/>
    </row>
    <row r="764" spans="1:4" x14ac:dyDescent="0.2">
      <c r="A764"/>
      <c r="B764"/>
      <c r="C764"/>
      <c r="D764"/>
    </row>
    <row r="765" spans="1:4" x14ac:dyDescent="0.2">
      <c r="A765"/>
      <c r="B765"/>
      <c r="C765"/>
      <c r="D765"/>
    </row>
    <row r="766" spans="1:4" x14ac:dyDescent="0.2">
      <c r="A766"/>
      <c r="B766"/>
      <c r="C766"/>
      <c r="D766"/>
    </row>
    <row r="767" spans="1:4" x14ac:dyDescent="0.2">
      <c r="A767"/>
      <c r="B767"/>
      <c r="C767"/>
      <c r="D767"/>
    </row>
    <row r="768" spans="1:4" x14ac:dyDescent="0.2">
      <c r="A768"/>
      <c r="B768"/>
      <c r="C768"/>
      <c r="D768"/>
    </row>
    <row r="769" spans="1:4" x14ac:dyDescent="0.2">
      <c r="A769"/>
      <c r="B769"/>
      <c r="C769"/>
      <c r="D769"/>
    </row>
    <row r="770" spans="1:4" x14ac:dyDescent="0.2">
      <c r="A770"/>
      <c r="B770"/>
      <c r="C770"/>
      <c r="D770"/>
    </row>
    <row r="771" spans="1:4" x14ac:dyDescent="0.2">
      <c r="A771"/>
      <c r="B771"/>
      <c r="C771"/>
      <c r="D771"/>
    </row>
    <row r="772" spans="1:4" x14ac:dyDescent="0.2">
      <c r="A772"/>
      <c r="B772"/>
      <c r="C772"/>
      <c r="D772"/>
    </row>
    <row r="773" spans="1:4" x14ac:dyDescent="0.2">
      <c r="A773"/>
      <c r="B773"/>
      <c r="C773"/>
      <c r="D773"/>
    </row>
    <row r="774" spans="1:4" x14ac:dyDescent="0.2">
      <c r="A774"/>
      <c r="B774"/>
      <c r="C774"/>
      <c r="D774"/>
    </row>
    <row r="775" spans="1:4" x14ac:dyDescent="0.2">
      <c r="A775"/>
      <c r="B775"/>
      <c r="C775"/>
      <c r="D775"/>
    </row>
    <row r="776" spans="1:4" x14ac:dyDescent="0.2">
      <c r="A776"/>
      <c r="B776"/>
      <c r="C776"/>
      <c r="D776"/>
    </row>
    <row r="777" spans="1:4" x14ac:dyDescent="0.2">
      <c r="A777"/>
      <c r="B777"/>
      <c r="C777"/>
      <c r="D777"/>
    </row>
    <row r="778" spans="1:4" x14ac:dyDescent="0.2">
      <c r="A778"/>
      <c r="B778"/>
      <c r="C778"/>
      <c r="D778"/>
    </row>
    <row r="779" spans="1:4" x14ac:dyDescent="0.2">
      <c r="A779"/>
      <c r="B779"/>
      <c r="C779"/>
      <c r="D779"/>
    </row>
    <row r="780" spans="1:4" x14ac:dyDescent="0.2">
      <c r="A780"/>
      <c r="B780"/>
      <c r="C780"/>
      <c r="D780"/>
    </row>
    <row r="781" spans="1:4" x14ac:dyDescent="0.2">
      <c r="A781"/>
      <c r="B781"/>
      <c r="C781"/>
      <c r="D781"/>
    </row>
    <row r="782" spans="1:4" x14ac:dyDescent="0.2">
      <c r="A782"/>
      <c r="B782"/>
      <c r="C782"/>
      <c r="D782"/>
    </row>
    <row r="783" spans="1:4" x14ac:dyDescent="0.2">
      <c r="A783"/>
      <c r="B783"/>
      <c r="C783"/>
      <c r="D783"/>
    </row>
    <row r="784" spans="1:4" x14ac:dyDescent="0.2">
      <c r="A784"/>
      <c r="B784"/>
      <c r="C784"/>
      <c r="D784"/>
    </row>
    <row r="785" spans="1:4" x14ac:dyDescent="0.2">
      <c r="A785"/>
      <c r="B785"/>
      <c r="C785"/>
      <c r="D785"/>
    </row>
    <row r="786" spans="1:4" x14ac:dyDescent="0.2">
      <c r="A786"/>
      <c r="B786"/>
      <c r="C786"/>
      <c r="D786"/>
    </row>
    <row r="787" spans="1:4" x14ac:dyDescent="0.2">
      <c r="A787"/>
      <c r="B787"/>
      <c r="C787"/>
      <c r="D787"/>
    </row>
    <row r="788" spans="1:4" x14ac:dyDescent="0.2">
      <c r="A788"/>
      <c r="B788"/>
      <c r="C788"/>
      <c r="D788"/>
    </row>
    <row r="789" spans="1:4" x14ac:dyDescent="0.2">
      <c r="A789"/>
      <c r="B789"/>
      <c r="C789"/>
      <c r="D789"/>
    </row>
    <row r="790" spans="1:4" x14ac:dyDescent="0.2">
      <c r="A790"/>
      <c r="B790"/>
      <c r="C790"/>
      <c r="D790"/>
    </row>
    <row r="791" spans="1:4" x14ac:dyDescent="0.2">
      <c r="A791"/>
      <c r="B791"/>
      <c r="C791"/>
      <c r="D791"/>
    </row>
    <row r="792" spans="1:4" x14ac:dyDescent="0.2">
      <c r="A792"/>
      <c r="B792"/>
      <c r="C792"/>
      <c r="D792"/>
    </row>
    <row r="793" spans="1:4" x14ac:dyDescent="0.2">
      <c r="A793"/>
      <c r="B793"/>
      <c r="C793"/>
      <c r="D793"/>
    </row>
    <row r="794" spans="1:4" x14ac:dyDescent="0.2">
      <c r="A794"/>
      <c r="B794"/>
      <c r="C794"/>
      <c r="D794"/>
    </row>
    <row r="795" spans="1:4" x14ac:dyDescent="0.2">
      <c r="A795"/>
      <c r="B795"/>
      <c r="C795"/>
      <c r="D795"/>
    </row>
    <row r="796" spans="1:4" x14ac:dyDescent="0.2">
      <c r="A796"/>
      <c r="B796"/>
      <c r="C796"/>
      <c r="D796"/>
    </row>
    <row r="797" spans="1:4" x14ac:dyDescent="0.2">
      <c r="A797"/>
      <c r="B797"/>
      <c r="C797"/>
      <c r="D797"/>
    </row>
    <row r="798" spans="1:4" x14ac:dyDescent="0.2">
      <c r="A798"/>
      <c r="B798"/>
      <c r="C798"/>
      <c r="D798"/>
    </row>
    <row r="799" spans="1:4" x14ac:dyDescent="0.2">
      <c r="A799"/>
      <c r="B799"/>
      <c r="C799"/>
      <c r="D799"/>
    </row>
    <row r="800" spans="1:4" x14ac:dyDescent="0.2">
      <c r="A800"/>
      <c r="B800"/>
      <c r="C800"/>
      <c r="D800"/>
    </row>
    <row r="801" spans="1:4" x14ac:dyDescent="0.2">
      <c r="A801"/>
      <c r="B801"/>
      <c r="C801"/>
      <c r="D801"/>
    </row>
    <row r="802" spans="1:4" x14ac:dyDescent="0.2">
      <c r="A802"/>
      <c r="B802"/>
      <c r="C802"/>
      <c r="D802"/>
    </row>
    <row r="803" spans="1:4" x14ac:dyDescent="0.2">
      <c r="A803"/>
      <c r="B803"/>
      <c r="C803"/>
      <c r="D803"/>
    </row>
    <row r="804" spans="1:4" x14ac:dyDescent="0.2">
      <c r="A804"/>
      <c r="B804"/>
      <c r="C804"/>
      <c r="D804"/>
    </row>
    <row r="805" spans="1:4" x14ac:dyDescent="0.2">
      <c r="A805"/>
      <c r="B805"/>
      <c r="C805"/>
      <c r="D805"/>
    </row>
    <row r="806" spans="1:4" x14ac:dyDescent="0.2">
      <c r="A806"/>
      <c r="B806"/>
      <c r="C806"/>
      <c r="D806"/>
    </row>
    <row r="807" spans="1:4" x14ac:dyDescent="0.2">
      <c r="A807"/>
      <c r="B807"/>
      <c r="C807"/>
      <c r="D807"/>
    </row>
    <row r="808" spans="1:4" x14ac:dyDescent="0.2">
      <c r="A808"/>
      <c r="B808"/>
      <c r="C808"/>
      <c r="D808"/>
    </row>
    <row r="809" spans="1:4" x14ac:dyDescent="0.2">
      <c r="A809"/>
      <c r="B809"/>
      <c r="C809"/>
      <c r="D809"/>
    </row>
    <row r="810" spans="1:4" x14ac:dyDescent="0.2">
      <c r="A810"/>
      <c r="B810"/>
      <c r="C810"/>
      <c r="D810"/>
    </row>
    <row r="811" spans="1:4" x14ac:dyDescent="0.2">
      <c r="A811"/>
      <c r="B811"/>
      <c r="C811"/>
      <c r="D811"/>
    </row>
    <row r="812" spans="1:4" x14ac:dyDescent="0.2">
      <c r="A812"/>
      <c r="B812"/>
      <c r="C812"/>
      <c r="D812"/>
    </row>
    <row r="813" spans="1:4" x14ac:dyDescent="0.2">
      <c r="A813"/>
      <c r="B813"/>
      <c r="C813"/>
      <c r="D813"/>
    </row>
    <row r="814" spans="1:4" x14ac:dyDescent="0.2">
      <c r="A814"/>
      <c r="B814"/>
      <c r="C814"/>
      <c r="D814"/>
    </row>
    <row r="815" spans="1:4" x14ac:dyDescent="0.2">
      <c r="A815"/>
      <c r="B815"/>
      <c r="C815"/>
      <c r="D815"/>
    </row>
    <row r="816" spans="1:4" x14ac:dyDescent="0.2">
      <c r="A816"/>
      <c r="B816"/>
      <c r="C816"/>
      <c r="D816"/>
    </row>
    <row r="817" spans="14:14" customFormat="1" x14ac:dyDescent="0.2">
      <c r="N817" s="116"/>
    </row>
    <row r="818" spans="14:14" customFormat="1" x14ac:dyDescent="0.2">
      <c r="N818" s="116"/>
    </row>
    <row r="819" spans="14:14" customFormat="1" x14ac:dyDescent="0.2">
      <c r="N819" s="116"/>
    </row>
    <row r="820" spans="14:14" customFormat="1" x14ac:dyDescent="0.2">
      <c r="N820" s="116"/>
    </row>
    <row r="821" spans="14:14" customFormat="1" x14ac:dyDescent="0.2">
      <c r="N821" s="116"/>
    </row>
    <row r="822" spans="14:14" customFormat="1" x14ac:dyDescent="0.2">
      <c r="N822" s="116"/>
    </row>
    <row r="823" spans="14:14" customFormat="1" x14ac:dyDescent="0.2">
      <c r="N823" s="116"/>
    </row>
    <row r="824" spans="14:14" customFormat="1" x14ac:dyDescent="0.2">
      <c r="N824" s="116"/>
    </row>
    <row r="825" spans="14:14" customFormat="1" x14ac:dyDescent="0.2">
      <c r="N825" s="116"/>
    </row>
    <row r="826" spans="14:14" customFormat="1" x14ac:dyDescent="0.2">
      <c r="N826" s="116"/>
    </row>
    <row r="827" spans="14:14" customFormat="1" x14ac:dyDescent="0.2">
      <c r="N827" s="116"/>
    </row>
    <row r="828" spans="14:14" customFormat="1" x14ac:dyDescent="0.2">
      <c r="N828" s="116"/>
    </row>
    <row r="829" spans="14:14" customFormat="1" x14ac:dyDescent="0.2">
      <c r="N829" s="116"/>
    </row>
    <row r="830" spans="14:14" customFormat="1" x14ac:dyDescent="0.2">
      <c r="N830" s="116"/>
    </row>
    <row r="831" spans="14:14" customFormat="1" x14ac:dyDescent="0.2">
      <c r="N831" s="116"/>
    </row>
    <row r="832" spans="14:14" customFormat="1" x14ac:dyDescent="0.2">
      <c r="N832" s="116"/>
    </row>
    <row r="833" spans="14:14" customFormat="1" x14ac:dyDescent="0.2">
      <c r="N833" s="116"/>
    </row>
    <row r="834" spans="14:14" customFormat="1" x14ac:dyDescent="0.2">
      <c r="N834" s="116"/>
    </row>
    <row r="835" spans="14:14" customFormat="1" x14ac:dyDescent="0.2">
      <c r="N835" s="116"/>
    </row>
    <row r="836" spans="14:14" customFormat="1" x14ac:dyDescent="0.2">
      <c r="N836" s="116"/>
    </row>
    <row r="837" spans="14:14" customFormat="1" x14ac:dyDescent="0.2">
      <c r="N837" s="116"/>
    </row>
    <row r="838" spans="14:14" customFormat="1" x14ac:dyDescent="0.2">
      <c r="N838" s="116"/>
    </row>
    <row r="839" spans="14:14" customFormat="1" x14ac:dyDescent="0.2">
      <c r="N839" s="116"/>
    </row>
    <row r="840" spans="14:14" customFormat="1" x14ac:dyDescent="0.2">
      <c r="N840" s="116"/>
    </row>
    <row r="841" spans="14:14" customFormat="1" x14ac:dyDescent="0.2">
      <c r="N841" s="116"/>
    </row>
    <row r="842" spans="14:14" customFormat="1" x14ac:dyDescent="0.2">
      <c r="N842" s="116"/>
    </row>
    <row r="843" spans="14:14" customFormat="1" x14ac:dyDescent="0.2">
      <c r="N843" s="116"/>
    </row>
    <row r="844" spans="14:14" customFormat="1" x14ac:dyDescent="0.2">
      <c r="N844" s="116"/>
    </row>
    <row r="845" spans="14:14" customFormat="1" x14ac:dyDescent="0.2">
      <c r="N845" s="116"/>
    </row>
    <row r="846" spans="14:14" customFormat="1" x14ac:dyDescent="0.2">
      <c r="N846" s="116"/>
    </row>
    <row r="847" spans="14:14" customFormat="1" x14ac:dyDescent="0.2">
      <c r="N847" s="116"/>
    </row>
    <row r="848" spans="14:14" customFormat="1" x14ac:dyDescent="0.2">
      <c r="N848" s="116"/>
    </row>
    <row r="849" spans="14:14" customFormat="1" x14ac:dyDescent="0.2">
      <c r="N849" s="116"/>
    </row>
    <row r="850" spans="14:14" customFormat="1" x14ac:dyDescent="0.2">
      <c r="N850" s="116"/>
    </row>
    <row r="851" spans="14:14" customFormat="1" x14ac:dyDescent="0.2">
      <c r="N851" s="116"/>
    </row>
    <row r="852" spans="14:14" customFormat="1" x14ac:dyDescent="0.2">
      <c r="N852" s="116"/>
    </row>
    <row r="853" spans="14:14" customFormat="1" x14ac:dyDescent="0.2">
      <c r="N853" s="116"/>
    </row>
    <row r="854" spans="14:14" customFormat="1" x14ac:dyDescent="0.2">
      <c r="N854" s="116"/>
    </row>
    <row r="855" spans="14:14" customFormat="1" x14ac:dyDescent="0.2">
      <c r="N855" s="116"/>
    </row>
    <row r="856" spans="14:14" customFormat="1" x14ac:dyDescent="0.2">
      <c r="N856" s="116"/>
    </row>
    <row r="857" spans="14:14" customFormat="1" x14ac:dyDescent="0.2">
      <c r="N857" s="116"/>
    </row>
    <row r="858" spans="14:14" customFormat="1" x14ac:dyDescent="0.2">
      <c r="N858" s="116"/>
    </row>
    <row r="859" spans="14:14" customFormat="1" x14ac:dyDescent="0.2">
      <c r="N859" s="116"/>
    </row>
    <row r="860" spans="14:14" customFormat="1" x14ac:dyDescent="0.2">
      <c r="N860" s="116"/>
    </row>
    <row r="861" spans="14:14" customFormat="1" x14ac:dyDescent="0.2">
      <c r="N861" s="116"/>
    </row>
    <row r="862" spans="14:14" customFormat="1" x14ac:dyDescent="0.2">
      <c r="N862" s="116"/>
    </row>
    <row r="863" spans="14:14" customFormat="1" x14ac:dyDescent="0.2">
      <c r="N863" s="116"/>
    </row>
    <row r="864" spans="14:14" customFormat="1" x14ac:dyDescent="0.2">
      <c r="N864" s="116"/>
    </row>
    <row r="865" spans="14:14" customFormat="1" x14ac:dyDescent="0.2">
      <c r="N865" s="116"/>
    </row>
    <row r="866" spans="14:14" customFormat="1" x14ac:dyDescent="0.2">
      <c r="N866" s="116"/>
    </row>
    <row r="867" spans="14:14" customFormat="1" x14ac:dyDescent="0.2">
      <c r="N867" s="116"/>
    </row>
    <row r="868" spans="14:14" customFormat="1" x14ac:dyDescent="0.2">
      <c r="N868" s="116"/>
    </row>
    <row r="869" spans="14:14" customFormat="1" x14ac:dyDescent="0.2">
      <c r="N869" s="116"/>
    </row>
    <row r="870" spans="14:14" customFormat="1" x14ac:dyDescent="0.2">
      <c r="N870" s="116"/>
    </row>
    <row r="871" spans="14:14" customFormat="1" x14ac:dyDescent="0.2">
      <c r="N871" s="116"/>
    </row>
    <row r="872" spans="14:14" customFormat="1" x14ac:dyDescent="0.2">
      <c r="N872" s="116"/>
    </row>
    <row r="873" spans="14:14" customFormat="1" x14ac:dyDescent="0.2">
      <c r="N873" s="116"/>
    </row>
    <row r="874" spans="14:14" customFormat="1" x14ac:dyDescent="0.2">
      <c r="N874" s="116"/>
    </row>
    <row r="875" spans="14:14" customFormat="1" x14ac:dyDescent="0.2">
      <c r="N875" s="116"/>
    </row>
    <row r="876" spans="14:14" customFormat="1" x14ac:dyDescent="0.2">
      <c r="N876" s="116"/>
    </row>
    <row r="877" spans="14:14" customFormat="1" x14ac:dyDescent="0.2">
      <c r="N877" s="116"/>
    </row>
    <row r="878" spans="14:14" customFormat="1" x14ac:dyDescent="0.2">
      <c r="N878" s="116"/>
    </row>
    <row r="879" spans="14:14" customFormat="1" x14ac:dyDescent="0.2">
      <c r="N879" s="116"/>
    </row>
    <row r="880" spans="14:14" customFormat="1" x14ac:dyDescent="0.2">
      <c r="N880" s="116"/>
    </row>
    <row r="881" spans="14:14" customFormat="1" x14ac:dyDescent="0.2">
      <c r="N881" s="116"/>
    </row>
    <row r="882" spans="14:14" customFormat="1" x14ac:dyDescent="0.2">
      <c r="N882" s="116"/>
    </row>
    <row r="883" spans="14:14" customFormat="1" x14ac:dyDescent="0.2">
      <c r="N883" s="116"/>
    </row>
    <row r="884" spans="14:14" customFormat="1" x14ac:dyDescent="0.2">
      <c r="N884" s="116"/>
    </row>
    <row r="885" spans="14:14" customFormat="1" x14ac:dyDescent="0.2">
      <c r="N885" s="116"/>
    </row>
    <row r="886" spans="14:14" customFormat="1" x14ac:dyDescent="0.2">
      <c r="N886" s="116"/>
    </row>
    <row r="887" spans="14:14" customFormat="1" x14ac:dyDescent="0.2">
      <c r="N887" s="116"/>
    </row>
    <row r="888" spans="14:14" customFormat="1" x14ac:dyDescent="0.2">
      <c r="N888" s="116"/>
    </row>
    <row r="889" spans="14:14" customFormat="1" x14ac:dyDescent="0.2">
      <c r="N889" s="116"/>
    </row>
    <row r="890" spans="14:14" customFormat="1" x14ac:dyDescent="0.2">
      <c r="N890" s="116"/>
    </row>
    <row r="891" spans="14:14" customFormat="1" x14ac:dyDescent="0.2">
      <c r="N891" s="116"/>
    </row>
    <row r="892" spans="14:14" customFormat="1" x14ac:dyDescent="0.2">
      <c r="N892" s="116"/>
    </row>
    <row r="893" spans="14:14" customFormat="1" x14ac:dyDescent="0.2">
      <c r="N893" s="116"/>
    </row>
    <row r="894" spans="14:14" customFormat="1" x14ac:dyDescent="0.2">
      <c r="N894" s="116"/>
    </row>
    <row r="895" spans="14:14" customFormat="1" x14ac:dyDescent="0.2">
      <c r="N895" s="116"/>
    </row>
    <row r="896" spans="14:14" customFormat="1" x14ac:dyDescent="0.2">
      <c r="N896" s="116"/>
    </row>
    <row r="897" spans="14:14" customFormat="1" x14ac:dyDescent="0.2">
      <c r="N897" s="116"/>
    </row>
    <row r="898" spans="14:14" customFormat="1" x14ac:dyDescent="0.2">
      <c r="N898" s="116"/>
    </row>
    <row r="899" spans="14:14" customFormat="1" x14ac:dyDescent="0.2">
      <c r="N899" s="116"/>
    </row>
    <row r="900" spans="14:14" customFormat="1" x14ac:dyDescent="0.2">
      <c r="N900" s="116"/>
    </row>
    <row r="901" spans="14:14" customFormat="1" x14ac:dyDescent="0.2">
      <c r="N901" s="116"/>
    </row>
    <row r="902" spans="14:14" customFormat="1" x14ac:dyDescent="0.2">
      <c r="N902" s="116"/>
    </row>
    <row r="903" spans="14:14" customFormat="1" x14ac:dyDescent="0.2">
      <c r="N903" s="116"/>
    </row>
    <row r="904" spans="14:14" customFormat="1" x14ac:dyDescent="0.2">
      <c r="N904" s="116"/>
    </row>
    <row r="905" spans="14:14" customFormat="1" x14ac:dyDescent="0.2">
      <c r="N905" s="116"/>
    </row>
    <row r="906" spans="14:14" customFormat="1" x14ac:dyDescent="0.2">
      <c r="N906" s="116"/>
    </row>
    <row r="907" spans="14:14" customFormat="1" x14ac:dyDescent="0.2">
      <c r="N907" s="116"/>
    </row>
    <row r="908" spans="14:14" customFormat="1" x14ac:dyDescent="0.2">
      <c r="N908" s="116"/>
    </row>
    <row r="909" spans="14:14" customFormat="1" x14ac:dyDescent="0.2">
      <c r="N909" s="116"/>
    </row>
    <row r="910" spans="14:14" customFormat="1" x14ac:dyDescent="0.2">
      <c r="N910" s="116"/>
    </row>
    <row r="911" spans="14:14" customFormat="1" x14ac:dyDescent="0.2">
      <c r="N911" s="116"/>
    </row>
    <row r="912" spans="14:14" customFormat="1" x14ac:dyDescent="0.2">
      <c r="N912" s="116"/>
    </row>
    <row r="913" spans="14:14" customFormat="1" x14ac:dyDescent="0.2">
      <c r="N913" s="116"/>
    </row>
    <row r="914" spans="14:14" customFormat="1" x14ac:dyDescent="0.2">
      <c r="N914" s="116"/>
    </row>
    <row r="915" spans="14:14" customFormat="1" x14ac:dyDescent="0.2">
      <c r="N915" s="116"/>
    </row>
    <row r="916" spans="14:14" customFormat="1" x14ac:dyDescent="0.2">
      <c r="N916" s="116"/>
    </row>
    <row r="917" spans="14:14" customFormat="1" x14ac:dyDescent="0.2">
      <c r="N917" s="116"/>
    </row>
    <row r="918" spans="14:14" customFormat="1" x14ac:dyDescent="0.2">
      <c r="N918" s="116"/>
    </row>
    <row r="919" spans="14:14" customFormat="1" x14ac:dyDescent="0.2">
      <c r="N919" s="116"/>
    </row>
    <row r="920" spans="14:14" customFormat="1" x14ac:dyDescent="0.2">
      <c r="N920" s="116"/>
    </row>
    <row r="921" spans="14:14" customFormat="1" x14ac:dyDescent="0.2">
      <c r="N921" s="116"/>
    </row>
    <row r="922" spans="14:14" customFormat="1" x14ac:dyDescent="0.2">
      <c r="N922" s="116"/>
    </row>
    <row r="923" spans="14:14" customFormat="1" x14ac:dyDescent="0.2">
      <c r="N923" s="116"/>
    </row>
    <row r="924" spans="14:14" customFormat="1" x14ac:dyDescent="0.2">
      <c r="N924" s="116"/>
    </row>
    <row r="925" spans="14:14" customFormat="1" x14ac:dyDescent="0.2">
      <c r="N925" s="116"/>
    </row>
    <row r="926" spans="14:14" customFormat="1" x14ac:dyDescent="0.2">
      <c r="N926" s="116"/>
    </row>
    <row r="927" spans="14:14" customFormat="1" x14ac:dyDescent="0.2">
      <c r="N927" s="116"/>
    </row>
    <row r="928" spans="14:14" customFormat="1" x14ac:dyDescent="0.2">
      <c r="N928" s="116"/>
    </row>
    <row r="929" spans="14:14" customFormat="1" x14ac:dyDescent="0.2">
      <c r="N929" s="116"/>
    </row>
    <row r="930" spans="14:14" customFormat="1" x14ac:dyDescent="0.2">
      <c r="N930" s="116"/>
    </row>
    <row r="931" spans="14:14" customFormat="1" x14ac:dyDescent="0.2">
      <c r="N931" s="116"/>
    </row>
    <row r="932" spans="14:14" customFormat="1" x14ac:dyDescent="0.2">
      <c r="N932" s="116"/>
    </row>
    <row r="933" spans="14:14" customFormat="1" x14ac:dyDescent="0.2">
      <c r="N933" s="116"/>
    </row>
    <row r="934" spans="14:14" customFormat="1" x14ac:dyDescent="0.2">
      <c r="N934" s="116"/>
    </row>
    <row r="935" spans="14:14" customFormat="1" x14ac:dyDescent="0.2">
      <c r="N935" s="116"/>
    </row>
    <row r="936" spans="14:14" customFormat="1" x14ac:dyDescent="0.2">
      <c r="N936" s="116"/>
    </row>
    <row r="937" spans="14:14" customFormat="1" x14ac:dyDescent="0.2">
      <c r="N937" s="116"/>
    </row>
    <row r="938" spans="14:14" customFormat="1" x14ac:dyDescent="0.2">
      <c r="N938" s="116"/>
    </row>
    <row r="939" spans="14:14" customFormat="1" x14ac:dyDescent="0.2">
      <c r="N939" s="116"/>
    </row>
    <row r="940" spans="14:14" customFormat="1" x14ac:dyDescent="0.2">
      <c r="N940" s="116"/>
    </row>
    <row r="941" spans="14:14" customFormat="1" x14ac:dyDescent="0.2">
      <c r="N941" s="116"/>
    </row>
    <row r="942" spans="14:14" customFormat="1" x14ac:dyDescent="0.2">
      <c r="N942" s="116"/>
    </row>
    <row r="943" spans="14:14" customFormat="1" x14ac:dyDescent="0.2">
      <c r="N943" s="116"/>
    </row>
    <row r="944" spans="14:14" customFormat="1" x14ac:dyDescent="0.2">
      <c r="N944" s="116"/>
    </row>
    <row r="945" spans="14:14" customFormat="1" x14ac:dyDescent="0.2">
      <c r="N945" s="116"/>
    </row>
    <row r="946" spans="14:14" customFormat="1" x14ac:dyDescent="0.2">
      <c r="N946" s="116"/>
    </row>
    <row r="947" spans="14:14" customFormat="1" x14ac:dyDescent="0.2">
      <c r="N947" s="116"/>
    </row>
    <row r="948" spans="14:14" customFormat="1" x14ac:dyDescent="0.2">
      <c r="N948" s="116"/>
    </row>
    <row r="949" spans="14:14" customFormat="1" x14ac:dyDescent="0.2">
      <c r="N949" s="116"/>
    </row>
    <row r="950" spans="14:14" customFormat="1" x14ac:dyDescent="0.2">
      <c r="N950" s="116"/>
    </row>
    <row r="951" spans="14:14" customFormat="1" x14ac:dyDescent="0.2">
      <c r="N951" s="116"/>
    </row>
    <row r="952" spans="14:14" customFormat="1" x14ac:dyDescent="0.2">
      <c r="N952" s="116"/>
    </row>
    <row r="953" spans="14:14" customFormat="1" x14ac:dyDescent="0.2">
      <c r="N953" s="116"/>
    </row>
    <row r="954" spans="14:14" customFormat="1" x14ac:dyDescent="0.2">
      <c r="N954" s="116"/>
    </row>
    <row r="955" spans="14:14" customFormat="1" x14ac:dyDescent="0.2">
      <c r="N955" s="116"/>
    </row>
    <row r="956" spans="14:14" customFormat="1" x14ac:dyDescent="0.2">
      <c r="N956" s="116"/>
    </row>
    <row r="957" spans="14:14" customFormat="1" x14ac:dyDescent="0.2">
      <c r="N957" s="116"/>
    </row>
    <row r="958" spans="14:14" customFormat="1" x14ac:dyDescent="0.2">
      <c r="N958" s="116"/>
    </row>
    <row r="959" spans="14:14" customFormat="1" x14ac:dyDescent="0.2">
      <c r="N959" s="116"/>
    </row>
    <row r="960" spans="14:14" customFormat="1" x14ac:dyDescent="0.2">
      <c r="N960" s="116"/>
    </row>
    <row r="961" spans="14:14" customFormat="1" x14ac:dyDescent="0.2">
      <c r="N961" s="116"/>
    </row>
    <row r="962" spans="14:14" customFormat="1" x14ac:dyDescent="0.2">
      <c r="N962" s="116"/>
    </row>
    <row r="963" spans="14:14" customFormat="1" x14ac:dyDescent="0.2">
      <c r="N963" s="116"/>
    </row>
    <row r="964" spans="14:14" customFormat="1" x14ac:dyDescent="0.2">
      <c r="N964" s="116"/>
    </row>
    <row r="965" spans="14:14" customFormat="1" x14ac:dyDescent="0.2">
      <c r="N965" s="116"/>
    </row>
    <row r="966" spans="14:14" customFormat="1" x14ac:dyDescent="0.2">
      <c r="N966" s="116"/>
    </row>
    <row r="967" spans="14:14" customFormat="1" x14ac:dyDescent="0.2">
      <c r="N967" s="116"/>
    </row>
    <row r="968" spans="14:14" customFormat="1" x14ac:dyDescent="0.2">
      <c r="N968" s="116"/>
    </row>
    <row r="969" spans="14:14" customFormat="1" x14ac:dyDescent="0.2">
      <c r="N969" s="116"/>
    </row>
    <row r="970" spans="14:14" customFormat="1" x14ac:dyDescent="0.2">
      <c r="N970" s="116"/>
    </row>
    <row r="971" spans="14:14" customFormat="1" x14ac:dyDescent="0.2">
      <c r="N971" s="116"/>
    </row>
    <row r="972" spans="14:14" customFormat="1" x14ac:dyDescent="0.2">
      <c r="N972" s="116"/>
    </row>
    <row r="973" spans="14:14" customFormat="1" x14ac:dyDescent="0.2">
      <c r="N973" s="116"/>
    </row>
    <row r="974" spans="14:14" customFormat="1" x14ac:dyDescent="0.2">
      <c r="N974" s="116"/>
    </row>
    <row r="975" spans="14:14" customFormat="1" x14ac:dyDescent="0.2">
      <c r="N975" s="116"/>
    </row>
    <row r="976" spans="14:14" customFormat="1" x14ac:dyDescent="0.2">
      <c r="N976" s="116"/>
    </row>
    <row r="977" spans="14:14" customFormat="1" x14ac:dyDescent="0.2">
      <c r="N977" s="116"/>
    </row>
    <row r="978" spans="14:14" customFormat="1" x14ac:dyDescent="0.2">
      <c r="N978" s="116"/>
    </row>
    <row r="979" spans="14:14" customFormat="1" x14ac:dyDescent="0.2">
      <c r="N979" s="116"/>
    </row>
    <row r="980" spans="14:14" customFormat="1" x14ac:dyDescent="0.2">
      <c r="N980" s="116"/>
    </row>
    <row r="981" spans="14:14" customFormat="1" x14ac:dyDescent="0.2">
      <c r="N981" s="116"/>
    </row>
    <row r="982" spans="14:14" customFormat="1" x14ac:dyDescent="0.2">
      <c r="N982" s="116"/>
    </row>
    <row r="983" spans="14:14" customFormat="1" x14ac:dyDescent="0.2">
      <c r="N983" s="116"/>
    </row>
    <row r="984" spans="14:14" customFormat="1" x14ac:dyDescent="0.2">
      <c r="N984" s="116"/>
    </row>
    <row r="985" spans="14:14" customFormat="1" x14ac:dyDescent="0.2">
      <c r="N985" s="116"/>
    </row>
    <row r="986" spans="14:14" customFormat="1" x14ac:dyDescent="0.2">
      <c r="N986" s="116"/>
    </row>
    <row r="987" spans="14:14" customFormat="1" x14ac:dyDescent="0.2">
      <c r="N987" s="116"/>
    </row>
    <row r="988" spans="14:14" customFormat="1" x14ac:dyDescent="0.2">
      <c r="N988" s="116"/>
    </row>
    <row r="989" spans="14:14" customFormat="1" x14ac:dyDescent="0.2">
      <c r="N989" s="116"/>
    </row>
    <row r="990" spans="14:14" customFormat="1" x14ac:dyDescent="0.2">
      <c r="N990" s="116"/>
    </row>
    <row r="991" spans="14:14" customFormat="1" x14ac:dyDescent="0.2">
      <c r="N991" s="116"/>
    </row>
    <row r="992" spans="14:14" customFormat="1" x14ac:dyDescent="0.2">
      <c r="N992" s="116"/>
    </row>
    <row r="993" spans="14:14" customFormat="1" x14ac:dyDescent="0.2">
      <c r="N993" s="116"/>
    </row>
    <row r="994" spans="14:14" customFormat="1" x14ac:dyDescent="0.2">
      <c r="N994" s="116"/>
    </row>
    <row r="995" spans="14:14" customFormat="1" x14ac:dyDescent="0.2">
      <c r="N995" s="116"/>
    </row>
    <row r="996" spans="14:14" customFormat="1" x14ac:dyDescent="0.2">
      <c r="N996" s="116"/>
    </row>
    <row r="997" spans="14:14" customFormat="1" x14ac:dyDescent="0.2">
      <c r="N997" s="116"/>
    </row>
    <row r="998" spans="14:14" customFormat="1" x14ac:dyDescent="0.2">
      <c r="N998" s="116"/>
    </row>
    <row r="999" spans="14:14" customFormat="1" x14ac:dyDescent="0.2">
      <c r="N999" s="116"/>
    </row>
    <row r="1000" spans="14:14" customFormat="1" x14ac:dyDescent="0.2">
      <c r="N1000" s="116"/>
    </row>
    <row r="1001" spans="14:14" customFormat="1" x14ac:dyDescent="0.2">
      <c r="N1001" s="116"/>
    </row>
    <row r="1002" spans="14:14" customFormat="1" x14ac:dyDescent="0.2">
      <c r="N1002" s="116"/>
    </row>
    <row r="1003" spans="14:14" customFormat="1" x14ac:dyDescent="0.2">
      <c r="N1003" s="116"/>
    </row>
    <row r="1004" spans="14:14" customFormat="1" x14ac:dyDescent="0.2">
      <c r="N1004" s="116"/>
    </row>
    <row r="1005" spans="14:14" customFormat="1" x14ac:dyDescent="0.2">
      <c r="N1005" s="116"/>
    </row>
    <row r="1006" spans="14:14" customFormat="1" x14ac:dyDescent="0.2">
      <c r="N1006" s="116"/>
    </row>
    <row r="1007" spans="14:14" customFormat="1" x14ac:dyDescent="0.2">
      <c r="N1007" s="116"/>
    </row>
    <row r="1008" spans="14:14" customFormat="1" x14ac:dyDescent="0.2">
      <c r="N1008" s="116"/>
    </row>
    <row r="1009" spans="14:14" customFormat="1" x14ac:dyDescent="0.2">
      <c r="N1009" s="116"/>
    </row>
    <row r="1010" spans="14:14" customFormat="1" x14ac:dyDescent="0.2">
      <c r="N1010" s="116"/>
    </row>
    <row r="1011" spans="14:14" customFormat="1" x14ac:dyDescent="0.2">
      <c r="N1011" s="116"/>
    </row>
    <row r="1012" spans="14:14" customFormat="1" x14ac:dyDescent="0.2">
      <c r="N1012" s="116"/>
    </row>
    <row r="1013" spans="14:14" customFormat="1" x14ac:dyDescent="0.2">
      <c r="N1013" s="116"/>
    </row>
    <row r="1014" spans="14:14" customFormat="1" x14ac:dyDescent="0.2">
      <c r="N1014" s="116"/>
    </row>
    <row r="1015" spans="14:14" customFormat="1" x14ac:dyDescent="0.2">
      <c r="N1015" s="116"/>
    </row>
    <row r="1016" spans="14:14" customFormat="1" x14ac:dyDescent="0.2">
      <c r="N1016" s="116"/>
    </row>
    <row r="1017" spans="14:14" customFormat="1" x14ac:dyDescent="0.2">
      <c r="N1017" s="116"/>
    </row>
    <row r="1018" spans="14:14" customFormat="1" x14ac:dyDescent="0.2">
      <c r="N1018" s="116"/>
    </row>
    <row r="1019" spans="14:14" customFormat="1" x14ac:dyDescent="0.2">
      <c r="N1019" s="116"/>
    </row>
    <row r="1020" spans="14:14" customFormat="1" x14ac:dyDescent="0.2">
      <c r="N1020" s="116"/>
    </row>
    <row r="1021" spans="14:14" customFormat="1" x14ac:dyDescent="0.2">
      <c r="N1021" s="116"/>
    </row>
    <row r="1022" spans="14:14" customFormat="1" x14ac:dyDescent="0.2">
      <c r="N1022" s="116"/>
    </row>
    <row r="1023" spans="14:14" customFormat="1" x14ac:dyDescent="0.2">
      <c r="N1023" s="116"/>
    </row>
    <row r="1024" spans="14:14" customFormat="1" x14ac:dyDescent="0.2">
      <c r="N1024" s="116"/>
    </row>
    <row r="1025" spans="14:14" customFormat="1" x14ac:dyDescent="0.2">
      <c r="N1025" s="116"/>
    </row>
    <row r="1026" spans="14:14" customFormat="1" x14ac:dyDescent="0.2">
      <c r="N1026" s="116"/>
    </row>
    <row r="1027" spans="14:14" customFormat="1" x14ac:dyDescent="0.2">
      <c r="N1027" s="116"/>
    </row>
    <row r="1028" spans="14:14" customFormat="1" x14ac:dyDescent="0.2">
      <c r="N1028" s="116"/>
    </row>
    <row r="1029" spans="14:14" customFormat="1" x14ac:dyDescent="0.2">
      <c r="N1029" s="116"/>
    </row>
    <row r="1030" spans="14:14" customFormat="1" x14ac:dyDescent="0.2">
      <c r="N1030" s="116"/>
    </row>
    <row r="1031" spans="14:14" customFormat="1" x14ac:dyDescent="0.2">
      <c r="N1031" s="116"/>
    </row>
    <row r="1032" spans="14:14" customFormat="1" x14ac:dyDescent="0.2">
      <c r="N1032" s="116"/>
    </row>
    <row r="1033" spans="14:14" customFormat="1" x14ac:dyDescent="0.2">
      <c r="N1033" s="116"/>
    </row>
    <row r="1034" spans="14:14" customFormat="1" x14ac:dyDescent="0.2">
      <c r="N1034" s="116"/>
    </row>
    <row r="1035" spans="14:14" customFormat="1" x14ac:dyDescent="0.2">
      <c r="N1035" s="116"/>
    </row>
    <row r="1036" spans="14:14" customFormat="1" x14ac:dyDescent="0.2">
      <c r="N1036" s="116"/>
    </row>
    <row r="1037" spans="14:14" customFormat="1" x14ac:dyDescent="0.2">
      <c r="N1037" s="116"/>
    </row>
    <row r="1038" spans="14:14" customFormat="1" x14ac:dyDescent="0.2">
      <c r="N1038" s="116"/>
    </row>
    <row r="1039" spans="14:14" customFormat="1" x14ac:dyDescent="0.2">
      <c r="N1039" s="116"/>
    </row>
    <row r="1040" spans="14:14" customFormat="1" x14ac:dyDescent="0.2">
      <c r="N1040" s="116"/>
    </row>
    <row r="1041" spans="14:14" customFormat="1" x14ac:dyDescent="0.2">
      <c r="N1041" s="116"/>
    </row>
    <row r="1042" spans="14:14" customFormat="1" x14ac:dyDescent="0.2">
      <c r="N1042" s="116"/>
    </row>
    <row r="1043" spans="14:14" customFormat="1" x14ac:dyDescent="0.2">
      <c r="N1043" s="116"/>
    </row>
    <row r="1044" spans="14:14" customFormat="1" x14ac:dyDescent="0.2">
      <c r="N1044" s="116"/>
    </row>
    <row r="1045" spans="14:14" customFormat="1" x14ac:dyDescent="0.2">
      <c r="N1045" s="116"/>
    </row>
    <row r="1046" spans="14:14" customFormat="1" x14ac:dyDescent="0.2">
      <c r="N1046" s="116"/>
    </row>
    <row r="1047" spans="14:14" customFormat="1" x14ac:dyDescent="0.2">
      <c r="N1047" s="116"/>
    </row>
    <row r="1048" spans="14:14" customFormat="1" x14ac:dyDescent="0.2">
      <c r="N1048" s="116"/>
    </row>
    <row r="1049" spans="14:14" customFormat="1" x14ac:dyDescent="0.2">
      <c r="N1049" s="116"/>
    </row>
    <row r="1050" spans="14:14" customFormat="1" x14ac:dyDescent="0.2">
      <c r="N1050" s="116"/>
    </row>
    <row r="1051" spans="14:14" customFormat="1" x14ac:dyDescent="0.2">
      <c r="N1051" s="116"/>
    </row>
    <row r="1052" spans="14:14" customFormat="1" x14ac:dyDescent="0.2">
      <c r="N1052" s="116"/>
    </row>
    <row r="1053" spans="14:14" customFormat="1" x14ac:dyDescent="0.2">
      <c r="N1053" s="116"/>
    </row>
    <row r="1054" spans="14:14" customFormat="1" x14ac:dyDescent="0.2">
      <c r="N1054" s="116"/>
    </row>
    <row r="1055" spans="14:14" customFormat="1" x14ac:dyDescent="0.2">
      <c r="N1055" s="116"/>
    </row>
    <row r="1056" spans="14:14" customFormat="1" x14ac:dyDescent="0.2">
      <c r="N1056" s="116"/>
    </row>
    <row r="1057" spans="14:14" customFormat="1" x14ac:dyDescent="0.2">
      <c r="N1057" s="116"/>
    </row>
    <row r="1058" spans="14:14" customFormat="1" x14ac:dyDescent="0.2">
      <c r="N1058" s="116"/>
    </row>
    <row r="1059" spans="14:14" customFormat="1" x14ac:dyDescent="0.2">
      <c r="N1059" s="116"/>
    </row>
    <row r="1060" spans="14:14" customFormat="1" x14ac:dyDescent="0.2">
      <c r="N1060" s="116"/>
    </row>
    <row r="1061" spans="14:14" customFormat="1" x14ac:dyDescent="0.2">
      <c r="N1061" s="116"/>
    </row>
    <row r="1062" spans="14:14" customFormat="1" x14ac:dyDescent="0.2">
      <c r="N1062" s="116"/>
    </row>
    <row r="1063" spans="14:14" customFormat="1" x14ac:dyDescent="0.2">
      <c r="N1063" s="116"/>
    </row>
    <row r="1064" spans="14:14" customFormat="1" x14ac:dyDescent="0.2">
      <c r="N1064" s="116"/>
    </row>
    <row r="1065" spans="14:14" customFormat="1" x14ac:dyDescent="0.2">
      <c r="N1065" s="116"/>
    </row>
    <row r="1066" spans="14:14" customFormat="1" x14ac:dyDescent="0.2">
      <c r="N1066" s="116"/>
    </row>
    <row r="1067" spans="14:14" customFormat="1" x14ac:dyDescent="0.2">
      <c r="N1067" s="116"/>
    </row>
    <row r="1068" spans="14:14" customFormat="1" x14ac:dyDescent="0.2">
      <c r="N1068" s="116"/>
    </row>
    <row r="1069" spans="14:14" customFormat="1" x14ac:dyDescent="0.2">
      <c r="N1069" s="116"/>
    </row>
    <row r="1070" spans="14:14" customFormat="1" x14ac:dyDescent="0.2">
      <c r="N1070" s="116"/>
    </row>
    <row r="1071" spans="14:14" customFormat="1" x14ac:dyDescent="0.2">
      <c r="N1071" s="116"/>
    </row>
    <row r="1072" spans="14:14" customFormat="1" x14ac:dyDescent="0.2">
      <c r="N1072" s="116"/>
    </row>
    <row r="1073" spans="14:14" customFormat="1" x14ac:dyDescent="0.2">
      <c r="N1073" s="116"/>
    </row>
    <row r="1074" spans="14:14" customFormat="1" x14ac:dyDescent="0.2">
      <c r="N1074" s="116"/>
    </row>
    <row r="1075" spans="14:14" customFormat="1" x14ac:dyDescent="0.2">
      <c r="N1075" s="116"/>
    </row>
    <row r="1076" spans="14:14" customFormat="1" x14ac:dyDescent="0.2">
      <c r="N1076" s="116"/>
    </row>
    <row r="1077" spans="14:14" customFormat="1" x14ac:dyDescent="0.2">
      <c r="N1077" s="116"/>
    </row>
    <row r="1078" spans="14:14" customFormat="1" x14ac:dyDescent="0.2">
      <c r="N1078" s="116"/>
    </row>
    <row r="1079" spans="14:14" customFormat="1" x14ac:dyDescent="0.2">
      <c r="N1079" s="116"/>
    </row>
    <row r="1080" spans="14:14" customFormat="1" x14ac:dyDescent="0.2">
      <c r="N1080" s="116"/>
    </row>
    <row r="1081" spans="14:14" customFormat="1" x14ac:dyDescent="0.2">
      <c r="N1081" s="116"/>
    </row>
    <row r="1082" spans="14:14" customFormat="1" x14ac:dyDescent="0.2">
      <c r="N1082" s="116"/>
    </row>
    <row r="1083" spans="14:14" customFormat="1" x14ac:dyDescent="0.2">
      <c r="N1083" s="116"/>
    </row>
    <row r="1084" spans="14:14" customFormat="1" x14ac:dyDescent="0.2">
      <c r="N1084" s="116"/>
    </row>
    <row r="1085" spans="14:14" customFormat="1" x14ac:dyDescent="0.2">
      <c r="N1085" s="116"/>
    </row>
    <row r="1086" spans="14:14" customFormat="1" x14ac:dyDescent="0.2">
      <c r="N1086" s="116"/>
    </row>
    <row r="1087" spans="14:14" customFormat="1" x14ac:dyDescent="0.2">
      <c r="N1087" s="116"/>
    </row>
    <row r="1088" spans="14:14" customFormat="1" x14ac:dyDescent="0.2">
      <c r="N1088" s="116"/>
    </row>
    <row r="1089" spans="14:14" customFormat="1" x14ac:dyDescent="0.2">
      <c r="N1089" s="116"/>
    </row>
    <row r="1090" spans="14:14" customFormat="1" x14ac:dyDescent="0.2">
      <c r="N1090" s="116"/>
    </row>
    <row r="1091" spans="14:14" customFormat="1" x14ac:dyDescent="0.2">
      <c r="N1091" s="116"/>
    </row>
    <row r="1092" spans="14:14" customFormat="1" x14ac:dyDescent="0.2">
      <c r="N1092" s="116"/>
    </row>
    <row r="1093" spans="14:14" customFormat="1" x14ac:dyDescent="0.2">
      <c r="N1093" s="116"/>
    </row>
    <row r="1094" spans="14:14" customFormat="1" x14ac:dyDescent="0.2">
      <c r="N1094" s="116"/>
    </row>
    <row r="1095" spans="14:14" customFormat="1" x14ac:dyDescent="0.2">
      <c r="N1095" s="116"/>
    </row>
    <row r="1096" spans="14:14" customFormat="1" x14ac:dyDescent="0.2">
      <c r="N1096" s="116"/>
    </row>
    <row r="1097" spans="14:14" customFormat="1" x14ac:dyDescent="0.2">
      <c r="N1097" s="116"/>
    </row>
    <row r="1098" spans="14:14" customFormat="1" x14ac:dyDescent="0.2">
      <c r="N1098" s="116"/>
    </row>
    <row r="1099" spans="14:14" customFormat="1" x14ac:dyDescent="0.2">
      <c r="N1099" s="116"/>
    </row>
    <row r="1100" spans="14:14" customFormat="1" x14ac:dyDescent="0.2">
      <c r="N1100" s="116"/>
    </row>
    <row r="1101" spans="14:14" customFormat="1" x14ac:dyDescent="0.2">
      <c r="N1101" s="116"/>
    </row>
    <row r="1102" spans="14:14" customFormat="1" x14ac:dyDescent="0.2">
      <c r="N1102" s="116"/>
    </row>
    <row r="1103" spans="14:14" customFormat="1" x14ac:dyDescent="0.2">
      <c r="N1103" s="116"/>
    </row>
    <row r="1104" spans="14:14" customFormat="1" x14ac:dyDescent="0.2">
      <c r="N1104" s="116"/>
    </row>
    <row r="1105" spans="14:14" customFormat="1" x14ac:dyDescent="0.2">
      <c r="N1105" s="116"/>
    </row>
    <row r="1106" spans="14:14" customFormat="1" x14ac:dyDescent="0.2">
      <c r="N1106" s="116"/>
    </row>
    <row r="1107" spans="14:14" customFormat="1" x14ac:dyDescent="0.2">
      <c r="N1107" s="116"/>
    </row>
    <row r="1108" spans="14:14" customFormat="1" x14ac:dyDescent="0.2">
      <c r="N1108" s="116"/>
    </row>
    <row r="1109" spans="14:14" customFormat="1" x14ac:dyDescent="0.2">
      <c r="N1109" s="116"/>
    </row>
    <row r="1110" spans="14:14" customFormat="1" x14ac:dyDescent="0.2">
      <c r="N1110" s="116"/>
    </row>
    <row r="1111" spans="14:14" customFormat="1" x14ac:dyDescent="0.2">
      <c r="N1111" s="116"/>
    </row>
    <row r="1112" spans="14:14" customFormat="1" x14ac:dyDescent="0.2">
      <c r="N1112" s="116"/>
    </row>
    <row r="1113" spans="14:14" customFormat="1" x14ac:dyDescent="0.2">
      <c r="N1113" s="116"/>
    </row>
    <row r="1114" spans="14:14" customFormat="1" x14ac:dyDescent="0.2">
      <c r="N1114" s="116"/>
    </row>
    <row r="1115" spans="14:14" customFormat="1" x14ac:dyDescent="0.2">
      <c r="N1115" s="116"/>
    </row>
    <row r="1116" spans="14:14" customFormat="1" x14ac:dyDescent="0.2">
      <c r="N1116" s="116"/>
    </row>
    <row r="1117" spans="14:14" customFormat="1" x14ac:dyDescent="0.2">
      <c r="N1117" s="116"/>
    </row>
    <row r="1118" spans="14:14" customFormat="1" x14ac:dyDescent="0.2">
      <c r="N1118" s="116"/>
    </row>
    <row r="1119" spans="14:14" customFormat="1" x14ac:dyDescent="0.2">
      <c r="N1119" s="116"/>
    </row>
    <row r="1120" spans="14:14" customFormat="1" x14ac:dyDescent="0.2">
      <c r="N1120" s="116"/>
    </row>
    <row r="1121" spans="14:14" customFormat="1" x14ac:dyDescent="0.2">
      <c r="N1121" s="116"/>
    </row>
    <row r="1122" spans="14:14" customFormat="1" x14ac:dyDescent="0.2">
      <c r="N1122" s="116"/>
    </row>
    <row r="1123" spans="14:14" customFormat="1" x14ac:dyDescent="0.2">
      <c r="N1123" s="116"/>
    </row>
    <row r="1124" spans="14:14" customFormat="1" x14ac:dyDescent="0.2">
      <c r="N1124" s="116"/>
    </row>
    <row r="1125" spans="14:14" customFormat="1" x14ac:dyDescent="0.2">
      <c r="N1125" s="116"/>
    </row>
    <row r="1126" spans="14:14" customFormat="1" x14ac:dyDescent="0.2">
      <c r="N1126" s="116"/>
    </row>
    <row r="1127" spans="14:14" customFormat="1" x14ac:dyDescent="0.2">
      <c r="N1127" s="116"/>
    </row>
    <row r="1128" spans="14:14" customFormat="1" x14ac:dyDescent="0.2">
      <c r="N1128" s="116"/>
    </row>
    <row r="1129" spans="14:14" customFormat="1" x14ac:dyDescent="0.2">
      <c r="N1129" s="116"/>
    </row>
    <row r="1130" spans="14:14" customFormat="1" x14ac:dyDescent="0.2">
      <c r="N1130" s="116"/>
    </row>
    <row r="1131" spans="14:14" customFormat="1" x14ac:dyDescent="0.2">
      <c r="N1131" s="116"/>
    </row>
    <row r="1132" spans="14:14" customFormat="1" x14ac:dyDescent="0.2">
      <c r="N1132" s="116"/>
    </row>
    <row r="1133" spans="14:14" customFormat="1" x14ac:dyDescent="0.2">
      <c r="N1133" s="116"/>
    </row>
    <row r="1134" spans="14:14" customFormat="1" x14ac:dyDescent="0.2">
      <c r="N1134" s="116"/>
    </row>
    <row r="1135" spans="14:14" customFormat="1" x14ac:dyDescent="0.2">
      <c r="N1135" s="116"/>
    </row>
    <row r="1136" spans="14:14" customFormat="1" x14ac:dyDescent="0.2">
      <c r="N1136" s="116"/>
    </row>
    <row r="1137" spans="14:14" customFormat="1" x14ac:dyDescent="0.2">
      <c r="N1137" s="116"/>
    </row>
    <row r="1138" spans="14:14" customFormat="1" x14ac:dyDescent="0.2">
      <c r="N1138" s="116"/>
    </row>
    <row r="1139" spans="14:14" customFormat="1" x14ac:dyDescent="0.2">
      <c r="N1139" s="116"/>
    </row>
    <row r="1140" spans="14:14" customFormat="1" x14ac:dyDescent="0.2">
      <c r="N1140" s="116"/>
    </row>
    <row r="1141" spans="14:14" customFormat="1" x14ac:dyDescent="0.2">
      <c r="N1141" s="116"/>
    </row>
    <row r="1142" spans="14:14" customFormat="1" x14ac:dyDescent="0.2">
      <c r="N1142" s="116"/>
    </row>
    <row r="1143" spans="14:14" customFormat="1" x14ac:dyDescent="0.2">
      <c r="N1143" s="116"/>
    </row>
    <row r="1144" spans="14:14" customFormat="1" x14ac:dyDescent="0.2">
      <c r="N1144" s="116"/>
    </row>
    <row r="1145" spans="14:14" customFormat="1" x14ac:dyDescent="0.2">
      <c r="N1145" s="116"/>
    </row>
    <row r="1146" spans="14:14" customFormat="1" x14ac:dyDescent="0.2">
      <c r="N1146" s="116"/>
    </row>
    <row r="1147" spans="14:14" customFormat="1" x14ac:dyDescent="0.2">
      <c r="N1147" s="116"/>
    </row>
    <row r="1148" spans="14:14" customFormat="1" x14ac:dyDescent="0.2">
      <c r="N1148" s="116"/>
    </row>
    <row r="1149" spans="14:14" customFormat="1" x14ac:dyDescent="0.2">
      <c r="N1149" s="116"/>
    </row>
    <row r="1150" spans="14:14" customFormat="1" x14ac:dyDescent="0.2">
      <c r="N1150" s="116"/>
    </row>
    <row r="1151" spans="14:14" customFormat="1" x14ac:dyDescent="0.2">
      <c r="N1151" s="116"/>
    </row>
    <row r="1152" spans="14:14" customFormat="1" x14ac:dyDescent="0.2">
      <c r="N1152" s="116"/>
    </row>
    <row r="1153" spans="14:14" customFormat="1" x14ac:dyDescent="0.2">
      <c r="N1153" s="116"/>
    </row>
    <row r="1154" spans="14:14" customFormat="1" x14ac:dyDescent="0.2">
      <c r="N1154" s="116"/>
    </row>
    <row r="1155" spans="14:14" customFormat="1" x14ac:dyDescent="0.2">
      <c r="N1155" s="116"/>
    </row>
    <row r="1156" spans="14:14" customFormat="1" x14ac:dyDescent="0.2">
      <c r="N1156" s="116"/>
    </row>
    <row r="1157" spans="14:14" customFormat="1" x14ac:dyDescent="0.2">
      <c r="N1157" s="116"/>
    </row>
    <row r="1158" spans="14:14" customFormat="1" x14ac:dyDescent="0.2">
      <c r="N1158" s="116"/>
    </row>
    <row r="1159" spans="14:14" customFormat="1" x14ac:dyDescent="0.2">
      <c r="N1159" s="116"/>
    </row>
    <row r="1160" spans="14:14" customFormat="1" x14ac:dyDescent="0.2">
      <c r="N1160" s="116"/>
    </row>
    <row r="1161" spans="14:14" customFormat="1" x14ac:dyDescent="0.2">
      <c r="N1161" s="116"/>
    </row>
    <row r="1162" spans="14:14" customFormat="1" x14ac:dyDescent="0.2">
      <c r="N1162" s="116"/>
    </row>
    <row r="1163" spans="14:14" customFormat="1" x14ac:dyDescent="0.2">
      <c r="N1163" s="116"/>
    </row>
    <row r="1164" spans="14:14" customFormat="1" x14ac:dyDescent="0.2">
      <c r="N1164" s="116"/>
    </row>
    <row r="1165" spans="14:14" customFormat="1" x14ac:dyDescent="0.2">
      <c r="N1165" s="116"/>
    </row>
    <row r="1166" spans="14:14" customFormat="1" x14ac:dyDescent="0.2">
      <c r="N1166" s="116"/>
    </row>
    <row r="1167" spans="14:14" customFormat="1" x14ac:dyDescent="0.2">
      <c r="N1167" s="116"/>
    </row>
    <row r="1168" spans="14:14" customFormat="1" x14ac:dyDescent="0.2">
      <c r="N1168" s="116"/>
    </row>
    <row r="1169" spans="14:14" customFormat="1" x14ac:dyDescent="0.2">
      <c r="N1169" s="116"/>
    </row>
    <row r="1170" spans="14:14" customFormat="1" x14ac:dyDescent="0.2">
      <c r="N1170" s="116"/>
    </row>
    <row r="1171" spans="14:14" customFormat="1" x14ac:dyDescent="0.2">
      <c r="N1171" s="116"/>
    </row>
    <row r="1172" spans="14:14" customFormat="1" x14ac:dyDescent="0.2">
      <c r="N1172" s="116"/>
    </row>
    <row r="1173" spans="14:14" customFormat="1" x14ac:dyDescent="0.2">
      <c r="N1173" s="116"/>
    </row>
    <row r="1174" spans="14:14" customFormat="1" x14ac:dyDescent="0.2">
      <c r="N1174" s="116"/>
    </row>
    <row r="1175" spans="14:14" customFormat="1" x14ac:dyDescent="0.2">
      <c r="N1175" s="116"/>
    </row>
    <row r="1176" spans="14:14" customFormat="1" x14ac:dyDescent="0.2">
      <c r="N1176" s="116"/>
    </row>
    <row r="1177" spans="14:14" customFormat="1" x14ac:dyDescent="0.2">
      <c r="N1177" s="116"/>
    </row>
    <row r="1178" spans="14:14" customFormat="1" x14ac:dyDescent="0.2">
      <c r="N1178" s="116"/>
    </row>
    <row r="1179" spans="14:14" customFormat="1" x14ac:dyDescent="0.2">
      <c r="N1179" s="116"/>
    </row>
    <row r="1180" spans="14:14" customFormat="1" x14ac:dyDescent="0.2">
      <c r="N1180" s="116"/>
    </row>
    <row r="1181" spans="14:14" customFormat="1" x14ac:dyDescent="0.2">
      <c r="N1181" s="116"/>
    </row>
    <row r="1182" spans="14:14" customFormat="1" x14ac:dyDescent="0.2">
      <c r="N1182" s="116"/>
    </row>
    <row r="1183" spans="14:14" customFormat="1" x14ac:dyDescent="0.2">
      <c r="N1183" s="116"/>
    </row>
    <row r="1184" spans="14:14" customFormat="1" x14ac:dyDescent="0.2">
      <c r="N1184" s="116"/>
    </row>
    <row r="1185" spans="14:14" customFormat="1" x14ac:dyDescent="0.2">
      <c r="N1185" s="116"/>
    </row>
    <row r="1186" spans="14:14" customFormat="1" x14ac:dyDescent="0.2">
      <c r="N1186" s="116"/>
    </row>
    <row r="1187" spans="14:14" customFormat="1" x14ac:dyDescent="0.2">
      <c r="N1187" s="116"/>
    </row>
    <row r="1188" spans="14:14" customFormat="1" x14ac:dyDescent="0.2">
      <c r="N1188" s="116"/>
    </row>
    <row r="1189" spans="14:14" customFormat="1" x14ac:dyDescent="0.2">
      <c r="N1189" s="116"/>
    </row>
    <row r="1190" spans="14:14" customFormat="1" x14ac:dyDescent="0.2">
      <c r="N1190" s="116"/>
    </row>
    <row r="1191" spans="14:14" customFormat="1" x14ac:dyDescent="0.2">
      <c r="N1191" s="116"/>
    </row>
    <row r="1192" spans="14:14" customFormat="1" x14ac:dyDescent="0.2">
      <c r="N1192" s="116"/>
    </row>
    <row r="1193" spans="14:14" customFormat="1" x14ac:dyDescent="0.2">
      <c r="N1193" s="116"/>
    </row>
    <row r="1194" spans="14:14" customFormat="1" x14ac:dyDescent="0.2">
      <c r="N1194" s="116"/>
    </row>
    <row r="1195" spans="14:14" customFormat="1" x14ac:dyDescent="0.2">
      <c r="N1195" s="116"/>
    </row>
    <row r="1196" spans="14:14" customFormat="1" x14ac:dyDescent="0.2">
      <c r="N1196" s="116"/>
    </row>
    <row r="1197" spans="14:14" customFormat="1" x14ac:dyDescent="0.2">
      <c r="N1197" s="116"/>
    </row>
    <row r="1198" spans="14:14" customFormat="1" x14ac:dyDescent="0.2">
      <c r="N1198" s="116"/>
    </row>
    <row r="1199" spans="14:14" customFormat="1" x14ac:dyDescent="0.2">
      <c r="N1199" s="116"/>
    </row>
    <row r="1200" spans="14:14" customFormat="1" x14ac:dyDescent="0.2">
      <c r="N1200" s="116"/>
    </row>
    <row r="1201" spans="14:14" customFormat="1" x14ac:dyDescent="0.2">
      <c r="N1201" s="116"/>
    </row>
    <row r="1202" spans="14:14" customFormat="1" x14ac:dyDescent="0.2">
      <c r="N1202" s="116"/>
    </row>
    <row r="1203" spans="14:14" customFormat="1" x14ac:dyDescent="0.2">
      <c r="N1203" s="116"/>
    </row>
    <row r="1204" spans="14:14" customFormat="1" x14ac:dyDescent="0.2">
      <c r="N1204" s="116"/>
    </row>
    <row r="1205" spans="14:14" customFormat="1" x14ac:dyDescent="0.2">
      <c r="N1205" s="116"/>
    </row>
    <row r="1206" spans="14:14" customFormat="1" x14ac:dyDescent="0.2">
      <c r="N1206" s="116"/>
    </row>
    <row r="1207" spans="14:14" customFormat="1" x14ac:dyDescent="0.2">
      <c r="N1207" s="116"/>
    </row>
    <row r="1208" spans="14:14" customFormat="1" x14ac:dyDescent="0.2">
      <c r="N1208" s="116"/>
    </row>
    <row r="1209" spans="14:14" customFormat="1" x14ac:dyDescent="0.2">
      <c r="N1209" s="116"/>
    </row>
    <row r="1210" spans="14:14" customFormat="1" x14ac:dyDescent="0.2">
      <c r="N1210" s="116"/>
    </row>
    <row r="1211" spans="14:14" customFormat="1" x14ac:dyDescent="0.2">
      <c r="N1211" s="116"/>
    </row>
    <row r="1212" spans="14:14" customFormat="1" x14ac:dyDescent="0.2">
      <c r="N1212" s="116"/>
    </row>
    <row r="1213" spans="14:14" customFormat="1" x14ac:dyDescent="0.2">
      <c r="N1213" s="116"/>
    </row>
    <row r="1214" spans="14:14" customFormat="1" x14ac:dyDescent="0.2">
      <c r="N1214" s="116"/>
    </row>
    <row r="1215" spans="14:14" customFormat="1" x14ac:dyDescent="0.2">
      <c r="N1215" s="116"/>
    </row>
    <row r="1216" spans="14:14" customFormat="1" x14ac:dyDescent="0.2">
      <c r="N1216" s="116"/>
    </row>
    <row r="1217" spans="14:14" customFormat="1" x14ac:dyDescent="0.2">
      <c r="N1217" s="116"/>
    </row>
    <row r="1218" spans="14:14" customFormat="1" x14ac:dyDescent="0.2">
      <c r="N1218" s="116"/>
    </row>
    <row r="1219" spans="14:14" customFormat="1" x14ac:dyDescent="0.2">
      <c r="N1219" s="116"/>
    </row>
    <row r="1220" spans="14:14" customFormat="1" x14ac:dyDescent="0.2">
      <c r="N1220" s="116"/>
    </row>
    <row r="1221" spans="14:14" customFormat="1" x14ac:dyDescent="0.2">
      <c r="N1221" s="116"/>
    </row>
    <row r="1222" spans="14:14" customFormat="1" x14ac:dyDescent="0.2">
      <c r="N1222" s="116"/>
    </row>
    <row r="1223" spans="14:14" customFormat="1" x14ac:dyDescent="0.2">
      <c r="N1223" s="116"/>
    </row>
    <row r="1224" spans="14:14" customFormat="1" x14ac:dyDescent="0.2">
      <c r="N1224" s="116"/>
    </row>
    <row r="1225" spans="14:14" customFormat="1" x14ac:dyDescent="0.2">
      <c r="N1225" s="116"/>
    </row>
    <row r="1226" spans="14:14" customFormat="1" x14ac:dyDescent="0.2">
      <c r="N1226" s="116"/>
    </row>
    <row r="1227" spans="14:14" customFormat="1" x14ac:dyDescent="0.2">
      <c r="N1227" s="116"/>
    </row>
    <row r="1228" spans="14:14" customFormat="1" x14ac:dyDescent="0.2">
      <c r="N1228" s="116"/>
    </row>
    <row r="1229" spans="14:14" customFormat="1" x14ac:dyDescent="0.2">
      <c r="N1229" s="116"/>
    </row>
    <row r="1230" spans="14:14" customFormat="1" x14ac:dyDescent="0.2">
      <c r="N1230" s="116"/>
    </row>
    <row r="1231" spans="14:14" customFormat="1" x14ac:dyDescent="0.2">
      <c r="N1231" s="116"/>
    </row>
    <row r="1232" spans="14:14" customFormat="1" x14ac:dyDescent="0.2">
      <c r="N1232" s="116"/>
    </row>
    <row r="1233" spans="14:14" customFormat="1" x14ac:dyDescent="0.2">
      <c r="N1233" s="116"/>
    </row>
    <row r="1234" spans="14:14" customFormat="1" x14ac:dyDescent="0.2">
      <c r="N1234" s="116"/>
    </row>
    <row r="1235" spans="14:14" customFormat="1" x14ac:dyDescent="0.2">
      <c r="N1235" s="116"/>
    </row>
    <row r="1236" spans="14:14" customFormat="1" x14ac:dyDescent="0.2">
      <c r="N1236" s="116"/>
    </row>
    <row r="1237" spans="14:14" customFormat="1" x14ac:dyDescent="0.2">
      <c r="N1237" s="116"/>
    </row>
    <row r="1238" spans="14:14" customFormat="1" x14ac:dyDescent="0.2">
      <c r="N1238" s="116"/>
    </row>
    <row r="1239" spans="14:14" customFormat="1" x14ac:dyDescent="0.2">
      <c r="N1239" s="116"/>
    </row>
    <row r="1240" spans="14:14" customFormat="1" x14ac:dyDescent="0.2">
      <c r="N1240" s="116"/>
    </row>
    <row r="1241" spans="14:14" customFormat="1" x14ac:dyDescent="0.2">
      <c r="N1241" s="116"/>
    </row>
    <row r="1242" spans="14:14" customFormat="1" x14ac:dyDescent="0.2">
      <c r="N1242" s="116"/>
    </row>
    <row r="1243" spans="14:14" customFormat="1" x14ac:dyDescent="0.2">
      <c r="N1243" s="116"/>
    </row>
    <row r="1244" spans="14:14" customFormat="1" x14ac:dyDescent="0.2">
      <c r="N1244" s="116"/>
    </row>
    <row r="1245" spans="14:14" customFormat="1" x14ac:dyDescent="0.2">
      <c r="N1245" s="116"/>
    </row>
    <row r="1246" spans="14:14" customFormat="1" x14ac:dyDescent="0.2">
      <c r="N1246" s="116"/>
    </row>
    <row r="1247" spans="14:14" customFormat="1" x14ac:dyDescent="0.2">
      <c r="N1247" s="116"/>
    </row>
    <row r="1248" spans="14:14" customFormat="1" x14ac:dyDescent="0.2">
      <c r="N1248" s="116"/>
    </row>
    <row r="1249" spans="14:14" customFormat="1" x14ac:dyDescent="0.2">
      <c r="N1249" s="116"/>
    </row>
    <row r="1250" spans="14:14" customFormat="1" x14ac:dyDescent="0.2">
      <c r="N1250" s="116"/>
    </row>
    <row r="1251" spans="14:14" customFormat="1" x14ac:dyDescent="0.2">
      <c r="N1251" s="116"/>
    </row>
    <row r="1252" spans="14:14" customFormat="1" x14ac:dyDescent="0.2">
      <c r="N1252" s="116"/>
    </row>
    <row r="1253" spans="14:14" customFormat="1" x14ac:dyDescent="0.2">
      <c r="N1253" s="116"/>
    </row>
    <row r="1254" spans="14:14" customFormat="1" x14ac:dyDescent="0.2">
      <c r="N1254" s="116"/>
    </row>
    <row r="1255" spans="14:14" customFormat="1" x14ac:dyDescent="0.2">
      <c r="N1255" s="116"/>
    </row>
    <row r="1256" spans="14:14" customFormat="1" x14ac:dyDescent="0.2">
      <c r="N1256" s="116"/>
    </row>
    <row r="1257" spans="14:14" customFormat="1" x14ac:dyDescent="0.2">
      <c r="N1257" s="116"/>
    </row>
    <row r="1258" spans="14:14" customFormat="1" x14ac:dyDescent="0.2">
      <c r="N1258" s="116"/>
    </row>
    <row r="1259" spans="14:14" customFormat="1" x14ac:dyDescent="0.2">
      <c r="N1259" s="116"/>
    </row>
    <row r="1260" spans="14:14" customFormat="1" x14ac:dyDescent="0.2">
      <c r="N1260" s="116"/>
    </row>
    <row r="1261" spans="14:14" customFormat="1" x14ac:dyDescent="0.2">
      <c r="N1261" s="116"/>
    </row>
    <row r="1262" spans="14:14" customFormat="1" x14ac:dyDescent="0.2">
      <c r="N1262" s="116"/>
    </row>
    <row r="1263" spans="14:14" customFormat="1" x14ac:dyDescent="0.2">
      <c r="N1263" s="116"/>
    </row>
    <row r="1264" spans="14:14" customFormat="1" x14ac:dyDescent="0.2">
      <c r="N1264" s="116"/>
    </row>
    <row r="1265" spans="14:14" customFormat="1" x14ac:dyDescent="0.2">
      <c r="N1265" s="116"/>
    </row>
    <row r="1266" spans="14:14" customFormat="1" x14ac:dyDescent="0.2">
      <c r="N1266" s="116"/>
    </row>
    <row r="1267" spans="14:14" customFormat="1" x14ac:dyDescent="0.2">
      <c r="N1267" s="116"/>
    </row>
    <row r="1268" spans="14:14" customFormat="1" x14ac:dyDescent="0.2">
      <c r="N1268" s="116"/>
    </row>
    <row r="1269" spans="14:14" customFormat="1" x14ac:dyDescent="0.2">
      <c r="N1269" s="116"/>
    </row>
    <row r="1270" spans="14:14" customFormat="1" x14ac:dyDescent="0.2">
      <c r="N1270" s="116"/>
    </row>
    <row r="1271" spans="14:14" customFormat="1" x14ac:dyDescent="0.2">
      <c r="N1271" s="116"/>
    </row>
    <row r="1272" spans="14:14" customFormat="1" x14ac:dyDescent="0.2">
      <c r="N1272" s="116"/>
    </row>
    <row r="1273" spans="14:14" customFormat="1" x14ac:dyDescent="0.2">
      <c r="N1273" s="116"/>
    </row>
    <row r="1274" spans="14:14" customFormat="1" x14ac:dyDescent="0.2">
      <c r="N1274" s="116"/>
    </row>
    <row r="1275" spans="14:14" customFormat="1" x14ac:dyDescent="0.2">
      <c r="N1275" s="116"/>
    </row>
    <row r="1276" spans="14:14" customFormat="1" x14ac:dyDescent="0.2">
      <c r="N1276" s="116"/>
    </row>
    <row r="1277" spans="14:14" customFormat="1" x14ac:dyDescent="0.2">
      <c r="N1277" s="116"/>
    </row>
    <row r="1278" spans="14:14" customFormat="1" x14ac:dyDescent="0.2">
      <c r="N1278" s="116"/>
    </row>
    <row r="1279" spans="14:14" customFormat="1" x14ac:dyDescent="0.2">
      <c r="N1279" s="116"/>
    </row>
    <row r="1280" spans="14:14" customFormat="1" x14ac:dyDescent="0.2">
      <c r="N1280" s="116"/>
    </row>
    <row r="1281" spans="14:14" customFormat="1" x14ac:dyDescent="0.2">
      <c r="N1281" s="116"/>
    </row>
    <row r="1282" spans="14:14" customFormat="1" x14ac:dyDescent="0.2">
      <c r="N1282" s="116"/>
    </row>
    <row r="1283" spans="14:14" customFormat="1" x14ac:dyDescent="0.2">
      <c r="N1283" s="116"/>
    </row>
    <row r="1284" spans="14:14" customFormat="1" x14ac:dyDescent="0.2">
      <c r="N1284" s="116"/>
    </row>
    <row r="1285" spans="14:14" customFormat="1" x14ac:dyDescent="0.2">
      <c r="N1285" s="116"/>
    </row>
    <row r="1286" spans="14:14" customFormat="1" x14ac:dyDescent="0.2">
      <c r="N1286" s="116"/>
    </row>
    <row r="1287" spans="14:14" customFormat="1" x14ac:dyDescent="0.2">
      <c r="N1287" s="116"/>
    </row>
    <row r="1288" spans="14:14" customFormat="1" x14ac:dyDescent="0.2">
      <c r="N1288" s="116"/>
    </row>
    <row r="1289" spans="14:14" customFormat="1" x14ac:dyDescent="0.2">
      <c r="N1289" s="116"/>
    </row>
    <row r="1290" spans="14:14" customFormat="1" x14ac:dyDescent="0.2">
      <c r="N1290" s="116"/>
    </row>
    <row r="1291" spans="14:14" customFormat="1" x14ac:dyDescent="0.2">
      <c r="N1291" s="116"/>
    </row>
    <row r="1292" spans="14:14" customFormat="1" x14ac:dyDescent="0.2">
      <c r="N1292" s="116"/>
    </row>
    <row r="1293" spans="14:14" customFormat="1" x14ac:dyDescent="0.2">
      <c r="N1293" s="116"/>
    </row>
    <row r="1294" spans="14:14" customFormat="1" x14ac:dyDescent="0.2">
      <c r="N1294" s="116"/>
    </row>
    <row r="1295" spans="14:14" customFormat="1" x14ac:dyDescent="0.2">
      <c r="N1295" s="116"/>
    </row>
    <row r="1296" spans="14:14" customFormat="1" x14ac:dyDescent="0.2">
      <c r="N1296" s="116"/>
    </row>
    <row r="1297" spans="14:14" customFormat="1" x14ac:dyDescent="0.2">
      <c r="N1297" s="116"/>
    </row>
    <row r="1298" spans="14:14" customFormat="1" x14ac:dyDescent="0.2">
      <c r="N1298" s="116"/>
    </row>
    <row r="1299" spans="14:14" customFormat="1" x14ac:dyDescent="0.2">
      <c r="N1299" s="116"/>
    </row>
    <row r="1300" spans="14:14" customFormat="1" x14ac:dyDescent="0.2">
      <c r="N1300" s="116"/>
    </row>
    <row r="1301" spans="14:14" customFormat="1" x14ac:dyDescent="0.2">
      <c r="N1301" s="116"/>
    </row>
    <row r="1302" spans="14:14" customFormat="1" x14ac:dyDescent="0.2">
      <c r="N1302" s="116"/>
    </row>
    <row r="1303" spans="14:14" customFormat="1" x14ac:dyDescent="0.2">
      <c r="N1303" s="116"/>
    </row>
    <row r="1304" spans="14:14" customFormat="1" x14ac:dyDescent="0.2">
      <c r="N1304" s="116"/>
    </row>
    <row r="1305" spans="14:14" customFormat="1" x14ac:dyDescent="0.2">
      <c r="N1305" s="116"/>
    </row>
    <row r="1306" spans="14:14" customFormat="1" x14ac:dyDescent="0.2">
      <c r="N1306" s="116"/>
    </row>
    <row r="1307" spans="14:14" customFormat="1" x14ac:dyDescent="0.2">
      <c r="N1307" s="116"/>
    </row>
    <row r="1308" spans="14:14" customFormat="1" x14ac:dyDescent="0.2">
      <c r="N1308" s="116"/>
    </row>
    <row r="1309" spans="14:14" customFormat="1" x14ac:dyDescent="0.2">
      <c r="N1309" s="116"/>
    </row>
    <row r="1310" spans="14:14" customFormat="1" x14ac:dyDescent="0.2">
      <c r="N1310" s="116"/>
    </row>
    <row r="1311" spans="14:14" customFormat="1" x14ac:dyDescent="0.2">
      <c r="N1311" s="116"/>
    </row>
    <row r="1312" spans="14:14" customFormat="1" x14ac:dyDescent="0.2">
      <c r="N1312" s="116"/>
    </row>
    <row r="1313" spans="14:14" customFormat="1" x14ac:dyDescent="0.2">
      <c r="N1313" s="116"/>
    </row>
    <row r="1314" spans="14:14" customFormat="1" x14ac:dyDescent="0.2">
      <c r="N1314" s="116"/>
    </row>
    <row r="1315" spans="14:14" customFormat="1" x14ac:dyDescent="0.2">
      <c r="N1315" s="116"/>
    </row>
    <row r="1316" spans="14:14" customFormat="1" x14ac:dyDescent="0.2">
      <c r="N1316" s="116"/>
    </row>
    <row r="1317" spans="14:14" customFormat="1" x14ac:dyDescent="0.2">
      <c r="N1317" s="116"/>
    </row>
    <row r="1318" spans="14:14" customFormat="1" x14ac:dyDescent="0.2">
      <c r="N1318" s="116"/>
    </row>
    <row r="1319" spans="14:14" customFormat="1" x14ac:dyDescent="0.2">
      <c r="N1319" s="116"/>
    </row>
    <row r="1320" spans="14:14" customFormat="1" x14ac:dyDescent="0.2">
      <c r="N1320" s="116"/>
    </row>
    <row r="1321" spans="14:14" customFormat="1" x14ac:dyDescent="0.2">
      <c r="N1321" s="116"/>
    </row>
    <row r="1322" spans="14:14" customFormat="1" x14ac:dyDescent="0.2">
      <c r="N1322" s="116"/>
    </row>
    <row r="1323" spans="14:14" customFormat="1" x14ac:dyDescent="0.2">
      <c r="N1323" s="116"/>
    </row>
    <row r="1324" spans="14:14" customFormat="1" x14ac:dyDescent="0.2">
      <c r="N1324" s="116"/>
    </row>
    <row r="1325" spans="14:14" customFormat="1" x14ac:dyDescent="0.2">
      <c r="N1325" s="116"/>
    </row>
    <row r="1326" spans="14:14" customFormat="1" x14ac:dyDescent="0.2">
      <c r="N1326" s="116"/>
    </row>
    <row r="1327" spans="14:14" customFormat="1" x14ac:dyDescent="0.2">
      <c r="N1327" s="116"/>
    </row>
    <row r="1328" spans="14:14" customFormat="1" x14ac:dyDescent="0.2">
      <c r="N1328" s="116"/>
    </row>
    <row r="1329" spans="14:14" customFormat="1" x14ac:dyDescent="0.2">
      <c r="N1329" s="116"/>
    </row>
    <row r="1330" spans="14:14" customFormat="1" x14ac:dyDescent="0.2">
      <c r="N1330" s="116"/>
    </row>
    <row r="1331" spans="14:14" customFormat="1" x14ac:dyDescent="0.2">
      <c r="N1331" s="116"/>
    </row>
    <row r="1332" spans="14:14" customFormat="1" x14ac:dyDescent="0.2">
      <c r="N1332" s="116"/>
    </row>
    <row r="1333" spans="14:14" customFormat="1" x14ac:dyDescent="0.2">
      <c r="N1333" s="116"/>
    </row>
    <row r="1334" spans="14:14" customFormat="1" x14ac:dyDescent="0.2">
      <c r="N1334" s="116"/>
    </row>
    <row r="1335" spans="14:14" customFormat="1" x14ac:dyDescent="0.2">
      <c r="N1335" s="116"/>
    </row>
    <row r="1336" spans="14:14" customFormat="1" x14ac:dyDescent="0.2">
      <c r="N1336" s="116"/>
    </row>
    <row r="1337" spans="14:14" customFormat="1" x14ac:dyDescent="0.2">
      <c r="N1337" s="116"/>
    </row>
    <row r="1338" spans="14:14" customFormat="1" x14ac:dyDescent="0.2">
      <c r="N1338" s="116"/>
    </row>
    <row r="1339" spans="14:14" customFormat="1" x14ac:dyDescent="0.2">
      <c r="N1339" s="116"/>
    </row>
    <row r="1340" spans="14:14" customFormat="1" x14ac:dyDescent="0.2">
      <c r="N1340" s="116"/>
    </row>
    <row r="1341" spans="14:14" customFormat="1" x14ac:dyDescent="0.2">
      <c r="N1341" s="116"/>
    </row>
    <row r="1342" spans="14:14" customFormat="1" x14ac:dyDescent="0.2">
      <c r="N1342" s="116"/>
    </row>
    <row r="1343" spans="14:14" customFormat="1" x14ac:dyDescent="0.2">
      <c r="N1343" s="116"/>
    </row>
    <row r="1344" spans="14:14" customFormat="1" x14ac:dyDescent="0.2">
      <c r="N1344" s="116"/>
    </row>
    <row r="1345" spans="14:14" customFormat="1" x14ac:dyDescent="0.2">
      <c r="N1345" s="116"/>
    </row>
    <row r="1346" spans="14:14" customFormat="1" x14ac:dyDescent="0.2">
      <c r="N1346" s="116"/>
    </row>
    <row r="1347" spans="14:14" customFormat="1" x14ac:dyDescent="0.2">
      <c r="N1347" s="116"/>
    </row>
    <row r="1348" spans="14:14" customFormat="1" x14ac:dyDescent="0.2">
      <c r="N1348" s="116"/>
    </row>
    <row r="1349" spans="14:14" customFormat="1" x14ac:dyDescent="0.2">
      <c r="N1349" s="116"/>
    </row>
    <row r="1350" spans="14:14" customFormat="1" x14ac:dyDescent="0.2">
      <c r="N1350" s="116"/>
    </row>
    <row r="1351" spans="14:14" customFormat="1" x14ac:dyDescent="0.2">
      <c r="N1351" s="116"/>
    </row>
    <row r="1352" spans="14:14" customFormat="1" x14ac:dyDescent="0.2">
      <c r="N1352" s="116"/>
    </row>
    <row r="1353" spans="14:14" customFormat="1" x14ac:dyDescent="0.2">
      <c r="N1353" s="116"/>
    </row>
    <row r="1354" spans="14:14" customFormat="1" x14ac:dyDescent="0.2">
      <c r="N1354" s="116"/>
    </row>
    <row r="1355" spans="14:14" customFormat="1" x14ac:dyDescent="0.2">
      <c r="N1355" s="116"/>
    </row>
    <row r="1356" spans="14:14" customFormat="1" x14ac:dyDescent="0.2">
      <c r="N1356" s="116"/>
    </row>
    <row r="1357" spans="14:14" customFormat="1" x14ac:dyDescent="0.2">
      <c r="N1357" s="116"/>
    </row>
    <row r="1358" spans="14:14" customFormat="1" x14ac:dyDescent="0.2">
      <c r="N1358" s="116"/>
    </row>
    <row r="1359" spans="14:14" customFormat="1" x14ac:dyDescent="0.2">
      <c r="N1359" s="116"/>
    </row>
    <row r="1360" spans="14:14" customFormat="1" x14ac:dyDescent="0.2">
      <c r="N1360" s="116"/>
    </row>
    <row r="1361" spans="14:14" customFormat="1" x14ac:dyDescent="0.2">
      <c r="N1361" s="116"/>
    </row>
    <row r="1362" spans="14:14" customFormat="1" x14ac:dyDescent="0.2">
      <c r="N1362" s="116"/>
    </row>
    <row r="1363" spans="14:14" customFormat="1" x14ac:dyDescent="0.2">
      <c r="N1363" s="116"/>
    </row>
    <row r="1364" spans="14:14" customFormat="1" x14ac:dyDescent="0.2">
      <c r="N1364" s="116"/>
    </row>
    <row r="1365" spans="14:14" customFormat="1" x14ac:dyDescent="0.2">
      <c r="N1365" s="116"/>
    </row>
    <row r="1366" spans="14:14" customFormat="1" x14ac:dyDescent="0.2">
      <c r="N1366" s="116"/>
    </row>
    <row r="1367" spans="14:14" customFormat="1" x14ac:dyDescent="0.2">
      <c r="N1367" s="116"/>
    </row>
    <row r="1368" spans="14:14" customFormat="1" x14ac:dyDescent="0.2">
      <c r="N1368" s="116"/>
    </row>
    <row r="1369" spans="14:14" customFormat="1" x14ac:dyDescent="0.2">
      <c r="N1369" s="116"/>
    </row>
    <row r="1370" spans="14:14" customFormat="1" x14ac:dyDescent="0.2">
      <c r="N1370" s="116"/>
    </row>
    <row r="1371" spans="14:14" customFormat="1" x14ac:dyDescent="0.2">
      <c r="N1371" s="116"/>
    </row>
    <row r="1372" spans="14:14" customFormat="1" x14ac:dyDescent="0.2">
      <c r="N1372" s="116"/>
    </row>
    <row r="1373" spans="14:14" customFormat="1" x14ac:dyDescent="0.2">
      <c r="N1373" s="116"/>
    </row>
    <row r="1374" spans="14:14" customFormat="1" x14ac:dyDescent="0.2">
      <c r="N1374" s="116"/>
    </row>
    <row r="1375" spans="14:14" customFormat="1" x14ac:dyDescent="0.2">
      <c r="N1375" s="116"/>
    </row>
    <row r="1376" spans="14:14" customFormat="1" x14ac:dyDescent="0.2">
      <c r="N1376" s="116"/>
    </row>
    <row r="1377" spans="14:14" customFormat="1" x14ac:dyDescent="0.2">
      <c r="N1377" s="116"/>
    </row>
    <row r="1378" spans="14:14" customFormat="1" x14ac:dyDescent="0.2">
      <c r="N1378" s="116"/>
    </row>
    <row r="1379" spans="14:14" customFormat="1" x14ac:dyDescent="0.2">
      <c r="N1379" s="116"/>
    </row>
    <row r="1380" spans="14:14" customFormat="1" x14ac:dyDescent="0.2">
      <c r="N1380" s="116"/>
    </row>
    <row r="1381" spans="14:14" customFormat="1" x14ac:dyDescent="0.2">
      <c r="N1381" s="116"/>
    </row>
    <row r="1382" spans="14:14" customFormat="1" x14ac:dyDescent="0.2">
      <c r="N1382" s="116"/>
    </row>
    <row r="1383" spans="14:14" customFormat="1" x14ac:dyDescent="0.2">
      <c r="N1383" s="116"/>
    </row>
    <row r="1384" spans="14:14" customFormat="1" x14ac:dyDescent="0.2">
      <c r="N1384" s="116"/>
    </row>
    <row r="1385" spans="14:14" customFormat="1" x14ac:dyDescent="0.2">
      <c r="N1385" s="116"/>
    </row>
    <row r="1386" spans="14:14" customFormat="1" x14ac:dyDescent="0.2">
      <c r="N1386" s="116"/>
    </row>
    <row r="1387" spans="14:14" customFormat="1" x14ac:dyDescent="0.2">
      <c r="N1387" s="116"/>
    </row>
    <row r="1388" spans="14:14" customFormat="1" x14ac:dyDescent="0.2">
      <c r="N1388" s="116"/>
    </row>
    <row r="1389" spans="14:14" customFormat="1" x14ac:dyDescent="0.2">
      <c r="N1389" s="116"/>
    </row>
    <row r="1390" spans="14:14" customFormat="1" x14ac:dyDescent="0.2">
      <c r="N1390" s="116"/>
    </row>
    <row r="1391" spans="14:14" customFormat="1" x14ac:dyDescent="0.2">
      <c r="N1391" s="116"/>
    </row>
    <row r="1392" spans="14:14" customFormat="1" x14ac:dyDescent="0.2">
      <c r="N1392" s="116"/>
    </row>
    <row r="1393" spans="14:14" customFormat="1" x14ac:dyDescent="0.2">
      <c r="N1393" s="116"/>
    </row>
    <row r="1394" spans="14:14" customFormat="1" x14ac:dyDescent="0.2">
      <c r="N1394" s="116"/>
    </row>
    <row r="1395" spans="14:14" customFormat="1" x14ac:dyDescent="0.2">
      <c r="N1395" s="116"/>
    </row>
    <row r="1396" spans="14:14" customFormat="1" x14ac:dyDescent="0.2">
      <c r="N1396" s="116"/>
    </row>
    <row r="1397" spans="14:14" customFormat="1" x14ac:dyDescent="0.2">
      <c r="N1397" s="116"/>
    </row>
    <row r="1398" spans="14:14" customFormat="1" x14ac:dyDescent="0.2">
      <c r="N1398" s="116"/>
    </row>
    <row r="1399" spans="14:14" customFormat="1" x14ac:dyDescent="0.2">
      <c r="N1399" s="116"/>
    </row>
    <row r="1400" spans="14:14" customFormat="1" x14ac:dyDescent="0.2">
      <c r="N1400" s="116"/>
    </row>
    <row r="1401" spans="14:14" customFormat="1" x14ac:dyDescent="0.2">
      <c r="N1401" s="116"/>
    </row>
    <row r="1402" spans="14:14" customFormat="1" x14ac:dyDescent="0.2">
      <c r="N1402" s="116"/>
    </row>
    <row r="1403" spans="14:14" customFormat="1" x14ac:dyDescent="0.2">
      <c r="N1403" s="116"/>
    </row>
    <row r="1404" spans="14:14" customFormat="1" x14ac:dyDescent="0.2">
      <c r="N1404" s="116"/>
    </row>
    <row r="1405" spans="14:14" customFormat="1" x14ac:dyDescent="0.2">
      <c r="N1405" s="116"/>
    </row>
    <row r="1406" spans="14:14" customFormat="1" x14ac:dyDescent="0.2">
      <c r="N1406" s="116"/>
    </row>
    <row r="1407" spans="14:14" customFormat="1" x14ac:dyDescent="0.2">
      <c r="N1407" s="116"/>
    </row>
    <row r="1408" spans="14:14" customFormat="1" x14ac:dyDescent="0.2">
      <c r="N1408" s="116"/>
    </row>
    <row r="1409" spans="14:14" customFormat="1" x14ac:dyDescent="0.2">
      <c r="N1409" s="116"/>
    </row>
    <row r="1410" spans="14:14" customFormat="1" x14ac:dyDescent="0.2">
      <c r="N1410" s="116"/>
    </row>
    <row r="1411" spans="14:14" customFormat="1" x14ac:dyDescent="0.2">
      <c r="N1411" s="116"/>
    </row>
    <row r="1412" spans="14:14" customFormat="1" x14ac:dyDescent="0.2">
      <c r="N1412" s="116"/>
    </row>
    <row r="1413" spans="14:14" customFormat="1" x14ac:dyDescent="0.2">
      <c r="N1413" s="116"/>
    </row>
    <row r="1414" spans="14:14" customFormat="1" x14ac:dyDescent="0.2">
      <c r="N1414" s="116"/>
    </row>
    <row r="1415" spans="14:14" customFormat="1" x14ac:dyDescent="0.2">
      <c r="N1415" s="116"/>
    </row>
    <row r="1416" spans="14:14" customFormat="1" x14ac:dyDescent="0.2">
      <c r="N1416" s="116"/>
    </row>
    <row r="1417" spans="14:14" customFormat="1" x14ac:dyDescent="0.2">
      <c r="N1417" s="116"/>
    </row>
    <row r="1418" spans="14:14" customFormat="1" x14ac:dyDescent="0.2">
      <c r="N1418" s="116"/>
    </row>
    <row r="1419" spans="14:14" customFormat="1" x14ac:dyDescent="0.2">
      <c r="N1419" s="116"/>
    </row>
    <row r="1420" spans="14:14" customFormat="1" x14ac:dyDescent="0.2">
      <c r="N1420" s="116"/>
    </row>
    <row r="1421" spans="14:14" customFormat="1" x14ac:dyDescent="0.2">
      <c r="N1421" s="116"/>
    </row>
    <row r="1422" spans="14:14" customFormat="1" x14ac:dyDescent="0.2">
      <c r="N1422" s="116"/>
    </row>
    <row r="1423" spans="14:14" customFormat="1" x14ac:dyDescent="0.2">
      <c r="N1423" s="116"/>
    </row>
    <row r="1424" spans="14:14" customFormat="1" x14ac:dyDescent="0.2">
      <c r="N1424" s="116"/>
    </row>
    <row r="1425" spans="14:14" customFormat="1" x14ac:dyDescent="0.2">
      <c r="N1425" s="116"/>
    </row>
    <row r="1426" spans="14:14" customFormat="1" x14ac:dyDescent="0.2">
      <c r="N1426" s="116"/>
    </row>
    <row r="1427" spans="14:14" customFormat="1" x14ac:dyDescent="0.2">
      <c r="N1427" s="116"/>
    </row>
    <row r="1428" spans="14:14" customFormat="1" x14ac:dyDescent="0.2">
      <c r="N1428" s="116"/>
    </row>
    <row r="1429" spans="14:14" customFormat="1" x14ac:dyDescent="0.2">
      <c r="N1429" s="116"/>
    </row>
    <row r="1430" spans="14:14" customFormat="1" x14ac:dyDescent="0.2">
      <c r="N1430" s="116"/>
    </row>
    <row r="1431" spans="14:14" customFormat="1" x14ac:dyDescent="0.2">
      <c r="N1431" s="116"/>
    </row>
    <row r="1432" spans="14:14" customFormat="1" x14ac:dyDescent="0.2">
      <c r="N1432" s="116"/>
    </row>
    <row r="1433" spans="14:14" customFormat="1" x14ac:dyDescent="0.2">
      <c r="N1433" s="116"/>
    </row>
    <row r="1434" spans="14:14" customFormat="1" x14ac:dyDescent="0.2">
      <c r="N1434" s="116"/>
    </row>
    <row r="1435" spans="14:14" customFormat="1" x14ac:dyDescent="0.2">
      <c r="N1435" s="116"/>
    </row>
    <row r="1436" spans="14:14" customFormat="1" x14ac:dyDescent="0.2">
      <c r="N1436" s="116"/>
    </row>
    <row r="1437" spans="14:14" customFormat="1" x14ac:dyDescent="0.2">
      <c r="N1437" s="116"/>
    </row>
    <row r="1438" spans="14:14" customFormat="1" x14ac:dyDescent="0.2">
      <c r="N1438" s="116"/>
    </row>
    <row r="1439" spans="14:14" customFormat="1" x14ac:dyDescent="0.2">
      <c r="N1439" s="116"/>
    </row>
    <row r="1440" spans="14:14" customFormat="1" x14ac:dyDescent="0.2">
      <c r="N1440" s="116"/>
    </row>
    <row r="1441" spans="14:14" customFormat="1" x14ac:dyDescent="0.2">
      <c r="N1441" s="116"/>
    </row>
    <row r="1442" spans="14:14" customFormat="1" x14ac:dyDescent="0.2">
      <c r="N1442" s="116"/>
    </row>
    <row r="1443" spans="14:14" customFormat="1" x14ac:dyDescent="0.2">
      <c r="N1443" s="116"/>
    </row>
    <row r="1444" spans="14:14" customFormat="1" x14ac:dyDescent="0.2">
      <c r="N1444" s="116"/>
    </row>
    <row r="1445" spans="14:14" customFormat="1" x14ac:dyDescent="0.2">
      <c r="N1445" s="116"/>
    </row>
    <row r="1446" spans="14:14" customFormat="1" x14ac:dyDescent="0.2">
      <c r="N1446" s="116"/>
    </row>
    <row r="1447" spans="14:14" customFormat="1" x14ac:dyDescent="0.2">
      <c r="N1447" s="116"/>
    </row>
    <row r="1448" spans="14:14" customFormat="1" x14ac:dyDescent="0.2">
      <c r="N1448" s="116"/>
    </row>
    <row r="1449" spans="14:14" customFormat="1" x14ac:dyDescent="0.2">
      <c r="N1449" s="116"/>
    </row>
    <row r="1450" spans="14:14" customFormat="1" x14ac:dyDescent="0.2">
      <c r="N1450" s="116"/>
    </row>
    <row r="1451" spans="14:14" customFormat="1" x14ac:dyDescent="0.2">
      <c r="N1451" s="116"/>
    </row>
    <row r="1452" spans="14:14" customFormat="1" x14ac:dyDescent="0.2">
      <c r="N1452" s="116"/>
    </row>
    <row r="1453" spans="14:14" customFormat="1" x14ac:dyDescent="0.2">
      <c r="N1453" s="116"/>
    </row>
    <row r="1454" spans="14:14" customFormat="1" x14ac:dyDescent="0.2">
      <c r="N1454" s="116"/>
    </row>
    <row r="1455" spans="14:14" customFormat="1" x14ac:dyDescent="0.2">
      <c r="N1455" s="116"/>
    </row>
    <row r="1456" spans="14:14" customFormat="1" x14ac:dyDescent="0.2">
      <c r="N1456" s="116"/>
    </row>
    <row r="1457" spans="14:14" customFormat="1" x14ac:dyDescent="0.2">
      <c r="N1457" s="116"/>
    </row>
    <row r="1458" spans="14:14" customFormat="1" x14ac:dyDescent="0.2">
      <c r="N1458" s="116"/>
    </row>
    <row r="1459" spans="14:14" customFormat="1" x14ac:dyDescent="0.2">
      <c r="N1459" s="116"/>
    </row>
    <row r="1460" spans="14:14" customFormat="1" x14ac:dyDescent="0.2">
      <c r="N1460" s="116"/>
    </row>
    <row r="1461" spans="14:14" customFormat="1" x14ac:dyDescent="0.2">
      <c r="N1461" s="116"/>
    </row>
    <row r="1462" spans="14:14" customFormat="1" x14ac:dyDescent="0.2">
      <c r="N1462" s="116"/>
    </row>
    <row r="1463" spans="14:14" customFormat="1" x14ac:dyDescent="0.2">
      <c r="N1463" s="116"/>
    </row>
    <row r="1464" spans="14:14" customFormat="1" x14ac:dyDescent="0.2">
      <c r="N1464" s="116"/>
    </row>
    <row r="1465" spans="14:14" customFormat="1" x14ac:dyDescent="0.2">
      <c r="N1465" s="116"/>
    </row>
    <row r="1466" spans="14:14" customFormat="1" x14ac:dyDescent="0.2">
      <c r="N1466" s="116"/>
    </row>
    <row r="1467" spans="14:14" customFormat="1" x14ac:dyDescent="0.2">
      <c r="N1467" s="116"/>
    </row>
    <row r="1468" spans="14:14" customFormat="1" x14ac:dyDescent="0.2">
      <c r="N1468" s="116"/>
    </row>
    <row r="1469" spans="14:14" customFormat="1" x14ac:dyDescent="0.2">
      <c r="N1469" s="116"/>
    </row>
    <row r="1470" spans="14:14" customFormat="1" x14ac:dyDescent="0.2">
      <c r="N1470" s="116"/>
    </row>
    <row r="1471" spans="14:14" customFormat="1" x14ac:dyDescent="0.2">
      <c r="N1471" s="116"/>
    </row>
    <row r="1472" spans="14:14" customFormat="1" x14ac:dyDescent="0.2">
      <c r="N1472" s="116"/>
    </row>
    <row r="1473" spans="14:14" customFormat="1" x14ac:dyDescent="0.2">
      <c r="N1473" s="116"/>
    </row>
    <row r="1474" spans="14:14" customFormat="1" x14ac:dyDescent="0.2">
      <c r="N1474" s="116"/>
    </row>
    <row r="1475" spans="14:14" customFormat="1" x14ac:dyDescent="0.2">
      <c r="N1475" s="116"/>
    </row>
    <row r="1476" spans="14:14" customFormat="1" x14ac:dyDescent="0.2">
      <c r="N1476" s="116"/>
    </row>
    <row r="1477" spans="14:14" customFormat="1" x14ac:dyDescent="0.2">
      <c r="N1477" s="116"/>
    </row>
    <row r="1478" spans="14:14" customFormat="1" x14ac:dyDescent="0.2">
      <c r="N1478" s="116"/>
    </row>
    <row r="1479" spans="14:14" customFormat="1" x14ac:dyDescent="0.2">
      <c r="N1479" s="116"/>
    </row>
    <row r="1480" spans="14:14" customFormat="1" x14ac:dyDescent="0.2">
      <c r="N1480" s="116"/>
    </row>
    <row r="1481" spans="14:14" customFormat="1" x14ac:dyDescent="0.2">
      <c r="N1481" s="116"/>
    </row>
    <row r="1482" spans="14:14" customFormat="1" x14ac:dyDescent="0.2">
      <c r="N1482" s="116"/>
    </row>
    <row r="1483" spans="14:14" customFormat="1" x14ac:dyDescent="0.2">
      <c r="N1483" s="116"/>
    </row>
    <row r="1484" spans="14:14" customFormat="1" x14ac:dyDescent="0.2">
      <c r="N1484" s="116"/>
    </row>
    <row r="1485" spans="14:14" customFormat="1" x14ac:dyDescent="0.2">
      <c r="N1485" s="116"/>
    </row>
    <row r="1486" spans="14:14" customFormat="1" x14ac:dyDescent="0.2">
      <c r="N1486" s="116"/>
    </row>
    <row r="1487" spans="14:14" customFormat="1" x14ac:dyDescent="0.2">
      <c r="N1487" s="116"/>
    </row>
    <row r="1488" spans="14:14" customFormat="1" x14ac:dyDescent="0.2">
      <c r="N1488" s="116"/>
    </row>
    <row r="1489" spans="14:14" customFormat="1" x14ac:dyDescent="0.2">
      <c r="N1489" s="116"/>
    </row>
    <row r="1490" spans="14:14" customFormat="1" x14ac:dyDescent="0.2">
      <c r="N1490" s="116"/>
    </row>
    <row r="1491" spans="14:14" customFormat="1" x14ac:dyDescent="0.2">
      <c r="N1491" s="116"/>
    </row>
    <row r="1492" spans="14:14" customFormat="1" x14ac:dyDescent="0.2">
      <c r="N1492" s="116"/>
    </row>
    <row r="1493" spans="14:14" customFormat="1" x14ac:dyDescent="0.2">
      <c r="N1493" s="116"/>
    </row>
    <row r="1494" spans="14:14" customFormat="1" x14ac:dyDescent="0.2">
      <c r="N1494" s="116"/>
    </row>
    <row r="1495" spans="14:14" customFormat="1" x14ac:dyDescent="0.2">
      <c r="N1495" s="116"/>
    </row>
    <row r="1496" spans="14:14" customFormat="1" x14ac:dyDescent="0.2">
      <c r="N1496" s="116"/>
    </row>
    <row r="1497" spans="14:14" customFormat="1" x14ac:dyDescent="0.2">
      <c r="N1497" s="116"/>
    </row>
    <row r="1498" spans="14:14" customFormat="1" x14ac:dyDescent="0.2">
      <c r="N1498" s="116"/>
    </row>
    <row r="1499" spans="14:14" customFormat="1" x14ac:dyDescent="0.2">
      <c r="N1499" s="116"/>
    </row>
    <row r="1500" spans="14:14" customFormat="1" x14ac:dyDescent="0.2">
      <c r="N1500" s="116"/>
    </row>
    <row r="1501" spans="14:14" customFormat="1" x14ac:dyDescent="0.2">
      <c r="N1501" s="116"/>
    </row>
    <row r="1502" spans="14:14" customFormat="1" x14ac:dyDescent="0.2">
      <c r="N1502" s="116"/>
    </row>
    <row r="1503" spans="14:14" customFormat="1" x14ac:dyDescent="0.2">
      <c r="N1503" s="116"/>
    </row>
    <row r="1504" spans="14:14" customFormat="1" x14ac:dyDescent="0.2">
      <c r="N1504" s="116"/>
    </row>
    <row r="1505" spans="1:4" x14ac:dyDescent="0.2">
      <c r="A1505"/>
      <c r="B1505"/>
      <c r="C1505"/>
      <c r="D1505"/>
    </row>
    <row r="1506" spans="1:4" x14ac:dyDescent="0.2">
      <c r="A1506"/>
      <c r="B1506"/>
      <c r="C1506"/>
      <c r="D1506"/>
    </row>
    <row r="1507" spans="1:4" x14ac:dyDescent="0.2">
      <c r="A1507"/>
      <c r="B1507"/>
      <c r="C1507"/>
      <c r="D1507"/>
    </row>
    <row r="1508" spans="1:4" x14ac:dyDescent="0.2">
      <c r="A1508"/>
      <c r="B1508"/>
      <c r="C1508"/>
      <c r="D1508"/>
    </row>
    <row r="1509" spans="1:4" x14ac:dyDescent="0.2">
      <c r="A1509"/>
      <c r="B1509"/>
      <c r="C1509"/>
      <c r="D1509"/>
    </row>
    <row r="1510" spans="1:4" x14ac:dyDescent="0.2">
      <c r="A1510"/>
      <c r="B1510"/>
      <c r="C1510"/>
      <c r="D1510"/>
    </row>
    <row r="1511" spans="1:4" x14ac:dyDescent="0.2">
      <c r="A1511"/>
    </row>
    <row r="1512" spans="1:4" x14ac:dyDescent="0.2">
      <c r="A1512"/>
    </row>
    <row r="1513" spans="1:4" x14ac:dyDescent="0.2">
      <c r="A1513"/>
    </row>
    <row r="1514" spans="1:4" x14ac:dyDescent="0.2">
      <c r="A1514"/>
    </row>
    <row r="1515" spans="1:4" x14ac:dyDescent="0.2">
      <c r="A1515"/>
    </row>
    <row r="1516" spans="1:4" x14ac:dyDescent="0.2">
      <c r="A1516"/>
    </row>
    <row r="1517" spans="1:4" x14ac:dyDescent="0.2">
      <c r="A1517"/>
    </row>
    <row r="1518" spans="1:4" x14ac:dyDescent="0.2">
      <c r="A1518"/>
    </row>
    <row r="1519" spans="1:4" x14ac:dyDescent="0.2">
      <c r="A1519"/>
    </row>
    <row r="1520" spans="1:4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</sheetData>
  <sortState xmlns:xlrd2="http://schemas.microsoft.com/office/spreadsheetml/2017/richdata2" ref="A4:C1450">
    <sortCondition ref="A4"/>
  </sortState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Q61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18.5703125" bestFit="1" customWidth="1"/>
    <col min="2" max="2" width="17.85546875" customWidth="1"/>
    <col min="3" max="3" width="11.42578125" customWidth="1"/>
    <col min="4" max="4" width="15.42578125" customWidth="1"/>
    <col min="5" max="5" width="6.7109375" customWidth="1"/>
    <col min="6" max="6" width="6.42578125" customWidth="1"/>
    <col min="7" max="7" width="6.28515625" customWidth="1"/>
    <col min="8" max="8" width="13.140625" customWidth="1"/>
    <col min="9" max="9" width="19.7109375" bestFit="1" customWidth="1"/>
    <col min="13" max="13" width="10.42578125" customWidth="1"/>
    <col min="16" max="16" width="13.140625" bestFit="1" customWidth="1"/>
    <col min="17" max="17" width="4.5703125" bestFit="1" customWidth="1"/>
  </cols>
  <sheetData>
    <row r="1" spans="1:17" ht="25.5" x14ac:dyDescent="0.2">
      <c r="A1" s="23" t="s">
        <v>50</v>
      </c>
      <c r="B1" s="16" t="s">
        <v>8</v>
      </c>
      <c r="C1" s="16" t="s">
        <v>21</v>
      </c>
      <c r="D1" s="82" t="s">
        <v>51</v>
      </c>
      <c r="E1" s="26"/>
      <c r="F1" s="25" t="s">
        <v>52</v>
      </c>
      <c r="G1" s="25" t="s">
        <v>53</v>
      </c>
      <c r="H1" s="16" t="s">
        <v>8</v>
      </c>
      <c r="I1" s="82" t="s">
        <v>51</v>
      </c>
      <c r="J1" s="25" t="s">
        <v>39</v>
      </c>
      <c r="K1" s="25" t="s">
        <v>47</v>
      </c>
      <c r="L1" s="25" t="s">
        <v>48</v>
      </c>
      <c r="M1" s="25" t="s">
        <v>54</v>
      </c>
      <c r="P1" s="16" t="s">
        <v>0</v>
      </c>
      <c r="Q1" s="16" t="s">
        <v>1</v>
      </c>
    </row>
    <row r="2" spans="1:17" x14ac:dyDescent="0.2">
      <c r="A2" s="19" t="str">
        <f>B2&amp;C2</f>
        <v>MRC01CUADRADO</v>
      </c>
      <c r="B2" t="s">
        <v>100</v>
      </c>
      <c r="C2" t="s">
        <v>39</v>
      </c>
      <c r="D2" s="172">
        <v>166</v>
      </c>
      <c r="E2" s="21"/>
      <c r="F2" s="17" t="str">
        <f>IF(OR(H2="",H2="Total general"),"",H2&amp;$L$1)</f>
        <v>MRC01SOBRANTE</v>
      </c>
      <c r="G2" s="17" t="str">
        <f>IF(OR(H2="",H2="Total general"),"",H2&amp;$K$1)</f>
        <v>MRC01FALTANTE</v>
      </c>
      <c r="H2" t="s">
        <v>100</v>
      </c>
      <c r="I2" s="172">
        <v>166</v>
      </c>
      <c r="J2" s="17">
        <f t="shared" ref="J2:J33" si="0">IFERROR(I2-M2,0)</f>
        <v>166</v>
      </c>
      <c r="K2" s="17">
        <f t="shared" ref="K2:K33" si="1">IFERROR(VLOOKUP(G2,A:D,4,0),0)</f>
        <v>0</v>
      </c>
      <c r="L2" s="17">
        <f t="shared" ref="L2:L33" si="2">IFERROR(VLOOKUP(F2,A:D,4,0),0)</f>
        <v>0</v>
      </c>
      <c r="M2" s="17">
        <f>SUM(K2:L2)</f>
        <v>0</v>
      </c>
      <c r="P2" t="s">
        <v>95</v>
      </c>
      <c r="Q2" t="s">
        <v>96</v>
      </c>
    </row>
    <row r="3" spans="1:17" x14ac:dyDescent="0.2">
      <c r="A3" s="19" t="str">
        <f t="shared" ref="A3:A61" si="3">B3&amp;C3</f>
        <v>Total general</v>
      </c>
      <c r="B3" t="s">
        <v>4</v>
      </c>
      <c r="D3" s="172">
        <v>166</v>
      </c>
      <c r="E3" s="21"/>
      <c r="F3" s="17" t="str">
        <f t="shared" ref="F3:F61" si="4">IF(OR(H3="",H3="Total general"),"",H3&amp;$L$1)</f>
        <v/>
      </c>
      <c r="G3" s="17" t="str">
        <f t="shared" ref="G3:G61" si="5">IF(OR(H3="",H3="Total general"),"",H3&amp;$K$1)</f>
        <v/>
      </c>
      <c r="H3" t="s">
        <v>4</v>
      </c>
      <c r="I3" s="172">
        <v>166</v>
      </c>
      <c r="J3" s="17">
        <f t="shared" si="0"/>
        <v>166</v>
      </c>
      <c r="K3" s="17">
        <f t="shared" si="1"/>
        <v>0</v>
      </c>
      <c r="L3" s="17">
        <f t="shared" si="2"/>
        <v>0</v>
      </c>
      <c r="M3" s="17">
        <f t="shared" ref="M3:M37" si="6">SUM(K3:L3)</f>
        <v>0</v>
      </c>
      <c r="P3" t="s">
        <v>4</v>
      </c>
    </row>
    <row r="4" spans="1:17" x14ac:dyDescent="0.2">
      <c r="A4" s="19" t="str">
        <f t="shared" si="3"/>
        <v/>
      </c>
      <c r="E4" s="21"/>
      <c r="F4" s="17" t="str">
        <f t="shared" si="4"/>
        <v/>
      </c>
      <c r="G4" s="17" t="str">
        <f t="shared" si="5"/>
        <v/>
      </c>
      <c r="J4" s="17">
        <f t="shared" si="0"/>
        <v>0</v>
      </c>
      <c r="K4" s="17">
        <f t="shared" si="1"/>
        <v>0</v>
      </c>
      <c r="L4" s="17">
        <f t="shared" si="2"/>
        <v>0</v>
      </c>
      <c r="M4" s="17">
        <f t="shared" si="6"/>
        <v>0</v>
      </c>
    </row>
    <row r="5" spans="1:17" x14ac:dyDescent="0.2">
      <c r="A5" s="19" t="str">
        <f t="shared" si="3"/>
        <v/>
      </c>
      <c r="E5" s="21"/>
      <c r="F5" s="17" t="str">
        <f t="shared" si="4"/>
        <v/>
      </c>
      <c r="G5" s="17" t="str">
        <f t="shared" si="5"/>
        <v/>
      </c>
      <c r="J5" s="17">
        <f t="shared" si="0"/>
        <v>0</v>
      </c>
      <c r="K5" s="17">
        <f t="shared" si="1"/>
        <v>0</v>
      </c>
      <c r="L5" s="17">
        <f t="shared" si="2"/>
        <v>0</v>
      </c>
      <c r="M5" s="17">
        <f t="shared" si="6"/>
        <v>0</v>
      </c>
    </row>
    <row r="6" spans="1:17" x14ac:dyDescent="0.2">
      <c r="A6" s="19" t="str">
        <f t="shared" si="3"/>
        <v/>
      </c>
      <c r="E6" s="21"/>
      <c r="F6" s="17" t="str">
        <f t="shared" si="4"/>
        <v/>
      </c>
      <c r="G6" s="17" t="str">
        <f t="shared" si="5"/>
        <v/>
      </c>
      <c r="J6" s="17">
        <f t="shared" si="0"/>
        <v>0</v>
      </c>
      <c r="K6" s="17">
        <f t="shared" si="1"/>
        <v>0</v>
      </c>
      <c r="L6" s="17">
        <f t="shared" si="2"/>
        <v>0</v>
      </c>
      <c r="M6" s="17">
        <f t="shared" si="6"/>
        <v>0</v>
      </c>
    </row>
    <row r="7" spans="1:17" x14ac:dyDescent="0.2">
      <c r="A7" s="19" t="str">
        <f t="shared" si="3"/>
        <v/>
      </c>
      <c r="E7" s="21"/>
      <c r="F7" s="17" t="str">
        <f t="shared" si="4"/>
        <v/>
      </c>
      <c r="G7" s="17" t="str">
        <f t="shared" si="5"/>
        <v/>
      </c>
      <c r="J7" s="17">
        <f t="shared" si="0"/>
        <v>0</v>
      </c>
      <c r="K7" s="17">
        <f t="shared" si="1"/>
        <v>0</v>
      </c>
      <c r="L7" s="17">
        <f t="shared" si="2"/>
        <v>0</v>
      </c>
      <c r="M7" s="17">
        <f t="shared" si="6"/>
        <v>0</v>
      </c>
    </row>
    <row r="8" spans="1:17" x14ac:dyDescent="0.2">
      <c r="A8" s="19" t="str">
        <f t="shared" si="3"/>
        <v/>
      </c>
      <c r="E8" s="21"/>
      <c r="F8" s="17" t="str">
        <f t="shared" si="4"/>
        <v/>
      </c>
      <c r="G8" s="17" t="str">
        <f t="shared" si="5"/>
        <v/>
      </c>
      <c r="J8" s="17">
        <f t="shared" si="0"/>
        <v>0</v>
      </c>
      <c r="K8" s="17">
        <f t="shared" si="1"/>
        <v>0</v>
      </c>
      <c r="L8" s="17">
        <f t="shared" si="2"/>
        <v>0</v>
      </c>
      <c r="M8" s="17">
        <f t="shared" si="6"/>
        <v>0</v>
      </c>
    </row>
    <row r="9" spans="1:17" x14ac:dyDescent="0.2">
      <c r="A9" s="19" t="str">
        <f t="shared" si="3"/>
        <v/>
      </c>
      <c r="E9" s="21"/>
      <c r="F9" s="17" t="str">
        <f t="shared" si="4"/>
        <v/>
      </c>
      <c r="G9" s="17" t="str">
        <f t="shared" si="5"/>
        <v/>
      </c>
      <c r="J9" s="17">
        <f t="shared" si="0"/>
        <v>0</v>
      </c>
      <c r="K9" s="17">
        <f t="shared" si="1"/>
        <v>0</v>
      </c>
      <c r="L9" s="17">
        <f t="shared" si="2"/>
        <v>0</v>
      </c>
      <c r="M9" s="17">
        <f t="shared" si="6"/>
        <v>0</v>
      </c>
    </row>
    <row r="10" spans="1:17" x14ac:dyDescent="0.2">
      <c r="A10" s="19" t="str">
        <f t="shared" si="3"/>
        <v/>
      </c>
      <c r="E10" s="21"/>
      <c r="F10" s="17" t="str">
        <f t="shared" si="4"/>
        <v/>
      </c>
      <c r="G10" s="17" t="str">
        <f t="shared" si="5"/>
        <v/>
      </c>
      <c r="J10" s="17">
        <f t="shared" si="0"/>
        <v>0</v>
      </c>
      <c r="K10" s="17">
        <f t="shared" si="1"/>
        <v>0</v>
      </c>
      <c r="L10" s="17">
        <f t="shared" si="2"/>
        <v>0</v>
      </c>
      <c r="M10" s="17">
        <f t="shared" si="6"/>
        <v>0</v>
      </c>
    </row>
    <row r="11" spans="1:17" x14ac:dyDescent="0.2">
      <c r="A11" s="19" t="str">
        <f t="shared" si="3"/>
        <v/>
      </c>
      <c r="E11" s="21"/>
      <c r="F11" s="17" t="str">
        <f t="shared" si="4"/>
        <v/>
      </c>
      <c r="G11" s="17" t="str">
        <f t="shared" si="5"/>
        <v/>
      </c>
      <c r="J11" s="17">
        <f t="shared" si="0"/>
        <v>0</v>
      </c>
      <c r="K11" s="17">
        <f t="shared" si="1"/>
        <v>0</v>
      </c>
      <c r="L11" s="17">
        <f t="shared" si="2"/>
        <v>0</v>
      </c>
      <c r="M11" s="17">
        <f t="shared" si="6"/>
        <v>0</v>
      </c>
    </row>
    <row r="12" spans="1:17" x14ac:dyDescent="0.2">
      <c r="A12" s="19" t="str">
        <f t="shared" si="3"/>
        <v/>
      </c>
      <c r="E12" s="21"/>
      <c r="F12" s="17" t="str">
        <f t="shared" si="4"/>
        <v/>
      </c>
      <c r="G12" s="17" t="str">
        <f t="shared" si="5"/>
        <v/>
      </c>
      <c r="J12" s="17">
        <f t="shared" si="0"/>
        <v>0</v>
      </c>
      <c r="K12" s="17">
        <f t="shared" si="1"/>
        <v>0</v>
      </c>
      <c r="L12" s="17">
        <f t="shared" si="2"/>
        <v>0</v>
      </c>
      <c r="M12" s="17">
        <f t="shared" si="6"/>
        <v>0</v>
      </c>
    </row>
    <row r="13" spans="1:17" x14ac:dyDescent="0.2">
      <c r="A13" s="19" t="str">
        <f t="shared" si="3"/>
        <v/>
      </c>
      <c r="E13" s="21"/>
      <c r="F13" s="17" t="str">
        <f t="shared" si="4"/>
        <v/>
      </c>
      <c r="G13" s="17" t="str">
        <f t="shared" si="5"/>
        <v/>
      </c>
      <c r="J13" s="17">
        <f t="shared" si="0"/>
        <v>0</v>
      </c>
      <c r="K13" s="17">
        <f t="shared" si="1"/>
        <v>0</v>
      </c>
      <c r="L13" s="17">
        <f t="shared" si="2"/>
        <v>0</v>
      </c>
      <c r="M13" s="17">
        <f t="shared" si="6"/>
        <v>0</v>
      </c>
    </row>
    <row r="14" spans="1:17" x14ac:dyDescent="0.2">
      <c r="A14" s="19" t="str">
        <f t="shared" si="3"/>
        <v/>
      </c>
      <c r="E14" s="21"/>
      <c r="F14" s="17" t="str">
        <f t="shared" si="4"/>
        <v/>
      </c>
      <c r="G14" s="17" t="str">
        <f t="shared" si="5"/>
        <v/>
      </c>
      <c r="J14" s="17">
        <f t="shared" si="0"/>
        <v>0</v>
      </c>
      <c r="K14" s="17">
        <f t="shared" si="1"/>
        <v>0</v>
      </c>
      <c r="L14" s="17">
        <f t="shared" si="2"/>
        <v>0</v>
      </c>
      <c r="M14" s="17">
        <f t="shared" si="6"/>
        <v>0</v>
      </c>
    </row>
    <row r="15" spans="1:17" x14ac:dyDescent="0.2">
      <c r="A15" s="19" t="str">
        <f t="shared" si="3"/>
        <v/>
      </c>
      <c r="E15" s="21"/>
      <c r="F15" s="17" t="str">
        <f t="shared" si="4"/>
        <v/>
      </c>
      <c r="G15" s="17" t="str">
        <f t="shared" si="5"/>
        <v/>
      </c>
      <c r="J15" s="17">
        <f t="shared" si="0"/>
        <v>0</v>
      </c>
      <c r="K15" s="17">
        <f t="shared" si="1"/>
        <v>0</v>
      </c>
      <c r="L15" s="17">
        <f t="shared" si="2"/>
        <v>0</v>
      </c>
      <c r="M15" s="17">
        <f t="shared" si="6"/>
        <v>0</v>
      </c>
    </row>
    <row r="16" spans="1:17" x14ac:dyDescent="0.2">
      <c r="A16" s="19" t="str">
        <f t="shared" si="3"/>
        <v/>
      </c>
      <c r="E16" s="21"/>
      <c r="F16" s="17" t="str">
        <f t="shared" si="4"/>
        <v/>
      </c>
      <c r="G16" s="17" t="str">
        <f t="shared" si="5"/>
        <v/>
      </c>
      <c r="J16" s="17">
        <f t="shared" si="0"/>
        <v>0</v>
      </c>
      <c r="K16" s="17">
        <f t="shared" si="1"/>
        <v>0</v>
      </c>
      <c r="L16" s="17">
        <f t="shared" si="2"/>
        <v>0</v>
      </c>
      <c r="M16" s="17">
        <f t="shared" si="6"/>
        <v>0</v>
      </c>
    </row>
    <row r="17" spans="1:13" x14ac:dyDescent="0.2">
      <c r="A17" s="19" t="str">
        <f t="shared" si="3"/>
        <v/>
      </c>
      <c r="E17" s="21"/>
      <c r="F17" s="17" t="str">
        <f t="shared" si="4"/>
        <v/>
      </c>
      <c r="G17" s="17" t="str">
        <f t="shared" si="5"/>
        <v/>
      </c>
      <c r="J17" s="17">
        <f t="shared" si="0"/>
        <v>0</v>
      </c>
      <c r="K17" s="17">
        <f t="shared" si="1"/>
        <v>0</v>
      </c>
      <c r="L17" s="17">
        <f t="shared" si="2"/>
        <v>0</v>
      </c>
      <c r="M17" s="17">
        <f t="shared" si="6"/>
        <v>0</v>
      </c>
    </row>
    <row r="18" spans="1:13" x14ac:dyDescent="0.2">
      <c r="A18" s="19" t="str">
        <f t="shared" si="3"/>
        <v/>
      </c>
      <c r="E18" s="21"/>
      <c r="F18" s="17" t="str">
        <f t="shared" si="4"/>
        <v/>
      </c>
      <c r="G18" s="17" t="str">
        <f t="shared" si="5"/>
        <v/>
      </c>
      <c r="J18" s="17">
        <f t="shared" si="0"/>
        <v>0</v>
      </c>
      <c r="K18" s="17">
        <f t="shared" si="1"/>
        <v>0</v>
      </c>
      <c r="L18" s="17">
        <f t="shared" si="2"/>
        <v>0</v>
      </c>
      <c r="M18" s="17">
        <f t="shared" si="6"/>
        <v>0</v>
      </c>
    </row>
    <row r="19" spans="1:13" x14ac:dyDescent="0.2">
      <c r="A19" s="19" t="str">
        <f t="shared" si="3"/>
        <v/>
      </c>
      <c r="E19" s="21"/>
      <c r="F19" s="17" t="str">
        <f t="shared" si="4"/>
        <v/>
      </c>
      <c r="G19" s="17" t="str">
        <f t="shared" si="5"/>
        <v/>
      </c>
      <c r="J19" s="17">
        <f t="shared" si="0"/>
        <v>0</v>
      </c>
      <c r="K19" s="17">
        <f t="shared" si="1"/>
        <v>0</v>
      </c>
      <c r="L19" s="17">
        <f t="shared" si="2"/>
        <v>0</v>
      </c>
      <c r="M19" s="17">
        <f t="shared" si="6"/>
        <v>0</v>
      </c>
    </row>
    <row r="20" spans="1:13" x14ac:dyDescent="0.2">
      <c r="A20" s="19" t="str">
        <f t="shared" si="3"/>
        <v/>
      </c>
      <c r="E20" s="21"/>
      <c r="F20" s="17" t="str">
        <f t="shared" si="4"/>
        <v/>
      </c>
      <c r="G20" s="17" t="str">
        <f t="shared" si="5"/>
        <v/>
      </c>
      <c r="J20" s="17">
        <f t="shared" si="0"/>
        <v>0</v>
      </c>
      <c r="K20" s="17">
        <f t="shared" si="1"/>
        <v>0</v>
      </c>
      <c r="L20" s="17">
        <f t="shared" si="2"/>
        <v>0</v>
      </c>
      <c r="M20" s="17">
        <f t="shared" si="6"/>
        <v>0</v>
      </c>
    </row>
    <row r="21" spans="1:13" x14ac:dyDescent="0.2">
      <c r="A21" s="19" t="str">
        <f t="shared" si="3"/>
        <v/>
      </c>
      <c r="E21" s="21"/>
      <c r="F21" s="17" t="str">
        <f t="shared" si="4"/>
        <v/>
      </c>
      <c r="G21" s="17" t="str">
        <f t="shared" si="5"/>
        <v/>
      </c>
      <c r="J21" s="17">
        <f t="shared" si="0"/>
        <v>0</v>
      </c>
      <c r="K21" s="17">
        <f t="shared" si="1"/>
        <v>0</v>
      </c>
      <c r="L21" s="17">
        <f t="shared" si="2"/>
        <v>0</v>
      </c>
      <c r="M21" s="17">
        <f t="shared" si="6"/>
        <v>0</v>
      </c>
    </row>
    <row r="22" spans="1:13" x14ac:dyDescent="0.2">
      <c r="A22" s="19" t="str">
        <f t="shared" si="3"/>
        <v/>
      </c>
      <c r="E22" s="21"/>
      <c r="F22" s="17" t="str">
        <f t="shared" si="4"/>
        <v/>
      </c>
      <c r="G22" s="17" t="str">
        <f t="shared" si="5"/>
        <v/>
      </c>
      <c r="J22" s="17">
        <f t="shared" si="0"/>
        <v>0</v>
      </c>
      <c r="K22" s="17">
        <f t="shared" si="1"/>
        <v>0</v>
      </c>
      <c r="L22" s="17">
        <f t="shared" si="2"/>
        <v>0</v>
      </c>
      <c r="M22" s="17">
        <f t="shared" si="6"/>
        <v>0</v>
      </c>
    </row>
    <row r="23" spans="1:13" x14ac:dyDescent="0.2">
      <c r="A23" s="19" t="str">
        <f t="shared" si="3"/>
        <v/>
      </c>
      <c r="E23" s="21"/>
      <c r="F23" s="17" t="str">
        <f t="shared" si="4"/>
        <v/>
      </c>
      <c r="G23" s="17" t="str">
        <f t="shared" si="5"/>
        <v/>
      </c>
      <c r="J23" s="17">
        <f t="shared" si="0"/>
        <v>0</v>
      </c>
      <c r="K23" s="17">
        <f t="shared" si="1"/>
        <v>0</v>
      </c>
      <c r="L23" s="17">
        <f t="shared" si="2"/>
        <v>0</v>
      </c>
      <c r="M23" s="17">
        <f t="shared" si="6"/>
        <v>0</v>
      </c>
    </row>
    <row r="24" spans="1:13" x14ac:dyDescent="0.2">
      <c r="A24" s="19" t="str">
        <f t="shared" si="3"/>
        <v/>
      </c>
      <c r="E24" s="21"/>
      <c r="F24" s="17" t="str">
        <f t="shared" si="4"/>
        <v/>
      </c>
      <c r="G24" s="17" t="str">
        <f t="shared" si="5"/>
        <v/>
      </c>
      <c r="J24" s="17">
        <f t="shared" si="0"/>
        <v>0</v>
      </c>
      <c r="K24" s="17">
        <f t="shared" si="1"/>
        <v>0</v>
      </c>
      <c r="L24" s="17">
        <f t="shared" si="2"/>
        <v>0</v>
      </c>
      <c r="M24" s="17">
        <f t="shared" si="6"/>
        <v>0</v>
      </c>
    </row>
    <row r="25" spans="1:13" x14ac:dyDescent="0.2">
      <c r="A25" s="19" t="str">
        <f t="shared" si="3"/>
        <v/>
      </c>
      <c r="E25" s="21"/>
      <c r="F25" s="17" t="str">
        <f t="shared" si="4"/>
        <v/>
      </c>
      <c r="G25" s="17" t="str">
        <f t="shared" si="5"/>
        <v/>
      </c>
      <c r="J25" s="17">
        <f t="shared" si="0"/>
        <v>0</v>
      </c>
      <c r="K25" s="17">
        <f t="shared" si="1"/>
        <v>0</v>
      </c>
      <c r="L25" s="17">
        <f t="shared" si="2"/>
        <v>0</v>
      </c>
      <c r="M25" s="17">
        <f t="shared" si="6"/>
        <v>0</v>
      </c>
    </row>
    <row r="26" spans="1:13" x14ac:dyDescent="0.2">
      <c r="A26" s="19" t="str">
        <f t="shared" si="3"/>
        <v/>
      </c>
      <c r="E26" s="21"/>
      <c r="F26" s="17" t="str">
        <f t="shared" si="4"/>
        <v/>
      </c>
      <c r="G26" s="17" t="str">
        <f t="shared" si="5"/>
        <v/>
      </c>
      <c r="J26" s="17">
        <f t="shared" si="0"/>
        <v>0</v>
      </c>
      <c r="K26" s="17">
        <f t="shared" si="1"/>
        <v>0</v>
      </c>
      <c r="L26" s="17">
        <f t="shared" si="2"/>
        <v>0</v>
      </c>
      <c r="M26" s="17">
        <f t="shared" si="6"/>
        <v>0</v>
      </c>
    </row>
    <row r="27" spans="1:13" x14ac:dyDescent="0.2">
      <c r="A27" s="19" t="str">
        <f t="shared" si="3"/>
        <v/>
      </c>
      <c r="E27" s="21"/>
      <c r="F27" s="17" t="str">
        <f t="shared" si="4"/>
        <v/>
      </c>
      <c r="G27" s="17" t="str">
        <f t="shared" si="5"/>
        <v/>
      </c>
      <c r="J27" s="17">
        <f t="shared" si="0"/>
        <v>0</v>
      </c>
      <c r="K27" s="17">
        <f t="shared" si="1"/>
        <v>0</v>
      </c>
      <c r="L27" s="17">
        <f t="shared" si="2"/>
        <v>0</v>
      </c>
      <c r="M27" s="17">
        <f t="shared" si="6"/>
        <v>0</v>
      </c>
    </row>
    <row r="28" spans="1:13" x14ac:dyDescent="0.2">
      <c r="A28" s="19" t="str">
        <f t="shared" si="3"/>
        <v/>
      </c>
      <c r="E28" s="21"/>
      <c r="F28" s="17" t="str">
        <f t="shared" si="4"/>
        <v/>
      </c>
      <c r="G28" s="17" t="str">
        <f t="shared" si="5"/>
        <v/>
      </c>
      <c r="J28" s="17">
        <f t="shared" si="0"/>
        <v>0</v>
      </c>
      <c r="K28" s="17">
        <f t="shared" si="1"/>
        <v>0</v>
      </c>
      <c r="L28" s="17">
        <f t="shared" si="2"/>
        <v>0</v>
      </c>
      <c r="M28" s="17">
        <f t="shared" si="6"/>
        <v>0</v>
      </c>
    </row>
    <row r="29" spans="1:13" x14ac:dyDescent="0.2">
      <c r="A29" s="19" t="str">
        <f t="shared" si="3"/>
        <v/>
      </c>
      <c r="E29" s="21"/>
      <c r="F29" s="17" t="str">
        <f t="shared" si="4"/>
        <v/>
      </c>
      <c r="G29" s="17" t="str">
        <f t="shared" si="5"/>
        <v/>
      </c>
      <c r="J29" s="17">
        <f t="shared" si="0"/>
        <v>0</v>
      </c>
      <c r="K29" s="17">
        <f t="shared" si="1"/>
        <v>0</v>
      </c>
      <c r="L29" s="17">
        <f t="shared" si="2"/>
        <v>0</v>
      </c>
      <c r="M29" s="17">
        <f t="shared" si="6"/>
        <v>0</v>
      </c>
    </row>
    <row r="30" spans="1:13" x14ac:dyDescent="0.2">
      <c r="A30" s="19" t="str">
        <f t="shared" si="3"/>
        <v/>
      </c>
      <c r="E30" s="21"/>
      <c r="F30" s="17" t="str">
        <f t="shared" si="4"/>
        <v/>
      </c>
      <c r="G30" s="17" t="str">
        <f t="shared" si="5"/>
        <v/>
      </c>
      <c r="J30" s="17">
        <f t="shared" si="0"/>
        <v>0</v>
      </c>
      <c r="K30" s="17">
        <f t="shared" si="1"/>
        <v>0</v>
      </c>
      <c r="L30" s="17">
        <f t="shared" si="2"/>
        <v>0</v>
      </c>
      <c r="M30" s="17">
        <f t="shared" si="6"/>
        <v>0</v>
      </c>
    </row>
    <row r="31" spans="1:13" x14ac:dyDescent="0.2">
      <c r="A31" s="19" t="str">
        <f t="shared" si="3"/>
        <v/>
      </c>
      <c r="E31" s="21"/>
      <c r="F31" s="17" t="str">
        <f t="shared" si="4"/>
        <v/>
      </c>
      <c r="G31" s="17" t="str">
        <f t="shared" si="5"/>
        <v/>
      </c>
      <c r="J31" s="17">
        <f t="shared" si="0"/>
        <v>0</v>
      </c>
      <c r="K31" s="17">
        <f t="shared" si="1"/>
        <v>0</v>
      </c>
      <c r="L31" s="17">
        <f t="shared" si="2"/>
        <v>0</v>
      </c>
      <c r="M31" s="17">
        <f t="shared" si="6"/>
        <v>0</v>
      </c>
    </row>
    <row r="32" spans="1:13" x14ac:dyDescent="0.2">
      <c r="A32" s="19" t="str">
        <f t="shared" si="3"/>
        <v/>
      </c>
      <c r="E32" s="21"/>
      <c r="F32" s="17" t="str">
        <f t="shared" si="4"/>
        <v/>
      </c>
      <c r="G32" s="17" t="str">
        <f t="shared" si="5"/>
        <v/>
      </c>
      <c r="J32" s="17">
        <f t="shared" si="0"/>
        <v>0</v>
      </c>
      <c r="K32" s="17">
        <f t="shared" si="1"/>
        <v>0</v>
      </c>
      <c r="L32" s="17">
        <f t="shared" si="2"/>
        <v>0</v>
      </c>
      <c r="M32" s="17">
        <f t="shared" si="6"/>
        <v>0</v>
      </c>
    </row>
    <row r="33" spans="1:13" x14ac:dyDescent="0.2">
      <c r="A33" s="19" t="str">
        <f t="shared" si="3"/>
        <v/>
      </c>
      <c r="E33" s="21"/>
      <c r="F33" s="17" t="str">
        <f t="shared" si="4"/>
        <v/>
      </c>
      <c r="G33" s="17" t="str">
        <f t="shared" si="5"/>
        <v/>
      </c>
      <c r="J33" s="17">
        <f t="shared" si="0"/>
        <v>0</v>
      </c>
      <c r="K33" s="17">
        <f t="shared" si="1"/>
        <v>0</v>
      </c>
      <c r="L33" s="17">
        <f t="shared" si="2"/>
        <v>0</v>
      </c>
      <c r="M33" s="17">
        <f t="shared" si="6"/>
        <v>0</v>
      </c>
    </row>
    <row r="34" spans="1:13" x14ac:dyDescent="0.2">
      <c r="A34" s="19" t="str">
        <f t="shared" si="3"/>
        <v/>
      </c>
      <c r="E34" s="21"/>
      <c r="F34" s="17" t="str">
        <f t="shared" si="4"/>
        <v/>
      </c>
      <c r="G34" s="17" t="str">
        <f t="shared" si="5"/>
        <v/>
      </c>
      <c r="J34" s="17">
        <f t="shared" ref="J34:J61" si="7">IFERROR(I34-M34,0)</f>
        <v>0</v>
      </c>
      <c r="K34" s="17">
        <f t="shared" ref="K34:K61" si="8">IFERROR(VLOOKUP(G34,A:D,4,0),0)</f>
        <v>0</v>
      </c>
      <c r="L34" s="17">
        <f t="shared" ref="L34:L61" si="9">IFERROR(VLOOKUP(F34,A:D,4,0),0)</f>
        <v>0</v>
      </c>
      <c r="M34" s="17">
        <f t="shared" si="6"/>
        <v>0</v>
      </c>
    </row>
    <row r="35" spans="1:13" x14ac:dyDescent="0.2">
      <c r="A35" s="19" t="str">
        <f t="shared" si="3"/>
        <v/>
      </c>
      <c r="E35" s="21"/>
      <c r="F35" s="17" t="str">
        <f t="shared" si="4"/>
        <v/>
      </c>
      <c r="G35" s="17" t="str">
        <f t="shared" si="5"/>
        <v/>
      </c>
      <c r="J35" s="17">
        <f t="shared" si="7"/>
        <v>0</v>
      </c>
      <c r="K35" s="17">
        <f t="shared" si="8"/>
        <v>0</v>
      </c>
      <c r="L35" s="17">
        <f t="shared" si="9"/>
        <v>0</v>
      </c>
      <c r="M35" s="17">
        <f t="shared" si="6"/>
        <v>0</v>
      </c>
    </row>
    <row r="36" spans="1:13" x14ac:dyDescent="0.2">
      <c r="A36" s="19" t="str">
        <f t="shared" si="3"/>
        <v/>
      </c>
      <c r="E36" s="21"/>
      <c r="F36" s="17" t="str">
        <f t="shared" si="4"/>
        <v/>
      </c>
      <c r="G36" s="17" t="str">
        <f t="shared" si="5"/>
        <v/>
      </c>
      <c r="J36" s="17">
        <f t="shared" si="7"/>
        <v>0</v>
      </c>
      <c r="K36" s="17">
        <f t="shared" si="8"/>
        <v>0</v>
      </c>
      <c r="L36" s="17">
        <f t="shared" si="9"/>
        <v>0</v>
      </c>
      <c r="M36" s="17">
        <f t="shared" si="6"/>
        <v>0</v>
      </c>
    </row>
    <row r="37" spans="1:13" x14ac:dyDescent="0.2">
      <c r="A37" s="19" t="str">
        <f t="shared" si="3"/>
        <v/>
      </c>
      <c r="E37" s="21"/>
      <c r="F37" s="17" t="str">
        <f t="shared" si="4"/>
        <v/>
      </c>
      <c r="G37" s="17" t="str">
        <f t="shared" si="5"/>
        <v/>
      </c>
      <c r="J37" s="17">
        <f t="shared" si="7"/>
        <v>0</v>
      </c>
      <c r="K37" s="17">
        <f t="shared" si="8"/>
        <v>0</v>
      </c>
      <c r="L37" s="17">
        <f t="shared" si="9"/>
        <v>0</v>
      </c>
      <c r="M37" s="17">
        <f t="shared" si="6"/>
        <v>0</v>
      </c>
    </row>
    <row r="38" spans="1:13" x14ac:dyDescent="0.2">
      <c r="A38" s="19" t="str">
        <f t="shared" si="3"/>
        <v/>
      </c>
      <c r="E38" s="21"/>
      <c r="F38" s="17" t="str">
        <f t="shared" si="4"/>
        <v/>
      </c>
      <c r="G38" s="17" t="str">
        <f t="shared" si="5"/>
        <v/>
      </c>
      <c r="J38" s="17">
        <f t="shared" si="7"/>
        <v>0</v>
      </c>
      <c r="K38" s="17">
        <f t="shared" si="8"/>
        <v>0</v>
      </c>
      <c r="L38" s="17">
        <f t="shared" si="9"/>
        <v>0</v>
      </c>
      <c r="M38" s="17">
        <f t="shared" ref="M38:M41" si="10">SUM(K38:L38)</f>
        <v>0</v>
      </c>
    </row>
    <row r="39" spans="1:13" x14ac:dyDescent="0.2">
      <c r="A39" s="19" t="str">
        <f t="shared" si="3"/>
        <v/>
      </c>
      <c r="E39" s="21"/>
      <c r="F39" s="17" t="str">
        <f t="shared" si="4"/>
        <v/>
      </c>
      <c r="G39" s="17" t="str">
        <f t="shared" si="5"/>
        <v/>
      </c>
      <c r="J39" s="17">
        <f t="shared" si="7"/>
        <v>0</v>
      </c>
      <c r="K39" s="17">
        <f t="shared" si="8"/>
        <v>0</v>
      </c>
      <c r="L39" s="17">
        <f t="shared" si="9"/>
        <v>0</v>
      </c>
      <c r="M39" s="17">
        <f t="shared" si="10"/>
        <v>0</v>
      </c>
    </row>
    <row r="40" spans="1:13" x14ac:dyDescent="0.2">
      <c r="A40" s="19" t="str">
        <f t="shared" si="3"/>
        <v/>
      </c>
      <c r="E40" s="21"/>
      <c r="F40" s="17" t="str">
        <f t="shared" si="4"/>
        <v/>
      </c>
      <c r="G40" s="17" t="str">
        <f t="shared" si="5"/>
        <v/>
      </c>
      <c r="J40" s="17">
        <f t="shared" si="7"/>
        <v>0</v>
      </c>
      <c r="K40" s="17">
        <f t="shared" si="8"/>
        <v>0</v>
      </c>
      <c r="L40" s="17">
        <f t="shared" si="9"/>
        <v>0</v>
      </c>
      <c r="M40" s="17">
        <f t="shared" si="10"/>
        <v>0</v>
      </c>
    </row>
    <row r="41" spans="1:13" x14ac:dyDescent="0.2">
      <c r="A41" s="19" t="str">
        <f t="shared" si="3"/>
        <v/>
      </c>
      <c r="E41" s="21"/>
      <c r="F41" s="17" t="str">
        <f t="shared" si="4"/>
        <v/>
      </c>
      <c r="G41" s="17" t="str">
        <f t="shared" si="5"/>
        <v/>
      </c>
      <c r="J41" s="17">
        <f t="shared" si="7"/>
        <v>0</v>
      </c>
      <c r="K41" s="17">
        <f t="shared" si="8"/>
        <v>0</v>
      </c>
      <c r="L41" s="17">
        <f t="shared" si="9"/>
        <v>0</v>
      </c>
      <c r="M41" s="17">
        <f t="shared" si="10"/>
        <v>0</v>
      </c>
    </row>
    <row r="42" spans="1:13" x14ac:dyDescent="0.2">
      <c r="A42" s="19" t="str">
        <f t="shared" si="3"/>
        <v/>
      </c>
      <c r="E42" s="21"/>
      <c r="F42" s="17" t="str">
        <f t="shared" si="4"/>
        <v/>
      </c>
      <c r="G42" s="17" t="str">
        <f t="shared" si="5"/>
        <v/>
      </c>
      <c r="J42" s="17">
        <f t="shared" si="7"/>
        <v>0</v>
      </c>
      <c r="K42" s="17">
        <f t="shared" si="8"/>
        <v>0</v>
      </c>
      <c r="L42" s="17">
        <f t="shared" si="9"/>
        <v>0</v>
      </c>
      <c r="M42" s="17">
        <f t="shared" ref="M42:M60" si="11">SUM(K42:L42)</f>
        <v>0</v>
      </c>
    </row>
    <row r="43" spans="1:13" x14ac:dyDescent="0.2">
      <c r="A43" s="19" t="str">
        <f t="shared" si="3"/>
        <v/>
      </c>
      <c r="E43" s="21"/>
      <c r="F43" s="17" t="str">
        <f t="shared" si="4"/>
        <v/>
      </c>
      <c r="G43" s="17" t="str">
        <f t="shared" si="5"/>
        <v/>
      </c>
      <c r="J43" s="17">
        <f t="shared" si="7"/>
        <v>0</v>
      </c>
      <c r="K43" s="17">
        <f t="shared" si="8"/>
        <v>0</v>
      </c>
      <c r="L43" s="17">
        <f t="shared" si="9"/>
        <v>0</v>
      </c>
      <c r="M43" s="17">
        <f t="shared" si="11"/>
        <v>0</v>
      </c>
    </row>
    <row r="44" spans="1:13" x14ac:dyDescent="0.2">
      <c r="A44" s="19" t="str">
        <f t="shared" si="3"/>
        <v/>
      </c>
      <c r="E44" s="21"/>
      <c r="F44" s="17" t="str">
        <f t="shared" si="4"/>
        <v/>
      </c>
      <c r="G44" s="17" t="str">
        <f t="shared" si="5"/>
        <v/>
      </c>
      <c r="J44" s="17">
        <f t="shared" si="7"/>
        <v>0</v>
      </c>
      <c r="K44" s="17">
        <f t="shared" si="8"/>
        <v>0</v>
      </c>
      <c r="L44" s="17">
        <f t="shared" si="9"/>
        <v>0</v>
      </c>
      <c r="M44" s="17">
        <f t="shared" si="11"/>
        <v>0</v>
      </c>
    </row>
    <row r="45" spans="1:13" x14ac:dyDescent="0.2">
      <c r="A45" s="19" t="str">
        <f t="shared" si="3"/>
        <v/>
      </c>
      <c r="E45" s="21"/>
      <c r="F45" s="17" t="str">
        <f t="shared" si="4"/>
        <v/>
      </c>
      <c r="G45" s="17" t="str">
        <f t="shared" si="5"/>
        <v/>
      </c>
      <c r="J45" s="17">
        <f t="shared" si="7"/>
        <v>0</v>
      </c>
      <c r="K45" s="17">
        <f t="shared" si="8"/>
        <v>0</v>
      </c>
      <c r="L45" s="17">
        <f t="shared" si="9"/>
        <v>0</v>
      </c>
      <c r="M45" s="17">
        <f t="shared" si="11"/>
        <v>0</v>
      </c>
    </row>
    <row r="46" spans="1:13" x14ac:dyDescent="0.2">
      <c r="A46" s="19" t="str">
        <f t="shared" si="3"/>
        <v/>
      </c>
      <c r="E46" s="21"/>
      <c r="F46" s="17" t="str">
        <f t="shared" si="4"/>
        <v/>
      </c>
      <c r="G46" s="17" t="str">
        <f t="shared" si="5"/>
        <v/>
      </c>
      <c r="J46" s="17">
        <f t="shared" si="7"/>
        <v>0</v>
      </c>
      <c r="K46" s="17">
        <f t="shared" si="8"/>
        <v>0</v>
      </c>
      <c r="L46" s="17">
        <f t="shared" si="9"/>
        <v>0</v>
      </c>
      <c r="M46" s="17">
        <f t="shared" si="11"/>
        <v>0</v>
      </c>
    </row>
    <row r="47" spans="1:13" x14ac:dyDescent="0.2">
      <c r="A47" s="19" t="str">
        <f t="shared" si="3"/>
        <v/>
      </c>
      <c r="E47" s="21"/>
      <c r="F47" s="17" t="str">
        <f t="shared" si="4"/>
        <v/>
      </c>
      <c r="G47" s="17" t="str">
        <f t="shared" si="5"/>
        <v/>
      </c>
      <c r="H47" s="18"/>
      <c r="I47" s="17"/>
      <c r="J47" s="17">
        <f t="shared" si="7"/>
        <v>0</v>
      </c>
      <c r="K47" s="17">
        <f t="shared" si="8"/>
        <v>0</v>
      </c>
      <c r="L47" s="17">
        <f t="shared" si="9"/>
        <v>0</v>
      </c>
      <c r="M47" s="17">
        <f t="shared" si="11"/>
        <v>0</v>
      </c>
    </row>
    <row r="48" spans="1:13" x14ac:dyDescent="0.2">
      <c r="A48" s="19" t="str">
        <f t="shared" si="3"/>
        <v/>
      </c>
      <c r="E48" s="21"/>
      <c r="F48" s="17" t="str">
        <f t="shared" si="4"/>
        <v/>
      </c>
      <c r="G48" s="17" t="str">
        <f t="shared" si="5"/>
        <v/>
      </c>
      <c r="H48" s="18"/>
      <c r="I48" s="17"/>
      <c r="J48" s="17">
        <f t="shared" si="7"/>
        <v>0</v>
      </c>
      <c r="K48" s="17">
        <f t="shared" si="8"/>
        <v>0</v>
      </c>
      <c r="L48" s="17">
        <f t="shared" si="9"/>
        <v>0</v>
      </c>
      <c r="M48" s="17">
        <f t="shared" si="11"/>
        <v>0</v>
      </c>
    </row>
    <row r="49" spans="1:13" x14ac:dyDescent="0.2">
      <c r="A49" s="19" t="str">
        <f t="shared" si="3"/>
        <v/>
      </c>
      <c r="E49" s="21"/>
      <c r="F49" s="17" t="str">
        <f t="shared" si="4"/>
        <v/>
      </c>
      <c r="G49" s="17" t="str">
        <f t="shared" si="5"/>
        <v/>
      </c>
      <c r="H49" s="18"/>
      <c r="I49" s="17"/>
      <c r="J49" s="17">
        <f t="shared" si="7"/>
        <v>0</v>
      </c>
      <c r="K49" s="17">
        <f t="shared" si="8"/>
        <v>0</v>
      </c>
      <c r="L49" s="17">
        <f t="shared" si="9"/>
        <v>0</v>
      </c>
      <c r="M49" s="17">
        <f t="shared" si="11"/>
        <v>0</v>
      </c>
    </row>
    <row r="50" spans="1:13" x14ac:dyDescent="0.2">
      <c r="A50" s="19" t="str">
        <f t="shared" si="3"/>
        <v/>
      </c>
      <c r="E50" s="21"/>
      <c r="F50" s="17" t="str">
        <f t="shared" si="4"/>
        <v/>
      </c>
      <c r="G50" s="17" t="str">
        <f t="shared" si="5"/>
        <v/>
      </c>
      <c r="H50" s="18"/>
      <c r="I50" s="17"/>
      <c r="J50" s="17">
        <f t="shared" si="7"/>
        <v>0</v>
      </c>
      <c r="K50" s="17">
        <f t="shared" si="8"/>
        <v>0</v>
      </c>
      <c r="L50" s="17">
        <f t="shared" si="9"/>
        <v>0</v>
      </c>
      <c r="M50" s="17">
        <f t="shared" si="11"/>
        <v>0</v>
      </c>
    </row>
    <row r="51" spans="1:13" x14ac:dyDescent="0.2">
      <c r="A51" s="19" t="str">
        <f t="shared" si="3"/>
        <v/>
      </c>
      <c r="E51" s="21"/>
      <c r="F51" s="17" t="str">
        <f t="shared" si="4"/>
        <v/>
      </c>
      <c r="G51" s="17" t="str">
        <f t="shared" si="5"/>
        <v/>
      </c>
      <c r="H51" s="18"/>
      <c r="I51" s="17"/>
      <c r="J51" s="17">
        <f t="shared" si="7"/>
        <v>0</v>
      </c>
      <c r="K51" s="17">
        <f t="shared" si="8"/>
        <v>0</v>
      </c>
      <c r="L51" s="17">
        <f t="shared" si="9"/>
        <v>0</v>
      </c>
      <c r="M51" s="17">
        <f t="shared" si="11"/>
        <v>0</v>
      </c>
    </row>
    <row r="52" spans="1:13" x14ac:dyDescent="0.2">
      <c r="A52" s="19" t="str">
        <f t="shared" si="3"/>
        <v/>
      </c>
      <c r="E52" s="21"/>
      <c r="F52" s="17" t="str">
        <f t="shared" si="4"/>
        <v/>
      </c>
      <c r="G52" s="17" t="str">
        <f t="shared" si="5"/>
        <v/>
      </c>
      <c r="H52" s="18"/>
      <c r="I52" s="17"/>
      <c r="J52" s="17">
        <f t="shared" si="7"/>
        <v>0</v>
      </c>
      <c r="K52" s="17">
        <f t="shared" si="8"/>
        <v>0</v>
      </c>
      <c r="L52" s="17">
        <f t="shared" si="9"/>
        <v>0</v>
      </c>
      <c r="M52" s="17">
        <f t="shared" si="11"/>
        <v>0</v>
      </c>
    </row>
    <row r="53" spans="1:13" x14ac:dyDescent="0.2">
      <c r="A53" s="19" t="str">
        <f t="shared" si="3"/>
        <v/>
      </c>
      <c r="E53" s="21"/>
      <c r="F53" s="17" t="str">
        <f t="shared" si="4"/>
        <v/>
      </c>
      <c r="G53" s="17" t="str">
        <f t="shared" si="5"/>
        <v/>
      </c>
      <c r="H53" s="18"/>
      <c r="I53" s="17"/>
      <c r="J53" s="17">
        <f t="shared" si="7"/>
        <v>0</v>
      </c>
      <c r="K53" s="17">
        <f t="shared" si="8"/>
        <v>0</v>
      </c>
      <c r="L53" s="17">
        <f t="shared" si="9"/>
        <v>0</v>
      </c>
      <c r="M53" s="17">
        <f t="shared" si="11"/>
        <v>0</v>
      </c>
    </row>
    <row r="54" spans="1:13" x14ac:dyDescent="0.2">
      <c r="A54" s="19" t="str">
        <f t="shared" si="3"/>
        <v/>
      </c>
      <c r="E54" s="21"/>
      <c r="F54" s="17" t="str">
        <f t="shared" si="4"/>
        <v/>
      </c>
      <c r="G54" s="17" t="str">
        <f t="shared" si="5"/>
        <v/>
      </c>
      <c r="H54" s="18"/>
      <c r="I54" s="17"/>
      <c r="J54" s="17">
        <f t="shared" si="7"/>
        <v>0</v>
      </c>
      <c r="K54" s="17">
        <f t="shared" si="8"/>
        <v>0</v>
      </c>
      <c r="L54" s="17">
        <f t="shared" si="9"/>
        <v>0</v>
      </c>
      <c r="M54" s="17">
        <f t="shared" si="11"/>
        <v>0</v>
      </c>
    </row>
    <row r="55" spans="1:13" x14ac:dyDescent="0.2">
      <c r="A55" s="19" t="str">
        <f t="shared" si="3"/>
        <v/>
      </c>
      <c r="E55" s="21"/>
      <c r="F55" s="17" t="str">
        <f t="shared" si="4"/>
        <v/>
      </c>
      <c r="G55" s="17" t="str">
        <f t="shared" si="5"/>
        <v/>
      </c>
      <c r="H55" s="18"/>
      <c r="I55" s="17"/>
      <c r="J55" s="17">
        <f t="shared" si="7"/>
        <v>0</v>
      </c>
      <c r="K55" s="17">
        <f t="shared" si="8"/>
        <v>0</v>
      </c>
      <c r="L55" s="17">
        <f t="shared" si="9"/>
        <v>0</v>
      </c>
      <c r="M55" s="17">
        <f t="shared" si="11"/>
        <v>0</v>
      </c>
    </row>
    <row r="56" spans="1:13" x14ac:dyDescent="0.2">
      <c r="A56" s="19" t="str">
        <f t="shared" si="3"/>
        <v/>
      </c>
      <c r="E56" s="21"/>
      <c r="F56" s="17" t="str">
        <f t="shared" si="4"/>
        <v/>
      </c>
      <c r="G56" s="17" t="str">
        <f t="shared" si="5"/>
        <v/>
      </c>
      <c r="H56" s="18"/>
      <c r="I56" s="17"/>
      <c r="J56" s="17">
        <f t="shared" si="7"/>
        <v>0</v>
      </c>
      <c r="K56" s="17">
        <f t="shared" si="8"/>
        <v>0</v>
      </c>
      <c r="L56" s="17">
        <f t="shared" si="9"/>
        <v>0</v>
      </c>
      <c r="M56" s="17">
        <f t="shared" si="11"/>
        <v>0</v>
      </c>
    </row>
    <row r="57" spans="1:13" x14ac:dyDescent="0.2">
      <c r="A57" s="19" t="str">
        <f t="shared" si="3"/>
        <v/>
      </c>
      <c r="E57" s="21"/>
      <c r="F57" s="17" t="str">
        <f t="shared" si="4"/>
        <v/>
      </c>
      <c r="G57" s="17" t="str">
        <f t="shared" si="5"/>
        <v/>
      </c>
      <c r="H57" s="18"/>
      <c r="I57" s="17"/>
      <c r="J57" s="17">
        <f t="shared" si="7"/>
        <v>0</v>
      </c>
      <c r="K57" s="17">
        <f t="shared" si="8"/>
        <v>0</v>
      </c>
      <c r="L57" s="17">
        <f t="shared" si="9"/>
        <v>0</v>
      </c>
      <c r="M57" s="17">
        <f t="shared" si="11"/>
        <v>0</v>
      </c>
    </row>
    <row r="58" spans="1:13" x14ac:dyDescent="0.2">
      <c r="A58" s="19" t="str">
        <f t="shared" si="3"/>
        <v/>
      </c>
      <c r="E58" s="21"/>
      <c r="F58" s="17" t="str">
        <f t="shared" si="4"/>
        <v/>
      </c>
      <c r="G58" s="17" t="str">
        <f t="shared" si="5"/>
        <v/>
      </c>
      <c r="H58" s="18"/>
      <c r="I58" s="17"/>
      <c r="J58" s="17">
        <f t="shared" si="7"/>
        <v>0</v>
      </c>
      <c r="K58" s="17">
        <f t="shared" si="8"/>
        <v>0</v>
      </c>
      <c r="L58" s="17">
        <f t="shared" si="9"/>
        <v>0</v>
      </c>
      <c r="M58" s="17">
        <f t="shared" si="11"/>
        <v>0</v>
      </c>
    </row>
    <row r="59" spans="1:13" x14ac:dyDescent="0.2">
      <c r="A59" s="19" t="str">
        <f t="shared" si="3"/>
        <v/>
      </c>
      <c r="E59" s="21"/>
      <c r="F59" s="17" t="str">
        <f t="shared" si="4"/>
        <v/>
      </c>
      <c r="G59" s="17" t="str">
        <f t="shared" si="5"/>
        <v/>
      </c>
      <c r="H59" s="18"/>
      <c r="I59" s="17"/>
      <c r="J59" s="17">
        <f t="shared" si="7"/>
        <v>0</v>
      </c>
      <c r="K59" s="17">
        <f t="shared" si="8"/>
        <v>0</v>
      </c>
      <c r="L59" s="17">
        <f t="shared" si="9"/>
        <v>0</v>
      </c>
      <c r="M59" s="17">
        <f t="shared" si="11"/>
        <v>0</v>
      </c>
    </row>
    <row r="60" spans="1:13" x14ac:dyDescent="0.2">
      <c r="A60" s="19" t="str">
        <f t="shared" si="3"/>
        <v/>
      </c>
      <c r="E60" s="21"/>
      <c r="F60" s="17" t="str">
        <f t="shared" si="4"/>
        <v/>
      </c>
      <c r="G60" s="17" t="str">
        <f t="shared" si="5"/>
        <v/>
      </c>
      <c r="H60" s="18"/>
      <c r="I60" s="17"/>
      <c r="J60" s="17">
        <f t="shared" si="7"/>
        <v>0</v>
      </c>
      <c r="K60" s="17">
        <f t="shared" si="8"/>
        <v>0</v>
      </c>
      <c r="L60" s="17">
        <f t="shared" si="9"/>
        <v>0</v>
      </c>
      <c r="M60" s="17">
        <f t="shared" si="11"/>
        <v>0</v>
      </c>
    </row>
    <row r="61" spans="1:13" x14ac:dyDescent="0.2">
      <c r="A61" s="19" t="str">
        <f t="shared" si="3"/>
        <v/>
      </c>
      <c r="E61" s="21"/>
      <c r="F61" s="17" t="str">
        <f t="shared" si="4"/>
        <v/>
      </c>
      <c r="G61" s="17" t="str">
        <f t="shared" si="5"/>
        <v/>
      </c>
      <c r="H61" s="18"/>
      <c r="I61" s="17"/>
      <c r="J61" s="17">
        <f t="shared" si="7"/>
        <v>0</v>
      </c>
      <c r="K61" s="17">
        <f t="shared" si="8"/>
        <v>0</v>
      </c>
      <c r="L61" s="17">
        <f t="shared" si="9"/>
        <v>0</v>
      </c>
      <c r="M61" s="17">
        <f t="shared" ref="M61" si="12">SUM(K61:L61)</f>
        <v>0</v>
      </c>
    </row>
  </sheetData>
  <conditionalFormatting sqref="K63:M1048576 K2:M60">
    <cfRule type="cellIs" dxfId="96" priority="4" operator="greaterThan">
      <formula>0</formula>
    </cfRule>
  </conditionalFormatting>
  <conditionalFormatting sqref="K38:M60">
    <cfRule type="cellIs" dxfId="95" priority="3" operator="greaterThan">
      <formula>0</formula>
    </cfRule>
  </conditionalFormatting>
  <conditionalFormatting sqref="K61:M61">
    <cfRule type="cellIs" dxfId="94" priority="2" operator="greaterThan">
      <formula>0</formula>
    </cfRule>
  </conditionalFormatting>
  <conditionalFormatting sqref="K61:M61">
    <cfRule type="cellIs" dxfId="93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Q300"/>
  <sheetViews>
    <sheetView showGridLines="0" workbookViewId="0">
      <selection activeCell="O12" sqref="O12:P12"/>
    </sheetView>
  </sheetViews>
  <sheetFormatPr baseColWidth="10" defaultColWidth="11.42578125" defaultRowHeight="12.75" x14ac:dyDescent="0.2"/>
  <cols>
    <col min="1" max="1" width="2.85546875" style="27" customWidth="1"/>
    <col min="2" max="2" width="13.140625" style="27" customWidth="1"/>
    <col min="3" max="3" width="11.42578125" style="27" customWidth="1"/>
    <col min="4" max="4" width="9.140625" style="27" customWidth="1"/>
    <col min="5" max="5" width="7.85546875" style="27" customWidth="1"/>
    <col min="6" max="6" width="5.42578125" style="27" customWidth="1"/>
    <col min="7" max="7" width="4.28515625" style="27" customWidth="1"/>
    <col min="8" max="8" width="13.140625" style="27" bestFit="1" customWidth="1"/>
    <col min="9" max="9" width="13.85546875" style="27" customWidth="1"/>
    <col min="10" max="10" width="9.5703125" style="27" bestFit="1" customWidth="1"/>
    <col min="11" max="12" width="11.42578125" style="27"/>
    <col min="13" max="13" width="10.28515625" style="27" bestFit="1" customWidth="1"/>
    <col min="14" max="16384" width="11.42578125" style="27"/>
  </cols>
  <sheetData>
    <row r="1" spans="1:16" ht="28.5" customHeight="1" thickBot="1" x14ac:dyDescent="0.25">
      <c r="A1" s="24" t="s">
        <v>50</v>
      </c>
      <c r="B1" s="16" t="s">
        <v>8</v>
      </c>
      <c r="C1" s="16" t="s">
        <v>22</v>
      </c>
      <c r="D1" s="82" t="s">
        <v>55</v>
      </c>
      <c r="E1" s="30"/>
      <c r="F1" s="25" t="s">
        <v>52</v>
      </c>
      <c r="G1" s="25" t="s">
        <v>53</v>
      </c>
      <c r="H1" s="16" t="s">
        <v>8</v>
      </c>
      <c r="I1"/>
      <c r="J1" s="25" t="s">
        <v>56</v>
      </c>
      <c r="K1" s="25" t="s">
        <v>47</v>
      </c>
      <c r="L1" s="25" t="s">
        <v>48</v>
      </c>
      <c r="M1" s="25" t="s">
        <v>54</v>
      </c>
      <c r="O1" s="97" t="s">
        <v>67</v>
      </c>
      <c r="P1" s="98" t="s">
        <v>68</v>
      </c>
    </row>
    <row r="2" spans="1:16" ht="13.5" thickBot="1" x14ac:dyDescent="0.25">
      <c r="A2" s="27" t="str">
        <f>B2&amp;C2</f>
        <v>MRC01CUADRADO</v>
      </c>
      <c r="B2" t="s">
        <v>100</v>
      </c>
      <c r="C2" t="s">
        <v>39</v>
      </c>
      <c r="D2" s="172">
        <v>0</v>
      </c>
      <c r="E2" s="30"/>
      <c r="F2" s="28" t="str">
        <f>IF(OR(H2="",H2="Total general"),"",H2&amp;$L$1)</f>
        <v>MRC01SOBRANTE</v>
      </c>
      <c r="G2" s="28" t="str">
        <f>IF(OR(H2="",H2="Total general"),"",H2&amp;$K$1)</f>
        <v>MRC01FALTANTE</v>
      </c>
      <c r="H2" t="s">
        <v>100</v>
      </c>
      <c r="I2"/>
      <c r="J2" s="28">
        <f t="shared" ref="J2:J33" si="0">IF(L2&gt;0,I2+L2,I2)</f>
        <v>0</v>
      </c>
      <c r="K2" s="28">
        <f t="shared" ref="K2:K33" si="1">IFERROR(VLOOKUP(G2,A:D,4,0),0)</f>
        <v>0</v>
      </c>
      <c r="L2" s="28">
        <f t="shared" ref="L2:L33" si="2">IFERROR(VLOOKUP(F2,A:D,4,0),0)</f>
        <v>0</v>
      </c>
      <c r="M2" s="28">
        <f>SUM(K2:L2)</f>
        <v>0</v>
      </c>
      <c r="O2" s="99" t="s">
        <v>69</v>
      </c>
      <c r="P2" s="100" t="s">
        <v>70</v>
      </c>
    </row>
    <row r="3" spans="1:16" ht="13.5" thickBot="1" x14ac:dyDescent="0.25">
      <c r="A3" s="27" t="str">
        <f t="shared" ref="A3:A61" si="3">B3&amp;C3</f>
        <v>Total general</v>
      </c>
      <c r="B3" t="s">
        <v>4</v>
      </c>
      <c r="C3"/>
      <c r="D3" s="172">
        <v>0</v>
      </c>
      <c r="E3" s="30"/>
      <c r="F3" s="28" t="str">
        <f t="shared" ref="F3:F61" si="4">IF(OR(H3="",H3="Total general"),"",H3&amp;$L$1)</f>
        <v/>
      </c>
      <c r="G3" s="28" t="str">
        <f t="shared" ref="G3:G61" si="5">IF(OR(H3="",H3="Total general"),"",H3&amp;$K$1)</f>
        <v/>
      </c>
      <c r="H3" t="s">
        <v>4</v>
      </c>
      <c r="I3"/>
      <c r="J3" s="28">
        <f t="shared" si="0"/>
        <v>0</v>
      </c>
      <c r="K3" s="28">
        <f t="shared" si="1"/>
        <v>0</v>
      </c>
      <c r="L3" s="28">
        <f t="shared" si="2"/>
        <v>0</v>
      </c>
      <c r="M3" s="28">
        <f t="shared" ref="M3:M37" si="6">SUM(K3:L3)</f>
        <v>0</v>
      </c>
      <c r="O3" s="101" t="s">
        <v>64</v>
      </c>
      <c r="P3" s="102">
        <v>2001</v>
      </c>
    </row>
    <row r="4" spans="1:16" ht="13.5" thickBot="1" x14ac:dyDescent="0.25">
      <c r="A4" s="27" t="str">
        <f t="shared" si="3"/>
        <v/>
      </c>
      <c r="B4"/>
      <c r="C4"/>
      <c r="D4"/>
      <c r="E4" s="30"/>
      <c r="F4" s="28" t="str">
        <f t="shared" si="4"/>
        <v/>
      </c>
      <c r="G4" s="28" t="str">
        <f t="shared" si="5"/>
        <v/>
      </c>
      <c r="H4"/>
      <c r="I4"/>
      <c r="J4" s="28">
        <f t="shared" si="0"/>
        <v>0</v>
      </c>
      <c r="K4" s="28">
        <f t="shared" si="1"/>
        <v>0</v>
      </c>
      <c r="L4" s="28">
        <f t="shared" si="2"/>
        <v>0</v>
      </c>
      <c r="M4" s="28">
        <f t="shared" si="6"/>
        <v>0</v>
      </c>
      <c r="O4" s="101" t="s">
        <v>66</v>
      </c>
      <c r="P4" s="102">
        <v>2001</v>
      </c>
    </row>
    <row r="5" spans="1:16" ht="13.5" thickBot="1" x14ac:dyDescent="0.25">
      <c r="A5" s="27" t="str">
        <f t="shared" si="3"/>
        <v/>
      </c>
      <c r="B5"/>
      <c r="C5"/>
      <c r="D5"/>
      <c r="E5" s="30"/>
      <c r="F5" s="28" t="str">
        <f t="shared" si="4"/>
        <v/>
      </c>
      <c r="G5" s="28" t="str">
        <f t="shared" si="5"/>
        <v/>
      </c>
      <c r="H5"/>
      <c r="I5"/>
      <c r="J5" s="28">
        <f t="shared" si="0"/>
        <v>0</v>
      </c>
      <c r="K5" s="28">
        <f t="shared" si="1"/>
        <v>0</v>
      </c>
      <c r="L5" s="28">
        <f t="shared" si="2"/>
        <v>0</v>
      </c>
      <c r="M5" s="28">
        <f t="shared" si="6"/>
        <v>0</v>
      </c>
      <c r="O5" s="101" t="s">
        <v>71</v>
      </c>
      <c r="P5" s="102">
        <v>2002</v>
      </c>
    </row>
    <row r="6" spans="1:16" ht="13.5" thickBot="1" x14ac:dyDescent="0.25">
      <c r="A6" s="27" t="str">
        <f t="shared" si="3"/>
        <v/>
      </c>
      <c r="B6"/>
      <c r="C6"/>
      <c r="D6"/>
      <c r="E6" s="30"/>
      <c r="F6" s="28" t="str">
        <f t="shared" si="4"/>
        <v/>
      </c>
      <c r="G6" s="28" t="str">
        <f t="shared" si="5"/>
        <v/>
      </c>
      <c r="H6"/>
      <c r="I6"/>
      <c r="J6" s="28">
        <f t="shared" si="0"/>
        <v>0</v>
      </c>
      <c r="K6" s="28">
        <f t="shared" si="1"/>
        <v>0</v>
      </c>
      <c r="L6" s="28">
        <f t="shared" si="2"/>
        <v>0</v>
      </c>
      <c r="M6" s="28">
        <f t="shared" si="6"/>
        <v>0</v>
      </c>
      <c r="O6" s="101" t="s">
        <v>72</v>
      </c>
      <c r="P6" s="102">
        <v>2007</v>
      </c>
    </row>
    <row r="7" spans="1:16" ht="13.5" thickBot="1" x14ac:dyDescent="0.25">
      <c r="A7" s="27" t="str">
        <f t="shared" si="3"/>
        <v/>
      </c>
      <c r="B7"/>
      <c r="C7"/>
      <c r="D7"/>
      <c r="E7" s="30"/>
      <c r="F7" s="28" t="str">
        <f t="shared" si="4"/>
        <v/>
      </c>
      <c r="G7" s="28" t="str">
        <f t="shared" si="5"/>
        <v/>
      </c>
      <c r="H7"/>
      <c r="I7"/>
      <c r="J7" s="28">
        <f t="shared" si="0"/>
        <v>0</v>
      </c>
      <c r="K7" s="28">
        <f t="shared" si="1"/>
        <v>0</v>
      </c>
      <c r="L7" s="28">
        <f t="shared" si="2"/>
        <v>0</v>
      </c>
      <c r="M7" s="28">
        <f t="shared" si="6"/>
        <v>0</v>
      </c>
      <c r="O7" s="101" t="s">
        <v>73</v>
      </c>
      <c r="P7" s="102">
        <v>7004</v>
      </c>
    </row>
    <row r="8" spans="1:16" ht="13.5" thickBot="1" x14ac:dyDescent="0.25">
      <c r="A8" s="27" t="str">
        <f t="shared" si="3"/>
        <v/>
      </c>
      <c r="B8"/>
      <c r="C8"/>
      <c r="D8"/>
      <c r="E8" s="30"/>
      <c r="F8" s="28" t="str">
        <f t="shared" si="4"/>
        <v/>
      </c>
      <c r="G8" s="28" t="str">
        <f t="shared" si="5"/>
        <v/>
      </c>
      <c r="H8"/>
      <c r="I8"/>
      <c r="J8" s="28">
        <f t="shared" si="0"/>
        <v>0</v>
      </c>
      <c r="K8" s="28">
        <f t="shared" si="1"/>
        <v>0</v>
      </c>
      <c r="L8" s="28">
        <f t="shared" si="2"/>
        <v>0</v>
      </c>
      <c r="M8" s="28">
        <f t="shared" si="6"/>
        <v>0</v>
      </c>
      <c r="O8" s="101" t="s">
        <v>74</v>
      </c>
      <c r="P8" s="102">
        <v>9991</v>
      </c>
    </row>
    <row r="9" spans="1:16" ht="13.5" thickBot="1" x14ac:dyDescent="0.25">
      <c r="A9" s="27" t="str">
        <f t="shared" si="3"/>
        <v/>
      </c>
      <c r="B9"/>
      <c r="C9"/>
      <c r="D9"/>
      <c r="E9" s="30"/>
      <c r="F9" s="28" t="str">
        <f t="shared" si="4"/>
        <v/>
      </c>
      <c r="G9" s="28" t="str">
        <f t="shared" si="5"/>
        <v/>
      </c>
      <c r="H9"/>
      <c r="I9"/>
      <c r="J9" s="28">
        <f t="shared" si="0"/>
        <v>0</v>
      </c>
      <c r="K9" s="28">
        <f t="shared" si="1"/>
        <v>0</v>
      </c>
      <c r="L9" s="28">
        <f t="shared" si="2"/>
        <v>0</v>
      </c>
      <c r="M9" s="28">
        <f t="shared" si="6"/>
        <v>0</v>
      </c>
      <c r="O9" s="101" t="s">
        <v>75</v>
      </c>
      <c r="P9" s="102">
        <v>9993</v>
      </c>
    </row>
    <row r="10" spans="1:16" ht="13.5" thickBot="1" x14ac:dyDescent="0.25">
      <c r="A10" s="27" t="str">
        <f t="shared" si="3"/>
        <v/>
      </c>
      <c r="B10"/>
      <c r="C10"/>
      <c r="D10"/>
      <c r="E10" s="30"/>
      <c r="F10" s="28" t="str">
        <f t="shared" si="4"/>
        <v/>
      </c>
      <c r="G10" s="28" t="str">
        <f t="shared" si="5"/>
        <v/>
      </c>
      <c r="H10"/>
      <c r="I10"/>
      <c r="J10" s="28">
        <f t="shared" si="0"/>
        <v>0</v>
      </c>
      <c r="K10" s="28">
        <f t="shared" si="1"/>
        <v>0</v>
      </c>
      <c r="L10" s="28">
        <f t="shared" si="2"/>
        <v>0</v>
      </c>
      <c r="M10" s="28">
        <f t="shared" si="6"/>
        <v>0</v>
      </c>
      <c r="O10" s="101" t="s">
        <v>76</v>
      </c>
      <c r="P10" s="102">
        <v>9994</v>
      </c>
    </row>
    <row r="11" spans="1:16" ht="13.5" thickBot="1" x14ac:dyDescent="0.25">
      <c r="A11" s="27" t="str">
        <f t="shared" si="3"/>
        <v/>
      </c>
      <c r="B11"/>
      <c r="C11"/>
      <c r="D11"/>
      <c r="E11" s="30"/>
      <c r="F11" s="28" t="str">
        <f t="shared" si="4"/>
        <v/>
      </c>
      <c r="G11" s="28" t="str">
        <f t="shared" si="5"/>
        <v/>
      </c>
      <c r="H11"/>
      <c r="I11"/>
      <c r="J11" s="28">
        <f t="shared" si="0"/>
        <v>0</v>
      </c>
      <c r="K11" s="28">
        <f t="shared" si="1"/>
        <v>0</v>
      </c>
      <c r="L11" s="28">
        <f t="shared" si="2"/>
        <v>0</v>
      </c>
      <c r="M11" s="28">
        <f t="shared" si="6"/>
        <v>0</v>
      </c>
      <c r="O11" s="101" t="s">
        <v>77</v>
      </c>
      <c r="P11" s="102">
        <v>9995</v>
      </c>
    </row>
    <row r="12" spans="1:16" ht="13.5" thickBot="1" x14ac:dyDescent="0.25">
      <c r="A12" s="27" t="str">
        <f t="shared" si="3"/>
        <v/>
      </c>
      <c r="B12"/>
      <c r="C12"/>
      <c r="D12"/>
      <c r="E12" s="30"/>
      <c r="F12" s="28" t="str">
        <f t="shared" si="4"/>
        <v/>
      </c>
      <c r="G12" s="28" t="str">
        <f t="shared" si="5"/>
        <v/>
      </c>
      <c r="H12"/>
      <c r="I12"/>
      <c r="J12" s="28">
        <f t="shared" si="0"/>
        <v>0</v>
      </c>
      <c r="K12" s="28">
        <f t="shared" si="1"/>
        <v>0</v>
      </c>
      <c r="L12" s="28">
        <f t="shared" si="2"/>
        <v>0</v>
      </c>
      <c r="M12" s="28">
        <f t="shared" si="6"/>
        <v>0</v>
      </c>
      <c r="O12" s="101" t="s">
        <v>78</v>
      </c>
      <c r="P12" s="102">
        <v>9999</v>
      </c>
    </row>
    <row r="13" spans="1:16" ht="13.5" thickBot="1" x14ac:dyDescent="0.25">
      <c r="A13" s="27" t="str">
        <f t="shared" si="3"/>
        <v/>
      </c>
      <c r="B13"/>
      <c r="C13"/>
      <c r="D13"/>
      <c r="E13" s="30"/>
      <c r="F13" s="28" t="str">
        <f t="shared" si="4"/>
        <v/>
      </c>
      <c r="G13" s="28" t="str">
        <f t="shared" si="5"/>
        <v/>
      </c>
      <c r="H13"/>
      <c r="I13"/>
      <c r="J13" s="28">
        <f t="shared" si="0"/>
        <v>0</v>
      </c>
      <c r="K13" s="28">
        <f t="shared" si="1"/>
        <v>0</v>
      </c>
      <c r="L13" s="28">
        <f t="shared" si="2"/>
        <v>0</v>
      </c>
      <c r="M13" s="28">
        <f t="shared" si="6"/>
        <v>0</v>
      </c>
      <c r="O13" s="101" t="s">
        <v>65</v>
      </c>
      <c r="P13" s="102" t="s">
        <v>79</v>
      </c>
    </row>
    <row r="14" spans="1:16" ht="13.5" thickBot="1" x14ac:dyDescent="0.25">
      <c r="A14" s="27" t="str">
        <f t="shared" si="3"/>
        <v/>
      </c>
      <c r="B14"/>
      <c r="C14"/>
      <c r="D14"/>
      <c r="E14" s="30"/>
      <c r="F14" s="28" t="str">
        <f t="shared" si="4"/>
        <v/>
      </c>
      <c r="G14" s="28" t="str">
        <f t="shared" si="5"/>
        <v/>
      </c>
      <c r="H14"/>
      <c r="I14"/>
      <c r="J14" s="28">
        <f t="shared" si="0"/>
        <v>0</v>
      </c>
      <c r="K14" s="28">
        <f t="shared" si="1"/>
        <v>0</v>
      </c>
      <c r="L14" s="28">
        <f t="shared" si="2"/>
        <v>0</v>
      </c>
      <c r="M14" s="28">
        <f t="shared" si="6"/>
        <v>0</v>
      </c>
      <c r="O14" s="101" t="s">
        <v>80</v>
      </c>
      <c r="P14" s="102" t="s">
        <v>79</v>
      </c>
    </row>
    <row r="15" spans="1:16" x14ac:dyDescent="0.2">
      <c r="A15" s="27" t="str">
        <f t="shared" si="3"/>
        <v/>
      </c>
      <c r="B15"/>
      <c r="C15"/>
      <c r="D15"/>
      <c r="E15" s="30"/>
      <c r="F15" s="28" t="str">
        <f t="shared" si="4"/>
        <v/>
      </c>
      <c r="G15" s="28" t="str">
        <f t="shared" si="5"/>
        <v/>
      </c>
      <c r="H15"/>
      <c r="I15"/>
      <c r="J15" s="28">
        <f t="shared" si="0"/>
        <v>0</v>
      </c>
      <c r="K15" s="28">
        <f t="shared" si="1"/>
        <v>0</v>
      </c>
      <c r="L15" s="28">
        <f t="shared" si="2"/>
        <v>0</v>
      </c>
      <c r="M15" s="28">
        <f t="shared" si="6"/>
        <v>0</v>
      </c>
    </row>
    <row r="16" spans="1:16" x14ac:dyDescent="0.2">
      <c r="A16" s="27" t="str">
        <f t="shared" si="3"/>
        <v/>
      </c>
      <c r="B16"/>
      <c r="C16"/>
      <c r="D16"/>
      <c r="E16" s="30"/>
      <c r="F16" s="28" t="str">
        <f t="shared" si="4"/>
        <v/>
      </c>
      <c r="G16" s="28" t="str">
        <f t="shared" si="5"/>
        <v/>
      </c>
      <c r="H16"/>
      <c r="I16"/>
      <c r="J16" s="28">
        <f t="shared" si="0"/>
        <v>0</v>
      </c>
      <c r="K16" s="28">
        <f t="shared" si="1"/>
        <v>0</v>
      </c>
      <c r="L16" s="28">
        <f t="shared" si="2"/>
        <v>0</v>
      </c>
      <c r="M16" s="28">
        <f t="shared" si="6"/>
        <v>0</v>
      </c>
    </row>
    <row r="17" spans="1:17" x14ac:dyDescent="0.2">
      <c r="A17" s="27" t="str">
        <f t="shared" si="3"/>
        <v/>
      </c>
      <c r="B17"/>
      <c r="C17"/>
      <c r="D17"/>
      <c r="E17" s="30"/>
      <c r="F17" s="28" t="str">
        <f t="shared" si="4"/>
        <v/>
      </c>
      <c r="G17" s="28" t="str">
        <f t="shared" si="5"/>
        <v/>
      </c>
      <c r="H17"/>
      <c r="I17"/>
      <c r="J17" s="28">
        <f t="shared" si="0"/>
        <v>0</v>
      </c>
      <c r="K17" s="28">
        <f t="shared" si="1"/>
        <v>0</v>
      </c>
      <c r="L17" s="28">
        <f t="shared" si="2"/>
        <v>0</v>
      </c>
      <c r="M17" s="28">
        <f t="shared" si="6"/>
        <v>0</v>
      </c>
    </row>
    <row r="18" spans="1:17" x14ac:dyDescent="0.2">
      <c r="A18" s="27" t="str">
        <f t="shared" si="3"/>
        <v/>
      </c>
      <c r="B18"/>
      <c r="C18"/>
      <c r="D18"/>
      <c r="E18" s="30"/>
      <c r="F18" s="28" t="str">
        <f t="shared" si="4"/>
        <v/>
      </c>
      <c r="G18" s="28" t="str">
        <f t="shared" si="5"/>
        <v/>
      </c>
      <c r="H18"/>
      <c r="I18"/>
      <c r="J18" s="28">
        <f t="shared" si="0"/>
        <v>0</v>
      </c>
      <c r="K18" s="28">
        <f t="shared" si="1"/>
        <v>0</v>
      </c>
      <c r="L18" s="28">
        <f t="shared" si="2"/>
        <v>0</v>
      </c>
      <c r="M18" s="28">
        <f t="shared" si="6"/>
        <v>0</v>
      </c>
    </row>
    <row r="19" spans="1:17" x14ac:dyDescent="0.2">
      <c r="A19" s="27" t="str">
        <f t="shared" si="3"/>
        <v/>
      </c>
      <c r="B19"/>
      <c r="C19"/>
      <c r="D19"/>
      <c r="E19" s="30"/>
      <c r="F19" s="28" t="str">
        <f t="shared" si="4"/>
        <v/>
      </c>
      <c r="G19" s="28" t="str">
        <f t="shared" si="5"/>
        <v/>
      </c>
      <c r="H19"/>
      <c r="I19"/>
      <c r="J19" s="28">
        <f t="shared" si="0"/>
        <v>0</v>
      </c>
      <c r="K19" s="28">
        <f t="shared" si="1"/>
        <v>0</v>
      </c>
      <c r="L19" s="28">
        <f t="shared" si="2"/>
        <v>0</v>
      </c>
      <c r="M19" s="28">
        <f t="shared" si="6"/>
        <v>0</v>
      </c>
    </row>
    <row r="20" spans="1:17" x14ac:dyDescent="0.2">
      <c r="A20" s="27" t="str">
        <f t="shared" si="3"/>
        <v/>
      </c>
      <c r="B20"/>
      <c r="C20"/>
      <c r="D20"/>
      <c r="E20" s="30"/>
      <c r="F20" s="28" t="str">
        <f t="shared" si="4"/>
        <v/>
      </c>
      <c r="G20" s="28" t="str">
        <f t="shared" si="5"/>
        <v/>
      </c>
      <c r="H20"/>
      <c r="I20"/>
      <c r="J20" s="28">
        <f t="shared" si="0"/>
        <v>0</v>
      </c>
      <c r="K20" s="28">
        <f t="shared" si="1"/>
        <v>0</v>
      </c>
      <c r="L20" s="28">
        <f t="shared" si="2"/>
        <v>0</v>
      </c>
      <c r="M20" s="28">
        <f t="shared" si="6"/>
        <v>0</v>
      </c>
      <c r="P20"/>
      <c r="Q20"/>
    </row>
    <row r="21" spans="1:17" x14ac:dyDescent="0.2">
      <c r="A21" s="27" t="str">
        <f t="shared" si="3"/>
        <v/>
      </c>
      <c r="B21"/>
      <c r="C21"/>
      <c r="D21"/>
      <c r="E21" s="30"/>
      <c r="F21" s="28" t="str">
        <f t="shared" si="4"/>
        <v/>
      </c>
      <c r="G21" s="28" t="str">
        <f t="shared" si="5"/>
        <v/>
      </c>
      <c r="H21"/>
      <c r="I21"/>
      <c r="J21" s="28">
        <f t="shared" si="0"/>
        <v>0</v>
      </c>
      <c r="K21" s="28">
        <f t="shared" si="1"/>
        <v>0</v>
      </c>
      <c r="L21" s="28">
        <f t="shared" si="2"/>
        <v>0</v>
      </c>
      <c r="M21" s="28">
        <f t="shared" si="6"/>
        <v>0</v>
      </c>
      <c r="P21"/>
      <c r="Q21"/>
    </row>
    <row r="22" spans="1:17" x14ac:dyDescent="0.2">
      <c r="A22" s="27" t="str">
        <f t="shared" si="3"/>
        <v/>
      </c>
      <c r="B22"/>
      <c r="C22"/>
      <c r="D22"/>
      <c r="E22" s="30"/>
      <c r="F22" s="28" t="str">
        <f t="shared" si="4"/>
        <v/>
      </c>
      <c r="G22" s="28" t="str">
        <f t="shared" si="5"/>
        <v/>
      </c>
      <c r="H22"/>
      <c r="I22"/>
      <c r="J22" s="28">
        <f t="shared" si="0"/>
        <v>0</v>
      </c>
      <c r="K22" s="28">
        <f t="shared" si="1"/>
        <v>0</v>
      </c>
      <c r="L22" s="28">
        <f t="shared" si="2"/>
        <v>0</v>
      </c>
      <c r="M22" s="28">
        <f t="shared" si="6"/>
        <v>0</v>
      </c>
      <c r="P22"/>
      <c r="Q22"/>
    </row>
    <row r="23" spans="1:17" x14ac:dyDescent="0.2">
      <c r="A23" s="27" t="str">
        <f t="shared" si="3"/>
        <v/>
      </c>
      <c r="B23"/>
      <c r="C23"/>
      <c r="D23"/>
      <c r="E23" s="30"/>
      <c r="F23" s="28" t="str">
        <f t="shared" si="4"/>
        <v/>
      </c>
      <c r="G23" s="28" t="str">
        <f t="shared" si="5"/>
        <v/>
      </c>
      <c r="H23"/>
      <c r="I23"/>
      <c r="J23" s="28">
        <f t="shared" si="0"/>
        <v>0</v>
      </c>
      <c r="K23" s="28">
        <f t="shared" si="1"/>
        <v>0</v>
      </c>
      <c r="L23" s="28">
        <f t="shared" si="2"/>
        <v>0</v>
      </c>
      <c r="M23" s="28">
        <f t="shared" si="6"/>
        <v>0</v>
      </c>
      <c r="P23"/>
      <c r="Q23"/>
    </row>
    <row r="24" spans="1:17" x14ac:dyDescent="0.2">
      <c r="A24" s="27" t="str">
        <f t="shared" si="3"/>
        <v/>
      </c>
      <c r="B24"/>
      <c r="C24"/>
      <c r="D24"/>
      <c r="E24" s="30"/>
      <c r="F24" s="28" t="str">
        <f t="shared" si="4"/>
        <v/>
      </c>
      <c r="G24" s="28" t="str">
        <f t="shared" si="5"/>
        <v/>
      </c>
      <c r="H24"/>
      <c r="I24"/>
      <c r="J24" s="28">
        <f t="shared" si="0"/>
        <v>0</v>
      </c>
      <c r="K24" s="28">
        <f t="shared" si="1"/>
        <v>0</v>
      </c>
      <c r="L24" s="28">
        <f t="shared" si="2"/>
        <v>0</v>
      </c>
      <c r="M24" s="28">
        <f t="shared" si="6"/>
        <v>0</v>
      </c>
      <c r="P24"/>
      <c r="Q24"/>
    </row>
    <row r="25" spans="1:17" x14ac:dyDescent="0.2">
      <c r="A25" s="27" t="str">
        <f t="shared" si="3"/>
        <v/>
      </c>
      <c r="B25"/>
      <c r="C25"/>
      <c r="D25"/>
      <c r="E25" s="30"/>
      <c r="F25" s="28" t="str">
        <f t="shared" si="4"/>
        <v/>
      </c>
      <c r="G25" s="28" t="str">
        <f t="shared" si="5"/>
        <v/>
      </c>
      <c r="H25"/>
      <c r="I25"/>
      <c r="J25" s="28">
        <f t="shared" si="0"/>
        <v>0</v>
      </c>
      <c r="K25" s="28">
        <f t="shared" si="1"/>
        <v>0</v>
      </c>
      <c r="L25" s="28">
        <f t="shared" si="2"/>
        <v>0</v>
      </c>
      <c r="M25" s="28">
        <f t="shared" si="6"/>
        <v>0</v>
      </c>
      <c r="P25"/>
      <c r="Q25"/>
    </row>
    <row r="26" spans="1:17" x14ac:dyDescent="0.2">
      <c r="A26" s="27" t="str">
        <f t="shared" si="3"/>
        <v/>
      </c>
      <c r="B26"/>
      <c r="C26"/>
      <c r="D26"/>
      <c r="E26" s="30"/>
      <c r="F26" s="28" t="str">
        <f t="shared" si="4"/>
        <v/>
      </c>
      <c r="G26" s="28" t="str">
        <f t="shared" si="5"/>
        <v/>
      </c>
      <c r="H26"/>
      <c r="I26"/>
      <c r="J26" s="28">
        <f t="shared" si="0"/>
        <v>0</v>
      </c>
      <c r="K26" s="28">
        <f t="shared" si="1"/>
        <v>0</v>
      </c>
      <c r="L26" s="28">
        <f t="shared" si="2"/>
        <v>0</v>
      </c>
      <c r="M26" s="28">
        <f t="shared" si="6"/>
        <v>0</v>
      </c>
      <c r="P26"/>
      <c r="Q26"/>
    </row>
    <row r="27" spans="1:17" x14ac:dyDescent="0.2">
      <c r="A27" s="27" t="str">
        <f t="shared" si="3"/>
        <v/>
      </c>
      <c r="B27"/>
      <c r="C27"/>
      <c r="D27"/>
      <c r="E27" s="30"/>
      <c r="F27" s="28" t="str">
        <f t="shared" si="4"/>
        <v/>
      </c>
      <c r="G27" s="28" t="str">
        <f t="shared" si="5"/>
        <v/>
      </c>
      <c r="H27"/>
      <c r="I27"/>
      <c r="J27" s="28">
        <f t="shared" si="0"/>
        <v>0</v>
      </c>
      <c r="K27" s="28">
        <f t="shared" si="1"/>
        <v>0</v>
      </c>
      <c r="L27" s="28">
        <f t="shared" si="2"/>
        <v>0</v>
      </c>
      <c r="M27" s="28">
        <f t="shared" si="6"/>
        <v>0</v>
      </c>
      <c r="P27"/>
      <c r="Q27"/>
    </row>
    <row r="28" spans="1:17" x14ac:dyDescent="0.2">
      <c r="A28" s="27" t="str">
        <f t="shared" si="3"/>
        <v/>
      </c>
      <c r="B28"/>
      <c r="C28"/>
      <c r="D28"/>
      <c r="E28" s="30"/>
      <c r="F28" s="28" t="str">
        <f t="shared" si="4"/>
        <v/>
      </c>
      <c r="G28" s="28" t="str">
        <f t="shared" si="5"/>
        <v/>
      </c>
      <c r="H28"/>
      <c r="I28"/>
      <c r="J28" s="28">
        <f t="shared" si="0"/>
        <v>0</v>
      </c>
      <c r="K28" s="28">
        <f t="shared" si="1"/>
        <v>0</v>
      </c>
      <c r="L28" s="28">
        <f t="shared" si="2"/>
        <v>0</v>
      </c>
      <c r="M28" s="28">
        <f t="shared" si="6"/>
        <v>0</v>
      </c>
      <c r="P28"/>
      <c r="Q28"/>
    </row>
    <row r="29" spans="1:17" x14ac:dyDescent="0.2">
      <c r="A29" s="27" t="str">
        <f t="shared" si="3"/>
        <v/>
      </c>
      <c r="B29"/>
      <c r="C29"/>
      <c r="D29"/>
      <c r="E29" s="30"/>
      <c r="F29" s="28" t="str">
        <f t="shared" si="4"/>
        <v/>
      </c>
      <c r="G29" s="28" t="str">
        <f t="shared" si="5"/>
        <v/>
      </c>
      <c r="H29"/>
      <c r="I29"/>
      <c r="J29" s="28">
        <f t="shared" si="0"/>
        <v>0</v>
      </c>
      <c r="K29" s="28">
        <f t="shared" si="1"/>
        <v>0</v>
      </c>
      <c r="L29" s="28">
        <f t="shared" si="2"/>
        <v>0</v>
      </c>
      <c r="M29" s="28">
        <f t="shared" si="6"/>
        <v>0</v>
      </c>
      <c r="P29"/>
      <c r="Q29"/>
    </row>
    <row r="30" spans="1:17" x14ac:dyDescent="0.2">
      <c r="A30" s="27" t="str">
        <f t="shared" si="3"/>
        <v/>
      </c>
      <c r="B30"/>
      <c r="C30"/>
      <c r="D30"/>
      <c r="E30" s="30"/>
      <c r="F30" s="28" t="str">
        <f t="shared" si="4"/>
        <v/>
      </c>
      <c r="G30" s="28" t="str">
        <f t="shared" si="5"/>
        <v/>
      </c>
      <c r="H30"/>
      <c r="I30"/>
      <c r="J30" s="28">
        <f t="shared" si="0"/>
        <v>0</v>
      </c>
      <c r="K30" s="28">
        <f t="shared" si="1"/>
        <v>0</v>
      </c>
      <c r="L30" s="28">
        <f t="shared" si="2"/>
        <v>0</v>
      </c>
      <c r="M30" s="28">
        <f t="shared" si="6"/>
        <v>0</v>
      </c>
      <c r="P30"/>
      <c r="Q30"/>
    </row>
    <row r="31" spans="1:17" x14ac:dyDescent="0.2">
      <c r="A31" s="27" t="str">
        <f t="shared" si="3"/>
        <v/>
      </c>
      <c r="B31"/>
      <c r="C31"/>
      <c r="D31"/>
      <c r="E31" s="30"/>
      <c r="F31" s="28" t="str">
        <f t="shared" si="4"/>
        <v/>
      </c>
      <c r="G31" s="28" t="str">
        <f t="shared" si="5"/>
        <v/>
      </c>
      <c r="H31"/>
      <c r="I31"/>
      <c r="J31" s="28">
        <f t="shared" si="0"/>
        <v>0</v>
      </c>
      <c r="K31" s="28">
        <f t="shared" si="1"/>
        <v>0</v>
      </c>
      <c r="L31" s="28">
        <f t="shared" si="2"/>
        <v>0</v>
      </c>
      <c r="M31" s="28">
        <f t="shared" si="6"/>
        <v>0</v>
      </c>
      <c r="P31"/>
      <c r="Q31"/>
    </row>
    <row r="32" spans="1:17" x14ac:dyDescent="0.2">
      <c r="A32" s="27" t="str">
        <f t="shared" si="3"/>
        <v/>
      </c>
      <c r="B32"/>
      <c r="C32"/>
      <c r="D32"/>
      <c r="E32" s="30"/>
      <c r="F32" s="28" t="str">
        <f t="shared" si="4"/>
        <v/>
      </c>
      <c r="G32" s="28" t="str">
        <f t="shared" si="5"/>
        <v/>
      </c>
      <c r="H32"/>
      <c r="I32"/>
      <c r="J32" s="28">
        <f t="shared" si="0"/>
        <v>0</v>
      </c>
      <c r="K32" s="28">
        <f t="shared" si="1"/>
        <v>0</v>
      </c>
      <c r="L32" s="28">
        <f t="shared" si="2"/>
        <v>0</v>
      </c>
      <c r="M32" s="28">
        <f t="shared" si="6"/>
        <v>0</v>
      </c>
      <c r="P32"/>
      <c r="Q32"/>
    </row>
    <row r="33" spans="1:17" x14ac:dyDescent="0.2">
      <c r="A33" s="27" t="str">
        <f t="shared" si="3"/>
        <v/>
      </c>
      <c r="B33"/>
      <c r="C33"/>
      <c r="D33"/>
      <c r="E33" s="30"/>
      <c r="F33" s="28" t="str">
        <f t="shared" si="4"/>
        <v/>
      </c>
      <c r="G33" s="28" t="str">
        <f t="shared" si="5"/>
        <v/>
      </c>
      <c r="H33"/>
      <c r="I33"/>
      <c r="J33" s="28">
        <f t="shared" si="0"/>
        <v>0</v>
      </c>
      <c r="K33" s="28">
        <f t="shared" si="1"/>
        <v>0</v>
      </c>
      <c r="L33" s="28">
        <f t="shared" si="2"/>
        <v>0</v>
      </c>
      <c r="M33" s="28">
        <f t="shared" si="6"/>
        <v>0</v>
      </c>
      <c r="P33"/>
      <c r="Q33"/>
    </row>
    <row r="34" spans="1:17" x14ac:dyDescent="0.2">
      <c r="A34" s="27" t="str">
        <f t="shared" si="3"/>
        <v/>
      </c>
      <c r="B34"/>
      <c r="C34"/>
      <c r="D34"/>
      <c r="E34" s="30"/>
      <c r="F34" s="28" t="str">
        <f t="shared" si="4"/>
        <v/>
      </c>
      <c r="G34" s="28" t="str">
        <f t="shared" si="5"/>
        <v/>
      </c>
      <c r="H34"/>
      <c r="I34"/>
      <c r="J34" s="28">
        <f t="shared" ref="J34:J61" si="7">IF(L34&gt;0,I34+L34,I34)</f>
        <v>0</v>
      </c>
      <c r="K34" s="28">
        <f t="shared" ref="K34:K61" si="8">IFERROR(VLOOKUP(G34,A:D,4,0),0)</f>
        <v>0</v>
      </c>
      <c r="L34" s="28">
        <f t="shared" ref="L34:L61" si="9">IFERROR(VLOOKUP(F34,A:D,4,0),0)</f>
        <v>0</v>
      </c>
      <c r="M34" s="28">
        <f t="shared" si="6"/>
        <v>0</v>
      </c>
      <c r="P34"/>
      <c r="Q34"/>
    </row>
    <row r="35" spans="1:17" x14ac:dyDescent="0.2">
      <c r="A35" s="27" t="str">
        <f t="shared" si="3"/>
        <v/>
      </c>
      <c r="B35"/>
      <c r="C35"/>
      <c r="D35"/>
      <c r="E35" s="30"/>
      <c r="F35" s="28" t="str">
        <f t="shared" si="4"/>
        <v/>
      </c>
      <c r="G35" s="28" t="str">
        <f t="shared" si="5"/>
        <v/>
      </c>
      <c r="H35"/>
      <c r="I35"/>
      <c r="J35" s="28">
        <f t="shared" si="7"/>
        <v>0</v>
      </c>
      <c r="K35" s="28">
        <f t="shared" si="8"/>
        <v>0</v>
      </c>
      <c r="L35" s="28">
        <f t="shared" si="9"/>
        <v>0</v>
      </c>
      <c r="M35" s="28">
        <f t="shared" si="6"/>
        <v>0</v>
      </c>
      <c r="P35"/>
      <c r="Q35"/>
    </row>
    <row r="36" spans="1:17" x14ac:dyDescent="0.2">
      <c r="A36" s="27" t="str">
        <f t="shared" si="3"/>
        <v/>
      </c>
      <c r="B36"/>
      <c r="C36"/>
      <c r="D36"/>
      <c r="E36" s="30"/>
      <c r="F36" s="28" t="str">
        <f t="shared" si="4"/>
        <v/>
      </c>
      <c r="G36" s="28" t="str">
        <f t="shared" si="5"/>
        <v/>
      </c>
      <c r="H36"/>
      <c r="I36"/>
      <c r="J36" s="28">
        <f t="shared" si="7"/>
        <v>0</v>
      </c>
      <c r="K36" s="28">
        <f t="shared" si="8"/>
        <v>0</v>
      </c>
      <c r="L36" s="28">
        <f t="shared" si="9"/>
        <v>0</v>
      </c>
      <c r="M36" s="28">
        <f t="shared" si="6"/>
        <v>0</v>
      </c>
      <c r="P36"/>
      <c r="Q36"/>
    </row>
    <row r="37" spans="1:17" x14ac:dyDescent="0.2">
      <c r="A37" s="27" t="str">
        <f t="shared" si="3"/>
        <v/>
      </c>
      <c r="B37"/>
      <c r="C37"/>
      <c r="D37"/>
      <c r="E37" s="30"/>
      <c r="F37" s="28" t="str">
        <f t="shared" si="4"/>
        <v/>
      </c>
      <c r="G37" s="28" t="str">
        <f t="shared" si="5"/>
        <v/>
      </c>
      <c r="H37"/>
      <c r="I37"/>
      <c r="J37" s="28">
        <f t="shared" si="7"/>
        <v>0</v>
      </c>
      <c r="K37" s="28">
        <f t="shared" si="8"/>
        <v>0</v>
      </c>
      <c r="L37" s="28">
        <f t="shared" si="9"/>
        <v>0</v>
      </c>
      <c r="M37" s="28">
        <f t="shared" si="6"/>
        <v>0</v>
      </c>
      <c r="P37"/>
      <c r="Q37"/>
    </row>
    <row r="38" spans="1:17" x14ac:dyDescent="0.2">
      <c r="A38" s="27" t="str">
        <f t="shared" si="3"/>
        <v/>
      </c>
      <c r="B38"/>
      <c r="C38"/>
      <c r="D38"/>
      <c r="E38" s="30"/>
      <c r="F38" s="28" t="str">
        <f t="shared" si="4"/>
        <v/>
      </c>
      <c r="G38" s="28" t="str">
        <f t="shared" si="5"/>
        <v/>
      </c>
      <c r="H38"/>
      <c r="I38"/>
      <c r="J38" s="28">
        <f t="shared" si="7"/>
        <v>0</v>
      </c>
      <c r="K38" s="28">
        <f t="shared" si="8"/>
        <v>0</v>
      </c>
      <c r="L38" s="28">
        <f t="shared" si="9"/>
        <v>0</v>
      </c>
      <c r="M38" s="28">
        <f t="shared" ref="M38:M61" si="10">SUM(K38:L38)</f>
        <v>0</v>
      </c>
      <c r="P38"/>
      <c r="Q38"/>
    </row>
    <row r="39" spans="1:17" x14ac:dyDescent="0.2">
      <c r="A39" s="27" t="str">
        <f t="shared" si="3"/>
        <v/>
      </c>
      <c r="B39"/>
      <c r="C39"/>
      <c r="D39"/>
      <c r="E39" s="30"/>
      <c r="F39" s="28" t="str">
        <f t="shared" si="4"/>
        <v/>
      </c>
      <c r="G39" s="28" t="str">
        <f t="shared" si="5"/>
        <v/>
      </c>
      <c r="H39"/>
      <c r="I39"/>
      <c r="J39" s="28">
        <f t="shared" si="7"/>
        <v>0</v>
      </c>
      <c r="K39" s="28">
        <f t="shared" si="8"/>
        <v>0</v>
      </c>
      <c r="L39" s="28">
        <f t="shared" si="9"/>
        <v>0</v>
      </c>
      <c r="M39" s="28">
        <f t="shared" si="10"/>
        <v>0</v>
      </c>
      <c r="P39"/>
      <c r="Q39"/>
    </row>
    <row r="40" spans="1:17" x14ac:dyDescent="0.2">
      <c r="A40" s="27" t="str">
        <f t="shared" si="3"/>
        <v/>
      </c>
      <c r="B40"/>
      <c r="C40"/>
      <c r="D40"/>
      <c r="E40" s="30"/>
      <c r="F40" s="28" t="str">
        <f t="shared" si="4"/>
        <v/>
      </c>
      <c r="G40" s="28" t="str">
        <f t="shared" si="5"/>
        <v/>
      </c>
      <c r="H40"/>
      <c r="I40"/>
      <c r="J40" s="28">
        <f t="shared" si="7"/>
        <v>0</v>
      </c>
      <c r="K40" s="28">
        <f t="shared" si="8"/>
        <v>0</v>
      </c>
      <c r="L40" s="28">
        <f t="shared" si="9"/>
        <v>0</v>
      </c>
      <c r="M40" s="28">
        <f t="shared" si="10"/>
        <v>0</v>
      </c>
      <c r="P40"/>
      <c r="Q40"/>
    </row>
    <row r="41" spans="1:17" x14ac:dyDescent="0.2">
      <c r="A41" s="27" t="str">
        <f t="shared" si="3"/>
        <v/>
      </c>
      <c r="B41"/>
      <c r="C41"/>
      <c r="D41"/>
      <c r="E41" s="30"/>
      <c r="F41" s="28" t="str">
        <f t="shared" si="4"/>
        <v/>
      </c>
      <c r="G41" s="28" t="str">
        <f t="shared" si="5"/>
        <v/>
      </c>
      <c r="H41"/>
      <c r="I41"/>
      <c r="J41" s="28">
        <f t="shared" si="7"/>
        <v>0</v>
      </c>
      <c r="K41" s="28">
        <f t="shared" si="8"/>
        <v>0</v>
      </c>
      <c r="L41" s="28">
        <f t="shared" si="9"/>
        <v>0</v>
      </c>
      <c r="M41" s="28">
        <f t="shared" si="10"/>
        <v>0</v>
      </c>
      <c r="P41"/>
      <c r="Q41"/>
    </row>
    <row r="42" spans="1:17" x14ac:dyDescent="0.2">
      <c r="A42" s="27" t="str">
        <f t="shared" si="3"/>
        <v/>
      </c>
      <c r="B42"/>
      <c r="C42"/>
      <c r="D42"/>
      <c r="E42" s="30"/>
      <c r="F42" s="28" t="str">
        <f t="shared" si="4"/>
        <v/>
      </c>
      <c r="G42" s="28" t="str">
        <f t="shared" si="5"/>
        <v/>
      </c>
      <c r="H42"/>
      <c r="I42"/>
      <c r="J42" s="28">
        <f t="shared" si="7"/>
        <v>0</v>
      </c>
      <c r="K42" s="28">
        <f t="shared" si="8"/>
        <v>0</v>
      </c>
      <c r="L42" s="28">
        <f t="shared" si="9"/>
        <v>0</v>
      </c>
      <c r="M42" s="28">
        <f t="shared" si="10"/>
        <v>0</v>
      </c>
      <c r="P42"/>
      <c r="Q42"/>
    </row>
    <row r="43" spans="1:17" x14ac:dyDescent="0.2">
      <c r="A43" s="27" t="str">
        <f t="shared" si="3"/>
        <v/>
      </c>
      <c r="B43"/>
      <c r="C43"/>
      <c r="D43"/>
      <c r="E43" s="30"/>
      <c r="F43" s="28" t="str">
        <f t="shared" si="4"/>
        <v/>
      </c>
      <c r="G43" s="28" t="str">
        <f t="shared" si="5"/>
        <v/>
      </c>
      <c r="H43"/>
      <c r="I43"/>
      <c r="J43" s="28">
        <f t="shared" si="7"/>
        <v>0</v>
      </c>
      <c r="K43" s="28">
        <f t="shared" si="8"/>
        <v>0</v>
      </c>
      <c r="L43" s="28">
        <f t="shared" si="9"/>
        <v>0</v>
      </c>
      <c r="M43" s="28">
        <f t="shared" si="10"/>
        <v>0</v>
      </c>
      <c r="P43"/>
      <c r="Q43"/>
    </row>
    <row r="44" spans="1:17" x14ac:dyDescent="0.2">
      <c r="A44" s="27" t="str">
        <f t="shared" si="3"/>
        <v/>
      </c>
      <c r="B44"/>
      <c r="C44"/>
      <c r="D44"/>
      <c r="E44" s="30"/>
      <c r="F44" s="28" t="str">
        <f t="shared" si="4"/>
        <v/>
      </c>
      <c r="G44" s="28" t="str">
        <f t="shared" si="5"/>
        <v/>
      </c>
      <c r="H44"/>
      <c r="I44"/>
      <c r="J44" s="28">
        <f t="shared" si="7"/>
        <v>0</v>
      </c>
      <c r="K44" s="28">
        <f t="shared" si="8"/>
        <v>0</v>
      </c>
      <c r="L44" s="28">
        <f t="shared" si="9"/>
        <v>0</v>
      </c>
      <c r="M44" s="28">
        <f t="shared" si="10"/>
        <v>0</v>
      </c>
      <c r="P44"/>
      <c r="Q44"/>
    </row>
    <row r="45" spans="1:17" x14ac:dyDescent="0.2">
      <c r="A45" s="27" t="str">
        <f t="shared" si="3"/>
        <v/>
      </c>
      <c r="B45"/>
      <c r="C45"/>
      <c r="D45"/>
      <c r="E45" s="30"/>
      <c r="F45" s="28" t="str">
        <f t="shared" si="4"/>
        <v/>
      </c>
      <c r="G45" s="28" t="str">
        <f t="shared" si="5"/>
        <v/>
      </c>
      <c r="H45" s="29"/>
      <c r="I45" s="28"/>
      <c r="J45" s="28">
        <f t="shared" si="7"/>
        <v>0</v>
      </c>
      <c r="K45" s="28">
        <f t="shared" si="8"/>
        <v>0</v>
      </c>
      <c r="L45" s="28">
        <f t="shared" si="9"/>
        <v>0</v>
      </c>
      <c r="M45" s="28">
        <f t="shared" si="10"/>
        <v>0</v>
      </c>
      <c r="P45"/>
      <c r="Q45"/>
    </row>
    <row r="46" spans="1:17" x14ac:dyDescent="0.2">
      <c r="A46" s="27" t="str">
        <f t="shared" si="3"/>
        <v/>
      </c>
      <c r="B46"/>
      <c r="C46"/>
      <c r="D46"/>
      <c r="E46" s="30"/>
      <c r="F46" s="28" t="str">
        <f t="shared" si="4"/>
        <v/>
      </c>
      <c r="G46" s="28" t="str">
        <f t="shared" si="5"/>
        <v/>
      </c>
      <c r="H46" s="29"/>
      <c r="I46" s="28"/>
      <c r="J46" s="28">
        <f t="shared" si="7"/>
        <v>0</v>
      </c>
      <c r="K46" s="28">
        <f t="shared" si="8"/>
        <v>0</v>
      </c>
      <c r="L46" s="28">
        <f t="shared" si="9"/>
        <v>0</v>
      </c>
      <c r="M46" s="28">
        <f t="shared" si="10"/>
        <v>0</v>
      </c>
      <c r="P46"/>
      <c r="Q46"/>
    </row>
    <row r="47" spans="1:17" x14ac:dyDescent="0.2">
      <c r="A47" s="27" t="str">
        <f t="shared" si="3"/>
        <v/>
      </c>
      <c r="B47"/>
      <c r="C47"/>
      <c r="D47"/>
      <c r="E47" s="30"/>
      <c r="F47" s="28" t="str">
        <f t="shared" si="4"/>
        <v/>
      </c>
      <c r="G47" s="28" t="str">
        <f t="shared" si="5"/>
        <v/>
      </c>
      <c r="H47" s="29"/>
      <c r="I47" s="28"/>
      <c r="J47" s="28">
        <f t="shared" si="7"/>
        <v>0</v>
      </c>
      <c r="K47" s="28">
        <f t="shared" si="8"/>
        <v>0</v>
      </c>
      <c r="L47" s="28">
        <f t="shared" si="9"/>
        <v>0</v>
      </c>
      <c r="M47" s="28">
        <f t="shared" si="10"/>
        <v>0</v>
      </c>
      <c r="P47"/>
      <c r="Q47"/>
    </row>
    <row r="48" spans="1:17" x14ac:dyDescent="0.2">
      <c r="A48" s="27" t="str">
        <f t="shared" si="3"/>
        <v/>
      </c>
      <c r="B48"/>
      <c r="C48"/>
      <c r="D48"/>
      <c r="E48" s="30"/>
      <c r="F48" s="28" t="str">
        <f t="shared" si="4"/>
        <v/>
      </c>
      <c r="G48" s="28" t="str">
        <f t="shared" si="5"/>
        <v/>
      </c>
      <c r="H48" s="29"/>
      <c r="I48" s="28"/>
      <c r="J48" s="28">
        <f t="shared" si="7"/>
        <v>0</v>
      </c>
      <c r="K48" s="28">
        <f t="shared" si="8"/>
        <v>0</v>
      </c>
      <c r="L48" s="28">
        <f t="shared" si="9"/>
        <v>0</v>
      </c>
      <c r="M48" s="28">
        <f t="shared" si="10"/>
        <v>0</v>
      </c>
      <c r="P48"/>
      <c r="Q48"/>
    </row>
    <row r="49" spans="1:17" x14ac:dyDescent="0.2">
      <c r="A49" s="27" t="str">
        <f t="shared" si="3"/>
        <v/>
      </c>
      <c r="B49"/>
      <c r="C49"/>
      <c r="D49"/>
      <c r="E49" s="30"/>
      <c r="F49" s="28" t="str">
        <f t="shared" si="4"/>
        <v/>
      </c>
      <c r="G49" s="28" t="str">
        <f t="shared" si="5"/>
        <v/>
      </c>
      <c r="H49" s="29"/>
      <c r="I49" s="28"/>
      <c r="J49" s="28">
        <f t="shared" si="7"/>
        <v>0</v>
      </c>
      <c r="K49" s="28">
        <f t="shared" si="8"/>
        <v>0</v>
      </c>
      <c r="L49" s="28">
        <f t="shared" si="9"/>
        <v>0</v>
      </c>
      <c r="M49" s="28">
        <f t="shared" si="10"/>
        <v>0</v>
      </c>
      <c r="P49"/>
      <c r="Q49"/>
    </row>
    <row r="50" spans="1:17" x14ac:dyDescent="0.2">
      <c r="A50" s="27" t="str">
        <f t="shared" si="3"/>
        <v/>
      </c>
      <c r="B50"/>
      <c r="C50"/>
      <c r="D50"/>
      <c r="E50" s="30"/>
      <c r="F50" s="28" t="str">
        <f t="shared" si="4"/>
        <v/>
      </c>
      <c r="G50" s="28" t="str">
        <f t="shared" si="5"/>
        <v/>
      </c>
      <c r="H50" s="29"/>
      <c r="I50" s="28"/>
      <c r="J50" s="28">
        <f t="shared" si="7"/>
        <v>0</v>
      </c>
      <c r="K50" s="28">
        <f t="shared" si="8"/>
        <v>0</v>
      </c>
      <c r="L50" s="28">
        <f t="shared" si="9"/>
        <v>0</v>
      </c>
      <c r="M50" s="28">
        <f t="shared" si="10"/>
        <v>0</v>
      </c>
      <c r="P50"/>
      <c r="Q50"/>
    </row>
    <row r="51" spans="1:17" x14ac:dyDescent="0.2">
      <c r="A51" s="27" t="str">
        <f t="shared" si="3"/>
        <v/>
      </c>
      <c r="B51"/>
      <c r="C51"/>
      <c r="D51"/>
      <c r="E51" s="30"/>
      <c r="F51" s="28" t="str">
        <f t="shared" si="4"/>
        <v/>
      </c>
      <c r="G51" s="28" t="str">
        <f t="shared" si="5"/>
        <v/>
      </c>
      <c r="H51" s="29"/>
      <c r="I51" s="28"/>
      <c r="J51" s="28">
        <f t="shared" si="7"/>
        <v>0</v>
      </c>
      <c r="K51" s="28">
        <f t="shared" si="8"/>
        <v>0</v>
      </c>
      <c r="L51" s="28">
        <f t="shared" si="9"/>
        <v>0</v>
      </c>
      <c r="M51" s="28">
        <f t="shared" si="10"/>
        <v>0</v>
      </c>
      <c r="P51"/>
      <c r="Q51"/>
    </row>
    <row r="52" spans="1:17" x14ac:dyDescent="0.2">
      <c r="A52" s="27" t="str">
        <f t="shared" si="3"/>
        <v/>
      </c>
      <c r="B52"/>
      <c r="C52"/>
      <c r="D52"/>
      <c r="E52" s="30"/>
      <c r="F52" s="28" t="str">
        <f t="shared" si="4"/>
        <v/>
      </c>
      <c r="G52" s="28" t="str">
        <f t="shared" si="5"/>
        <v/>
      </c>
      <c r="H52" s="29"/>
      <c r="I52" s="28"/>
      <c r="J52" s="28">
        <f t="shared" si="7"/>
        <v>0</v>
      </c>
      <c r="K52" s="28">
        <f t="shared" si="8"/>
        <v>0</v>
      </c>
      <c r="L52" s="28">
        <f t="shared" si="9"/>
        <v>0</v>
      </c>
      <c r="M52" s="28">
        <f t="shared" si="10"/>
        <v>0</v>
      </c>
      <c r="P52"/>
      <c r="Q52"/>
    </row>
    <row r="53" spans="1:17" x14ac:dyDescent="0.2">
      <c r="A53" s="27" t="str">
        <f t="shared" si="3"/>
        <v/>
      </c>
      <c r="B53"/>
      <c r="C53"/>
      <c r="D53"/>
      <c r="E53" s="30"/>
      <c r="F53" s="28" t="str">
        <f t="shared" si="4"/>
        <v/>
      </c>
      <c r="G53" s="28" t="str">
        <f t="shared" si="5"/>
        <v/>
      </c>
      <c r="H53" s="29"/>
      <c r="I53" s="28"/>
      <c r="J53" s="28">
        <f t="shared" si="7"/>
        <v>0</v>
      </c>
      <c r="K53" s="28">
        <f t="shared" si="8"/>
        <v>0</v>
      </c>
      <c r="L53" s="28">
        <f t="shared" si="9"/>
        <v>0</v>
      </c>
      <c r="M53" s="28">
        <f t="shared" si="10"/>
        <v>0</v>
      </c>
      <c r="P53"/>
      <c r="Q53"/>
    </row>
    <row r="54" spans="1:17" x14ac:dyDescent="0.2">
      <c r="A54" s="27" t="str">
        <f t="shared" si="3"/>
        <v/>
      </c>
      <c r="B54"/>
      <c r="C54"/>
      <c r="D54"/>
      <c r="E54" s="30"/>
      <c r="F54" s="28" t="str">
        <f t="shared" si="4"/>
        <v/>
      </c>
      <c r="G54" s="28" t="str">
        <f t="shared" si="5"/>
        <v/>
      </c>
      <c r="H54" s="29"/>
      <c r="I54" s="28"/>
      <c r="J54" s="28">
        <f t="shared" si="7"/>
        <v>0</v>
      </c>
      <c r="K54" s="28">
        <f t="shared" si="8"/>
        <v>0</v>
      </c>
      <c r="L54" s="28">
        <f t="shared" si="9"/>
        <v>0</v>
      </c>
      <c r="M54" s="28">
        <f t="shared" si="10"/>
        <v>0</v>
      </c>
      <c r="P54"/>
      <c r="Q54"/>
    </row>
    <row r="55" spans="1:17" x14ac:dyDescent="0.2">
      <c r="A55" s="27" t="str">
        <f t="shared" si="3"/>
        <v/>
      </c>
      <c r="B55"/>
      <c r="C55"/>
      <c r="D55"/>
      <c r="E55" s="30"/>
      <c r="F55" s="28" t="str">
        <f t="shared" si="4"/>
        <v/>
      </c>
      <c r="G55" s="28" t="str">
        <f t="shared" si="5"/>
        <v/>
      </c>
      <c r="H55" s="29"/>
      <c r="I55" s="28"/>
      <c r="J55" s="28">
        <f t="shared" si="7"/>
        <v>0</v>
      </c>
      <c r="K55" s="28">
        <f t="shared" si="8"/>
        <v>0</v>
      </c>
      <c r="L55" s="28">
        <f t="shared" si="9"/>
        <v>0</v>
      </c>
      <c r="M55" s="28">
        <f t="shared" si="10"/>
        <v>0</v>
      </c>
      <c r="P55"/>
      <c r="Q55"/>
    </row>
    <row r="56" spans="1:17" x14ac:dyDescent="0.2">
      <c r="A56" s="27" t="str">
        <f t="shared" si="3"/>
        <v/>
      </c>
      <c r="B56"/>
      <c r="C56"/>
      <c r="D56"/>
      <c r="E56" s="30"/>
      <c r="F56" s="28" t="str">
        <f t="shared" si="4"/>
        <v/>
      </c>
      <c r="G56" s="28" t="str">
        <f t="shared" si="5"/>
        <v/>
      </c>
      <c r="H56" s="29"/>
      <c r="I56" s="28"/>
      <c r="J56" s="28">
        <f t="shared" si="7"/>
        <v>0</v>
      </c>
      <c r="K56" s="28">
        <f t="shared" si="8"/>
        <v>0</v>
      </c>
      <c r="L56" s="28">
        <f t="shared" si="9"/>
        <v>0</v>
      </c>
      <c r="M56" s="28">
        <f t="shared" si="10"/>
        <v>0</v>
      </c>
      <c r="P56"/>
      <c r="Q56"/>
    </row>
    <row r="57" spans="1:17" x14ac:dyDescent="0.2">
      <c r="A57" s="27" t="str">
        <f t="shared" si="3"/>
        <v/>
      </c>
      <c r="B57"/>
      <c r="C57"/>
      <c r="D57"/>
      <c r="E57" s="30"/>
      <c r="F57" s="28" t="str">
        <f t="shared" si="4"/>
        <v/>
      </c>
      <c r="G57" s="28" t="str">
        <f t="shared" si="5"/>
        <v/>
      </c>
      <c r="H57" s="29"/>
      <c r="I57" s="28"/>
      <c r="J57" s="28">
        <f t="shared" si="7"/>
        <v>0</v>
      </c>
      <c r="K57" s="28">
        <f t="shared" si="8"/>
        <v>0</v>
      </c>
      <c r="L57" s="28">
        <f t="shared" si="9"/>
        <v>0</v>
      </c>
      <c r="M57" s="28">
        <f t="shared" si="10"/>
        <v>0</v>
      </c>
      <c r="P57"/>
      <c r="Q57"/>
    </row>
    <row r="58" spans="1:17" x14ac:dyDescent="0.2">
      <c r="A58" s="27" t="str">
        <f t="shared" si="3"/>
        <v/>
      </c>
      <c r="B58"/>
      <c r="C58"/>
      <c r="D58"/>
      <c r="E58" s="30"/>
      <c r="F58" s="28" t="str">
        <f t="shared" si="4"/>
        <v/>
      </c>
      <c r="G58" s="28" t="str">
        <f t="shared" si="5"/>
        <v/>
      </c>
      <c r="H58" s="29"/>
      <c r="I58" s="28"/>
      <c r="J58" s="28">
        <f t="shared" si="7"/>
        <v>0</v>
      </c>
      <c r="K58" s="28">
        <f t="shared" si="8"/>
        <v>0</v>
      </c>
      <c r="L58" s="28">
        <f t="shared" si="9"/>
        <v>0</v>
      </c>
      <c r="M58" s="28">
        <f t="shared" si="10"/>
        <v>0</v>
      </c>
      <c r="P58"/>
      <c r="Q58"/>
    </row>
    <row r="59" spans="1:17" x14ac:dyDescent="0.2">
      <c r="A59" s="27" t="str">
        <f t="shared" si="3"/>
        <v/>
      </c>
      <c r="B59"/>
      <c r="C59"/>
      <c r="D59"/>
      <c r="E59" s="30"/>
      <c r="F59" s="28" t="str">
        <f t="shared" si="4"/>
        <v/>
      </c>
      <c r="G59" s="28" t="str">
        <f t="shared" si="5"/>
        <v/>
      </c>
      <c r="H59" s="29"/>
      <c r="I59" s="28"/>
      <c r="J59" s="28">
        <f t="shared" si="7"/>
        <v>0</v>
      </c>
      <c r="K59" s="28">
        <f t="shared" si="8"/>
        <v>0</v>
      </c>
      <c r="L59" s="28">
        <f t="shared" si="9"/>
        <v>0</v>
      </c>
      <c r="M59" s="28">
        <f t="shared" si="10"/>
        <v>0</v>
      </c>
      <c r="P59"/>
      <c r="Q59"/>
    </row>
    <row r="60" spans="1:17" x14ac:dyDescent="0.2">
      <c r="A60" s="27" t="str">
        <f t="shared" si="3"/>
        <v/>
      </c>
      <c r="B60"/>
      <c r="C60"/>
      <c r="D60"/>
      <c r="E60" s="30"/>
      <c r="F60" s="28" t="str">
        <f t="shared" si="4"/>
        <v/>
      </c>
      <c r="G60" s="28" t="str">
        <f t="shared" si="5"/>
        <v/>
      </c>
      <c r="H60" s="29"/>
      <c r="I60" s="28"/>
      <c r="J60" s="28">
        <f t="shared" si="7"/>
        <v>0</v>
      </c>
      <c r="K60" s="28">
        <f t="shared" si="8"/>
        <v>0</v>
      </c>
      <c r="L60" s="28">
        <f t="shared" si="9"/>
        <v>0</v>
      </c>
      <c r="M60" s="28">
        <f t="shared" si="10"/>
        <v>0</v>
      </c>
      <c r="P60"/>
      <c r="Q60"/>
    </row>
    <row r="61" spans="1:17" x14ac:dyDescent="0.2">
      <c r="A61" s="27" t="str">
        <f t="shared" si="3"/>
        <v/>
      </c>
      <c r="B61"/>
      <c r="C61"/>
      <c r="D61"/>
      <c r="E61" s="30"/>
      <c r="F61" s="28" t="str">
        <f t="shared" si="4"/>
        <v/>
      </c>
      <c r="G61" s="28" t="str">
        <f t="shared" si="5"/>
        <v/>
      </c>
      <c r="H61" s="29"/>
      <c r="I61" s="28"/>
      <c r="J61" s="28">
        <f t="shared" si="7"/>
        <v>0</v>
      </c>
      <c r="K61" s="28">
        <f t="shared" si="8"/>
        <v>0</v>
      </c>
      <c r="L61" s="28">
        <f t="shared" si="9"/>
        <v>0</v>
      </c>
      <c r="M61" s="28">
        <f t="shared" si="10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87" priority="2" operator="greaterThan">
      <formula>0</formula>
    </cfRule>
  </conditionalFormatting>
  <conditionalFormatting sqref="K38:M61">
    <cfRule type="cellIs" dxfId="86" priority="1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M61"/>
  <sheetViews>
    <sheetView showGridLines="0" workbookViewId="0">
      <selection activeCell="I1" sqref="I1"/>
    </sheetView>
  </sheetViews>
  <sheetFormatPr baseColWidth="10" defaultColWidth="11.42578125" defaultRowHeight="12.75" x14ac:dyDescent="0.2"/>
  <cols>
    <col min="1" max="1" width="4.7109375" customWidth="1"/>
    <col min="2" max="2" width="15" customWidth="1"/>
    <col min="3" max="3" width="12.5703125" bestFit="1" customWidth="1"/>
    <col min="4" max="4" width="15.42578125" bestFit="1" customWidth="1"/>
    <col min="5" max="5" width="13.7109375" customWidth="1"/>
    <col min="6" max="6" width="4.140625" customWidth="1"/>
    <col min="7" max="7" width="5.42578125" customWidth="1"/>
    <col min="8" max="8" width="13.140625" customWidth="1"/>
    <col min="9" max="9" width="7.42578125" customWidth="1"/>
    <col min="13" max="13" width="11.28515625" customWidth="1"/>
  </cols>
  <sheetData>
    <row r="1" spans="1:13" ht="36" customHeight="1" x14ac:dyDescent="0.2">
      <c r="A1" s="23" t="s">
        <v>50</v>
      </c>
      <c r="B1" s="31" t="s">
        <v>8</v>
      </c>
      <c r="C1" s="31" t="s">
        <v>22</v>
      </c>
      <c r="D1" s="24" t="s">
        <v>57</v>
      </c>
      <c r="E1" s="83"/>
      <c r="F1" s="25" t="s">
        <v>52</v>
      </c>
      <c r="G1" s="25" t="s">
        <v>53</v>
      </c>
      <c r="H1" s="31" t="s">
        <v>8</v>
      </c>
      <c r="I1" s="24" t="s">
        <v>58</v>
      </c>
      <c r="J1" s="25" t="s">
        <v>39</v>
      </c>
      <c r="K1" s="25" t="s">
        <v>47</v>
      </c>
      <c r="L1" s="25" t="s">
        <v>48</v>
      </c>
      <c r="M1" s="25" t="s">
        <v>54</v>
      </c>
    </row>
    <row r="2" spans="1:13" x14ac:dyDescent="0.2">
      <c r="A2" s="19" t="str">
        <f>B2&amp;C2</f>
        <v>MRC01CUADRADO</v>
      </c>
      <c r="B2" t="s">
        <v>100</v>
      </c>
      <c r="C2" t="s">
        <v>39</v>
      </c>
      <c r="D2" s="172">
        <v>328</v>
      </c>
      <c r="E2" s="22"/>
      <c r="F2" s="17" t="str">
        <f>IF(OR(H2="",H2="Total general"),"",H2&amp;$L$1)</f>
        <v>MRC01SOBRANTE</v>
      </c>
      <c r="G2" s="17" t="str">
        <f>IF(OR(H2="",H2="Total general"),"",H2&amp;$K$1)</f>
        <v>MRC01FALTANTE</v>
      </c>
      <c r="H2" t="s">
        <v>100</v>
      </c>
      <c r="I2" s="172">
        <v>328</v>
      </c>
      <c r="J2" s="17">
        <f>IFERROR(IF(I2="","",IF(COUNTBLANK(TABLAINV[Codigo])&gt;0,I2-M2-1,I2-M2)),0)</f>
        <v>328</v>
      </c>
      <c r="K2" s="17">
        <f t="shared" ref="K2:K33" si="0">IFERROR(VLOOKUP(G2,A:D,4,0),0)</f>
        <v>0</v>
      </c>
      <c r="L2" s="17">
        <f t="shared" ref="L2:L33" si="1">IFERROR(VLOOKUP(F2,A:D,4,0),0)</f>
        <v>0</v>
      </c>
      <c r="M2" s="17">
        <f>SUM(K2:L2)</f>
        <v>0</v>
      </c>
    </row>
    <row r="3" spans="1:13" x14ac:dyDescent="0.2">
      <c r="A3" s="19" t="str">
        <f t="shared" ref="A3:A61" si="2">B3&amp;C3</f>
        <v>Total general</v>
      </c>
      <c r="B3" t="s">
        <v>4</v>
      </c>
      <c r="D3" s="172">
        <v>328</v>
      </c>
      <c r="E3" s="22"/>
      <c r="F3" s="17" t="str">
        <f t="shared" ref="F3:F61" si="3">IF(OR(H3="",H3="Total general"),"",H3&amp;$L$1)</f>
        <v/>
      </c>
      <c r="G3" s="17" t="str">
        <f t="shared" ref="G3:G61" si="4">IF(OR(H3="",H3="Total general"),"",H3&amp;$K$1)</f>
        <v/>
      </c>
      <c r="H3" t="s">
        <v>4</v>
      </c>
      <c r="I3" s="172">
        <v>328</v>
      </c>
      <c r="J3" s="17">
        <f>IFERROR(IF(I3="","",IF(COUNTBLANK(TABLAINV[Codigo])&gt;0,I3-M3-1,I3-M3)),0)</f>
        <v>328</v>
      </c>
      <c r="K3" s="17">
        <f t="shared" si="0"/>
        <v>0</v>
      </c>
      <c r="L3" s="17">
        <f t="shared" si="1"/>
        <v>0</v>
      </c>
      <c r="M3" s="17">
        <f t="shared" ref="M3:M5" si="5">SUM(K3:L3)</f>
        <v>0</v>
      </c>
    </row>
    <row r="4" spans="1:13" x14ac:dyDescent="0.2">
      <c r="A4" s="19" t="str">
        <f t="shared" si="2"/>
        <v/>
      </c>
      <c r="E4" s="22"/>
      <c r="F4" s="17" t="str">
        <f t="shared" si="3"/>
        <v/>
      </c>
      <c r="G4" s="17" t="str">
        <f t="shared" si="4"/>
        <v/>
      </c>
      <c r="J4" s="17" t="str">
        <f>IFERROR(IF(I4="","",IF(COUNTBLANK(TABLAINV[Codigo])&gt;0,I4-M4-1,I4-M4)),0)</f>
        <v/>
      </c>
      <c r="K4" s="17">
        <f t="shared" si="0"/>
        <v>0</v>
      </c>
      <c r="L4" s="17">
        <f t="shared" si="1"/>
        <v>0</v>
      </c>
      <c r="M4" s="17">
        <f t="shared" si="5"/>
        <v>0</v>
      </c>
    </row>
    <row r="5" spans="1:13" x14ac:dyDescent="0.2">
      <c r="A5" s="19" t="str">
        <f t="shared" si="2"/>
        <v/>
      </c>
      <c r="E5" s="22"/>
      <c r="F5" s="17" t="str">
        <f t="shared" si="3"/>
        <v/>
      </c>
      <c r="G5" s="17" t="str">
        <f t="shared" si="4"/>
        <v/>
      </c>
      <c r="J5" s="17" t="str">
        <f>IFERROR(IF(I5="","",IF(COUNTBLANK(TABLAINV[Codigo])&gt;0,I5-M5-1,I5-M5)),0)</f>
        <v/>
      </c>
      <c r="K5" s="17">
        <f t="shared" si="0"/>
        <v>0</v>
      </c>
      <c r="L5" s="17">
        <f t="shared" si="1"/>
        <v>0</v>
      </c>
      <c r="M5" s="17">
        <f t="shared" si="5"/>
        <v>0</v>
      </c>
    </row>
    <row r="6" spans="1:13" x14ac:dyDescent="0.2">
      <c r="A6" s="19" t="str">
        <f t="shared" si="2"/>
        <v/>
      </c>
      <c r="E6" s="22"/>
      <c r="F6" s="17" t="str">
        <f t="shared" si="3"/>
        <v/>
      </c>
      <c r="G6" s="17" t="str">
        <f t="shared" si="4"/>
        <v/>
      </c>
      <c r="J6" s="17" t="str">
        <f>IFERROR(IF(I6="","",IF(COUNTBLANK(TABLAINV[Codigo])&gt;0,I6-M6-1,I6-M6)),0)</f>
        <v/>
      </c>
      <c r="K6" s="17">
        <f t="shared" si="0"/>
        <v>0</v>
      </c>
      <c r="L6" s="17">
        <f t="shared" si="1"/>
        <v>0</v>
      </c>
      <c r="M6" s="17">
        <f t="shared" ref="M6:M18" si="6">SUM(K6:L6)</f>
        <v>0</v>
      </c>
    </row>
    <row r="7" spans="1:13" x14ac:dyDescent="0.2">
      <c r="A7" s="19" t="str">
        <f t="shared" si="2"/>
        <v/>
      </c>
      <c r="E7" s="22"/>
      <c r="F7" s="17" t="str">
        <f t="shared" si="3"/>
        <v/>
      </c>
      <c r="G7" s="17" t="str">
        <f t="shared" si="4"/>
        <v/>
      </c>
      <c r="J7" s="17" t="str">
        <f>IFERROR(IF(I7="","",IF(COUNTBLANK(TABLAINV[Codigo])&gt;0,I7-M7-1,I7-M7)),0)</f>
        <v/>
      </c>
      <c r="K7" s="17">
        <f t="shared" si="0"/>
        <v>0</v>
      </c>
      <c r="L7" s="17">
        <f t="shared" si="1"/>
        <v>0</v>
      </c>
      <c r="M7" s="17">
        <f t="shared" si="6"/>
        <v>0</v>
      </c>
    </row>
    <row r="8" spans="1:13" x14ac:dyDescent="0.2">
      <c r="A8" s="19" t="str">
        <f t="shared" si="2"/>
        <v/>
      </c>
      <c r="E8" s="22"/>
      <c r="F8" s="17" t="str">
        <f t="shared" si="3"/>
        <v/>
      </c>
      <c r="G8" s="17" t="str">
        <f t="shared" si="4"/>
        <v/>
      </c>
      <c r="J8" s="17" t="str">
        <f>IFERROR(IF(I8="","",IF(COUNTBLANK(TABLAINV[Codigo])&gt;0,I8-M8-1,I8-M8)),0)</f>
        <v/>
      </c>
      <c r="K8" s="17">
        <f t="shared" si="0"/>
        <v>0</v>
      </c>
      <c r="L8" s="17">
        <f t="shared" si="1"/>
        <v>0</v>
      </c>
      <c r="M8" s="17">
        <f t="shared" si="6"/>
        <v>0</v>
      </c>
    </row>
    <row r="9" spans="1:13" x14ac:dyDescent="0.2">
      <c r="A9" s="19" t="str">
        <f t="shared" si="2"/>
        <v/>
      </c>
      <c r="E9" s="22"/>
      <c r="F9" s="17" t="str">
        <f t="shared" si="3"/>
        <v/>
      </c>
      <c r="G9" s="17" t="str">
        <f t="shared" si="4"/>
        <v/>
      </c>
      <c r="J9" s="17" t="str">
        <f>IFERROR(IF(I9="","",IF(COUNTBLANK(TABLAINV[Codigo])&gt;0,I9-M9-1,I9-M9)),0)</f>
        <v/>
      </c>
      <c r="K9" s="17">
        <f t="shared" si="0"/>
        <v>0</v>
      </c>
      <c r="L9" s="17">
        <f t="shared" si="1"/>
        <v>0</v>
      </c>
      <c r="M9" s="17">
        <f t="shared" si="6"/>
        <v>0</v>
      </c>
    </row>
    <row r="10" spans="1:13" x14ac:dyDescent="0.2">
      <c r="A10" s="19" t="str">
        <f t="shared" si="2"/>
        <v/>
      </c>
      <c r="E10" s="22"/>
      <c r="F10" s="17" t="str">
        <f t="shared" si="3"/>
        <v/>
      </c>
      <c r="G10" s="17" t="str">
        <f t="shared" si="4"/>
        <v/>
      </c>
      <c r="J10" s="17" t="str">
        <f>IFERROR(IF(I10="","",IF(COUNTBLANK(TABLAINV[Codigo])&gt;0,I10-M10-1,I10-M10)),0)</f>
        <v/>
      </c>
      <c r="K10" s="17">
        <f t="shared" si="0"/>
        <v>0</v>
      </c>
      <c r="L10" s="17">
        <f t="shared" si="1"/>
        <v>0</v>
      </c>
      <c r="M10" s="17">
        <f t="shared" si="6"/>
        <v>0</v>
      </c>
    </row>
    <row r="11" spans="1:13" x14ac:dyDescent="0.2">
      <c r="A11" s="19" t="str">
        <f t="shared" si="2"/>
        <v/>
      </c>
      <c r="E11" s="22"/>
      <c r="F11" s="17" t="str">
        <f t="shared" si="3"/>
        <v/>
      </c>
      <c r="G11" s="17" t="str">
        <f t="shared" si="4"/>
        <v/>
      </c>
      <c r="J11" s="17" t="str">
        <f>IFERROR(IF(I11="","",IF(COUNTBLANK(TABLAINV[Codigo])&gt;0,I11-M11-1,I11-M11)),0)</f>
        <v/>
      </c>
      <c r="K11" s="17">
        <f t="shared" si="0"/>
        <v>0</v>
      </c>
      <c r="L11" s="17">
        <f t="shared" si="1"/>
        <v>0</v>
      </c>
      <c r="M11" s="17">
        <f t="shared" si="6"/>
        <v>0</v>
      </c>
    </row>
    <row r="12" spans="1:13" x14ac:dyDescent="0.2">
      <c r="A12" s="19" t="str">
        <f t="shared" si="2"/>
        <v/>
      </c>
      <c r="E12" s="22"/>
      <c r="F12" s="17" t="str">
        <f t="shared" si="3"/>
        <v/>
      </c>
      <c r="G12" s="17" t="str">
        <f t="shared" si="4"/>
        <v/>
      </c>
      <c r="J12" s="17" t="str">
        <f>IFERROR(IF(I12="","",IF(COUNTBLANK(TABLAINV[Codigo])&gt;0,I12-M12-1,I12-M12)),0)</f>
        <v/>
      </c>
      <c r="K12" s="17">
        <f t="shared" si="0"/>
        <v>0</v>
      </c>
      <c r="L12" s="17">
        <f t="shared" si="1"/>
        <v>0</v>
      </c>
      <c r="M12" s="17">
        <f t="shared" si="6"/>
        <v>0</v>
      </c>
    </row>
    <row r="13" spans="1:13" x14ac:dyDescent="0.2">
      <c r="A13" s="19" t="str">
        <f t="shared" si="2"/>
        <v/>
      </c>
      <c r="E13" s="22"/>
      <c r="F13" s="17" t="str">
        <f t="shared" si="3"/>
        <v/>
      </c>
      <c r="G13" s="17" t="str">
        <f t="shared" si="4"/>
        <v/>
      </c>
      <c r="J13" s="17" t="str">
        <f>IFERROR(IF(I13="","",IF(COUNTBLANK(TABLAINV[Codigo])&gt;0,I13-M13-1,I13-M13)),0)</f>
        <v/>
      </c>
      <c r="K13" s="17">
        <f t="shared" si="0"/>
        <v>0</v>
      </c>
      <c r="L13" s="17">
        <f t="shared" si="1"/>
        <v>0</v>
      </c>
      <c r="M13" s="17">
        <f t="shared" si="6"/>
        <v>0</v>
      </c>
    </row>
    <row r="14" spans="1:13" x14ac:dyDescent="0.2">
      <c r="A14" s="19" t="str">
        <f t="shared" si="2"/>
        <v/>
      </c>
      <c r="E14" s="22"/>
      <c r="F14" s="17" t="str">
        <f t="shared" si="3"/>
        <v/>
      </c>
      <c r="G14" s="17" t="str">
        <f t="shared" si="4"/>
        <v/>
      </c>
      <c r="J14" s="17" t="str">
        <f>IFERROR(IF(I14="","",IF(COUNTBLANK(TABLAINV[Codigo])&gt;0,I14-M14-1,I14-M14)),0)</f>
        <v/>
      </c>
      <c r="K14" s="17">
        <f t="shared" si="0"/>
        <v>0</v>
      </c>
      <c r="L14" s="17">
        <f t="shared" si="1"/>
        <v>0</v>
      </c>
      <c r="M14" s="17">
        <f t="shared" si="6"/>
        <v>0</v>
      </c>
    </row>
    <row r="15" spans="1:13" x14ac:dyDescent="0.2">
      <c r="A15" s="19" t="str">
        <f t="shared" si="2"/>
        <v/>
      </c>
      <c r="E15" s="22"/>
      <c r="F15" s="17" t="str">
        <f t="shared" si="3"/>
        <v/>
      </c>
      <c r="G15" s="17" t="str">
        <f t="shared" si="4"/>
        <v/>
      </c>
      <c r="J15" s="17" t="str">
        <f>IFERROR(IF(I15="","",IF(COUNTBLANK(TABLAINV[Codigo])&gt;0,I15-M15-1,I15-M15)),0)</f>
        <v/>
      </c>
      <c r="K15" s="17">
        <f t="shared" si="0"/>
        <v>0</v>
      </c>
      <c r="L15" s="17">
        <f t="shared" si="1"/>
        <v>0</v>
      </c>
      <c r="M15" s="17">
        <f t="shared" si="6"/>
        <v>0</v>
      </c>
    </row>
    <row r="16" spans="1:13" x14ac:dyDescent="0.2">
      <c r="A16" s="19" t="str">
        <f t="shared" si="2"/>
        <v/>
      </c>
      <c r="E16" s="22"/>
      <c r="F16" s="17" t="str">
        <f t="shared" si="3"/>
        <v/>
      </c>
      <c r="G16" s="17" t="str">
        <f t="shared" si="4"/>
        <v/>
      </c>
      <c r="J16" s="17" t="str">
        <f>IFERROR(IF(I16="","",IF(COUNTBLANK(TABLAINV[Codigo])&gt;0,I16-M16-1,I16-M16)),0)</f>
        <v/>
      </c>
      <c r="K16" s="17">
        <f t="shared" si="0"/>
        <v>0</v>
      </c>
      <c r="L16" s="17">
        <f t="shared" si="1"/>
        <v>0</v>
      </c>
      <c r="M16" s="17">
        <f t="shared" si="6"/>
        <v>0</v>
      </c>
    </row>
    <row r="17" spans="1:13" x14ac:dyDescent="0.2">
      <c r="A17" s="19" t="str">
        <f t="shared" si="2"/>
        <v/>
      </c>
      <c r="E17" s="22"/>
      <c r="F17" s="17" t="str">
        <f t="shared" si="3"/>
        <v/>
      </c>
      <c r="G17" s="17" t="str">
        <f t="shared" si="4"/>
        <v/>
      </c>
      <c r="J17" s="17" t="str">
        <f>IFERROR(IF(I17="","",IF(COUNTBLANK(TABLAINV[Codigo])&gt;0,I17-M17-1,I17-M17)),0)</f>
        <v/>
      </c>
      <c r="K17" s="17">
        <f t="shared" si="0"/>
        <v>0</v>
      </c>
      <c r="L17" s="17">
        <f t="shared" si="1"/>
        <v>0</v>
      </c>
      <c r="M17" s="17">
        <f t="shared" si="6"/>
        <v>0</v>
      </c>
    </row>
    <row r="18" spans="1:13" x14ac:dyDescent="0.2">
      <c r="A18" s="19" t="str">
        <f t="shared" si="2"/>
        <v/>
      </c>
      <c r="E18" s="22"/>
      <c r="F18" s="17" t="str">
        <f t="shared" si="3"/>
        <v/>
      </c>
      <c r="G18" s="17" t="str">
        <f t="shared" si="4"/>
        <v/>
      </c>
      <c r="J18" s="17" t="str">
        <f>IFERROR(IF(I18="","",IF(COUNTBLANK(TABLAINV[Codigo])&gt;0,I18-M18-1,I18-M18)),0)</f>
        <v/>
      </c>
      <c r="K18" s="17">
        <f t="shared" si="0"/>
        <v>0</v>
      </c>
      <c r="L18" s="17">
        <f t="shared" si="1"/>
        <v>0</v>
      </c>
      <c r="M18" s="17">
        <f t="shared" si="6"/>
        <v>0</v>
      </c>
    </row>
    <row r="19" spans="1:13" x14ac:dyDescent="0.2">
      <c r="A19" s="19" t="str">
        <f t="shared" si="2"/>
        <v/>
      </c>
      <c r="E19" s="22"/>
      <c r="F19" s="17" t="str">
        <f t="shared" si="3"/>
        <v/>
      </c>
      <c r="G19" s="17" t="str">
        <f t="shared" si="4"/>
        <v/>
      </c>
      <c r="J19" s="17" t="str">
        <f>IFERROR(IF(I19="","",IF(COUNTBLANK(TABLAINV[Codigo])&gt;0,I19-M19-1,I19-M19)),0)</f>
        <v/>
      </c>
      <c r="K19" s="17">
        <f t="shared" si="0"/>
        <v>0</v>
      </c>
      <c r="L19" s="17">
        <f t="shared" si="1"/>
        <v>0</v>
      </c>
      <c r="M19" s="17">
        <f t="shared" ref="M19:M38" si="7">SUM(K19:L19)</f>
        <v>0</v>
      </c>
    </row>
    <row r="20" spans="1:13" x14ac:dyDescent="0.2">
      <c r="A20" s="19" t="str">
        <f t="shared" si="2"/>
        <v/>
      </c>
      <c r="E20" s="22"/>
      <c r="F20" s="17" t="str">
        <f t="shared" si="3"/>
        <v/>
      </c>
      <c r="G20" s="17" t="str">
        <f t="shared" si="4"/>
        <v/>
      </c>
      <c r="J20" s="17" t="str">
        <f>IFERROR(IF(I20="","",IF(COUNTBLANK(TABLAINV[Codigo])&gt;0,I20-M20-1,I20-M20)),0)</f>
        <v/>
      </c>
      <c r="K20" s="17">
        <f t="shared" si="0"/>
        <v>0</v>
      </c>
      <c r="L20" s="17">
        <f t="shared" si="1"/>
        <v>0</v>
      </c>
      <c r="M20" s="17">
        <f t="shared" si="7"/>
        <v>0</v>
      </c>
    </row>
    <row r="21" spans="1:13" x14ac:dyDescent="0.2">
      <c r="A21" s="19" t="str">
        <f t="shared" si="2"/>
        <v/>
      </c>
      <c r="E21" s="22"/>
      <c r="F21" s="17" t="str">
        <f t="shared" si="3"/>
        <v/>
      </c>
      <c r="G21" s="17" t="str">
        <f t="shared" si="4"/>
        <v/>
      </c>
      <c r="J21" s="17" t="str">
        <f>IFERROR(IF(I21="","",IF(COUNTBLANK(TABLAINV[Codigo])&gt;0,I21-M21-1,I21-M21)),0)</f>
        <v/>
      </c>
      <c r="K21" s="17">
        <f t="shared" si="0"/>
        <v>0</v>
      </c>
      <c r="L21" s="17">
        <f t="shared" si="1"/>
        <v>0</v>
      </c>
      <c r="M21" s="17">
        <f t="shared" si="7"/>
        <v>0</v>
      </c>
    </row>
    <row r="22" spans="1:13" x14ac:dyDescent="0.2">
      <c r="A22" s="19" t="str">
        <f t="shared" si="2"/>
        <v/>
      </c>
      <c r="E22" s="22"/>
      <c r="F22" s="17" t="str">
        <f t="shared" si="3"/>
        <v/>
      </c>
      <c r="G22" s="17" t="str">
        <f t="shared" si="4"/>
        <v/>
      </c>
      <c r="J22" s="17" t="str">
        <f>IFERROR(IF(I22="","",IF(COUNTBLANK(TABLAINV[Codigo])&gt;0,I22-M22-1,I22-M22)),0)</f>
        <v/>
      </c>
      <c r="K22" s="17">
        <f t="shared" si="0"/>
        <v>0</v>
      </c>
      <c r="L22" s="17">
        <f t="shared" si="1"/>
        <v>0</v>
      </c>
      <c r="M22" s="17">
        <f t="shared" si="7"/>
        <v>0</v>
      </c>
    </row>
    <row r="23" spans="1:13" x14ac:dyDescent="0.2">
      <c r="A23" s="19" t="str">
        <f t="shared" si="2"/>
        <v/>
      </c>
      <c r="E23" s="22"/>
      <c r="F23" s="17" t="str">
        <f t="shared" si="3"/>
        <v/>
      </c>
      <c r="G23" s="17" t="str">
        <f t="shared" si="4"/>
        <v/>
      </c>
      <c r="J23" s="17" t="str">
        <f>IFERROR(IF(I23="","",IF(COUNTBLANK(TABLAINV[Codigo])&gt;0,I23-M23-1,I23-M23)),0)</f>
        <v/>
      </c>
      <c r="K23" s="17">
        <f t="shared" si="0"/>
        <v>0</v>
      </c>
      <c r="L23" s="17">
        <f t="shared" si="1"/>
        <v>0</v>
      </c>
      <c r="M23" s="17">
        <f t="shared" si="7"/>
        <v>0</v>
      </c>
    </row>
    <row r="24" spans="1:13" x14ac:dyDescent="0.2">
      <c r="A24" s="19" t="str">
        <f t="shared" si="2"/>
        <v/>
      </c>
      <c r="E24" s="22"/>
      <c r="F24" s="17" t="str">
        <f t="shared" si="3"/>
        <v/>
      </c>
      <c r="G24" s="17" t="str">
        <f t="shared" si="4"/>
        <v/>
      </c>
      <c r="J24" s="17" t="str">
        <f>IFERROR(IF(I24="","",IF(COUNTBLANK(TABLAINV[Codigo])&gt;0,I24-M24-1,I24-M24)),0)</f>
        <v/>
      </c>
      <c r="K24" s="17">
        <f t="shared" si="0"/>
        <v>0</v>
      </c>
      <c r="L24" s="17">
        <f t="shared" si="1"/>
        <v>0</v>
      </c>
      <c r="M24" s="17">
        <f t="shared" si="7"/>
        <v>0</v>
      </c>
    </row>
    <row r="25" spans="1:13" x14ac:dyDescent="0.2">
      <c r="A25" s="19" t="str">
        <f t="shared" si="2"/>
        <v/>
      </c>
      <c r="E25" s="22"/>
      <c r="F25" s="17" t="str">
        <f t="shared" si="3"/>
        <v/>
      </c>
      <c r="G25" s="17" t="str">
        <f t="shared" si="4"/>
        <v/>
      </c>
      <c r="J25" s="17" t="str">
        <f>IFERROR(IF(I25="","",IF(COUNTBLANK(TABLAINV[Codigo])&gt;0,I25-M25-1,I25-M25)),0)</f>
        <v/>
      </c>
      <c r="K25" s="17">
        <f t="shared" si="0"/>
        <v>0</v>
      </c>
      <c r="L25" s="17">
        <f t="shared" si="1"/>
        <v>0</v>
      </c>
      <c r="M25" s="17">
        <f t="shared" si="7"/>
        <v>0</v>
      </c>
    </row>
    <row r="26" spans="1:13" x14ac:dyDescent="0.2">
      <c r="A26" s="19" t="str">
        <f t="shared" si="2"/>
        <v/>
      </c>
      <c r="E26" s="22"/>
      <c r="F26" s="17" t="str">
        <f t="shared" si="3"/>
        <v/>
      </c>
      <c r="G26" s="17" t="str">
        <f t="shared" si="4"/>
        <v/>
      </c>
      <c r="J26" s="17" t="str">
        <f>IFERROR(IF(I26="","",IF(COUNTBLANK(TABLAINV[Codigo])&gt;0,I26-M26-1,I26-M26)),0)</f>
        <v/>
      </c>
      <c r="K26" s="17">
        <f t="shared" si="0"/>
        <v>0</v>
      </c>
      <c r="L26" s="17">
        <f t="shared" si="1"/>
        <v>0</v>
      </c>
      <c r="M26" s="17">
        <f t="shared" si="7"/>
        <v>0</v>
      </c>
    </row>
    <row r="27" spans="1:13" x14ac:dyDescent="0.2">
      <c r="A27" s="19" t="str">
        <f t="shared" si="2"/>
        <v/>
      </c>
      <c r="E27" s="22"/>
      <c r="F27" s="17" t="str">
        <f t="shared" si="3"/>
        <v/>
      </c>
      <c r="G27" s="17" t="str">
        <f t="shared" si="4"/>
        <v/>
      </c>
      <c r="J27" s="17" t="str">
        <f>IFERROR(IF(I27="","",IF(COUNTBLANK(TABLAINV[Codigo])&gt;0,I27-M27-1,I27-M27)),0)</f>
        <v/>
      </c>
      <c r="K27" s="17">
        <f t="shared" si="0"/>
        <v>0</v>
      </c>
      <c r="L27" s="17">
        <f t="shared" si="1"/>
        <v>0</v>
      </c>
      <c r="M27" s="17">
        <f t="shared" si="7"/>
        <v>0</v>
      </c>
    </row>
    <row r="28" spans="1:13" x14ac:dyDescent="0.2">
      <c r="A28" s="19" t="str">
        <f t="shared" si="2"/>
        <v/>
      </c>
      <c r="E28" s="22"/>
      <c r="F28" s="17" t="str">
        <f t="shared" si="3"/>
        <v/>
      </c>
      <c r="G28" s="17" t="str">
        <f t="shared" si="4"/>
        <v/>
      </c>
      <c r="J28" s="17" t="str">
        <f>IFERROR(IF(I28="","",IF(COUNTBLANK(TABLAINV[Codigo])&gt;0,I28-M28-1,I28-M28)),0)</f>
        <v/>
      </c>
      <c r="K28" s="17">
        <f t="shared" si="0"/>
        <v>0</v>
      </c>
      <c r="L28" s="17">
        <f t="shared" si="1"/>
        <v>0</v>
      </c>
      <c r="M28" s="17">
        <f t="shared" si="7"/>
        <v>0</v>
      </c>
    </row>
    <row r="29" spans="1:13" x14ac:dyDescent="0.2">
      <c r="A29" s="19" t="str">
        <f t="shared" si="2"/>
        <v/>
      </c>
      <c r="E29" s="22"/>
      <c r="F29" s="17" t="str">
        <f t="shared" si="3"/>
        <v/>
      </c>
      <c r="G29" s="17" t="str">
        <f t="shared" si="4"/>
        <v/>
      </c>
      <c r="J29" s="17" t="str">
        <f>IFERROR(IF(I29="","",IF(COUNTBLANK(TABLAINV[Codigo])&gt;0,I29-M29-1,I29-M29)),0)</f>
        <v/>
      </c>
      <c r="K29" s="17">
        <f t="shared" si="0"/>
        <v>0</v>
      </c>
      <c r="L29" s="17">
        <f t="shared" si="1"/>
        <v>0</v>
      </c>
      <c r="M29" s="17">
        <f t="shared" si="7"/>
        <v>0</v>
      </c>
    </row>
    <row r="30" spans="1:13" x14ac:dyDescent="0.2">
      <c r="A30" s="19" t="str">
        <f t="shared" si="2"/>
        <v/>
      </c>
      <c r="E30" s="22"/>
      <c r="F30" s="17" t="str">
        <f t="shared" si="3"/>
        <v/>
      </c>
      <c r="G30" s="17" t="str">
        <f t="shared" si="4"/>
        <v/>
      </c>
      <c r="J30" s="17" t="str">
        <f>IFERROR(IF(I30="","",IF(COUNTBLANK(TABLAINV[Codigo])&gt;0,I30-M30-1,I30-M30)),0)</f>
        <v/>
      </c>
      <c r="K30" s="17">
        <f t="shared" si="0"/>
        <v>0</v>
      </c>
      <c r="L30" s="17">
        <f t="shared" si="1"/>
        <v>0</v>
      </c>
      <c r="M30" s="17">
        <f t="shared" si="7"/>
        <v>0</v>
      </c>
    </row>
    <row r="31" spans="1:13" x14ac:dyDescent="0.2">
      <c r="A31" s="19" t="str">
        <f t="shared" si="2"/>
        <v/>
      </c>
      <c r="E31" s="22"/>
      <c r="F31" s="17" t="str">
        <f t="shared" si="3"/>
        <v/>
      </c>
      <c r="G31" s="17" t="str">
        <f t="shared" si="4"/>
        <v/>
      </c>
      <c r="J31" s="17" t="str">
        <f>IFERROR(IF(I31="","",IF(COUNTBLANK(TABLAINV[Codigo])&gt;0,I31-M31-1,I31-M31)),0)</f>
        <v/>
      </c>
      <c r="K31" s="17">
        <f t="shared" si="0"/>
        <v>0</v>
      </c>
      <c r="L31" s="17">
        <f t="shared" si="1"/>
        <v>0</v>
      </c>
      <c r="M31" s="17">
        <f t="shared" si="7"/>
        <v>0</v>
      </c>
    </row>
    <row r="32" spans="1:13" x14ac:dyDescent="0.2">
      <c r="A32" s="19" t="str">
        <f t="shared" si="2"/>
        <v/>
      </c>
      <c r="E32" s="22"/>
      <c r="F32" s="17" t="str">
        <f t="shared" si="3"/>
        <v/>
      </c>
      <c r="G32" s="17" t="str">
        <f t="shared" si="4"/>
        <v/>
      </c>
      <c r="J32" s="17" t="str">
        <f>IFERROR(IF(I32="","",IF(COUNTBLANK(TABLAINV[Codigo])&gt;0,I32-M32-1,I32-M32)),0)</f>
        <v/>
      </c>
      <c r="K32" s="17">
        <f t="shared" si="0"/>
        <v>0</v>
      </c>
      <c r="L32" s="17">
        <f t="shared" si="1"/>
        <v>0</v>
      </c>
      <c r="M32" s="17">
        <f t="shared" si="7"/>
        <v>0</v>
      </c>
    </row>
    <row r="33" spans="1:13" x14ac:dyDescent="0.2">
      <c r="A33" s="19" t="str">
        <f t="shared" si="2"/>
        <v/>
      </c>
      <c r="E33" s="22"/>
      <c r="F33" s="17" t="str">
        <f t="shared" si="3"/>
        <v/>
      </c>
      <c r="G33" s="17" t="str">
        <f t="shared" si="4"/>
        <v/>
      </c>
      <c r="J33" s="17" t="str">
        <f>IFERROR(IF(I33="","",IF(COUNTBLANK(TABLAINV[Codigo])&gt;0,I33-M33-1,I33-M33)),0)</f>
        <v/>
      </c>
      <c r="K33" s="17">
        <f t="shared" si="0"/>
        <v>0</v>
      </c>
      <c r="L33" s="17">
        <f t="shared" si="1"/>
        <v>0</v>
      </c>
      <c r="M33" s="17">
        <f t="shared" si="7"/>
        <v>0</v>
      </c>
    </row>
    <row r="34" spans="1:13" x14ac:dyDescent="0.2">
      <c r="A34" s="19" t="str">
        <f t="shared" si="2"/>
        <v/>
      </c>
      <c r="E34" s="22"/>
      <c r="F34" s="17" t="str">
        <f t="shared" si="3"/>
        <v/>
      </c>
      <c r="G34" s="17" t="str">
        <f t="shared" si="4"/>
        <v/>
      </c>
      <c r="J34" s="17" t="str">
        <f>IFERROR(IF(I34="","",IF(COUNTBLANK(TABLAINV[Codigo])&gt;0,I34-M34-1,I34-M34)),0)</f>
        <v/>
      </c>
      <c r="K34" s="17">
        <f t="shared" ref="K34:K61" si="8">IFERROR(VLOOKUP(G34,A:D,4,0),0)</f>
        <v>0</v>
      </c>
      <c r="L34" s="17">
        <f t="shared" ref="L34:L61" si="9">IFERROR(VLOOKUP(F34,A:D,4,0),0)</f>
        <v>0</v>
      </c>
      <c r="M34" s="17">
        <f t="shared" si="7"/>
        <v>0</v>
      </c>
    </row>
    <row r="35" spans="1:13" x14ac:dyDescent="0.2">
      <c r="A35" s="19" t="str">
        <f t="shared" si="2"/>
        <v/>
      </c>
      <c r="E35" s="22"/>
      <c r="F35" s="17" t="str">
        <f t="shared" si="3"/>
        <v/>
      </c>
      <c r="G35" s="17" t="str">
        <f t="shared" si="4"/>
        <v/>
      </c>
      <c r="J35" s="17" t="str">
        <f>IFERROR(IF(I35="","",IF(COUNTBLANK(TABLAINV[Codigo])&gt;0,I35-M35-1,I35-M35)),0)</f>
        <v/>
      </c>
      <c r="K35" s="17">
        <f t="shared" si="8"/>
        <v>0</v>
      </c>
      <c r="L35" s="17">
        <f t="shared" si="9"/>
        <v>0</v>
      </c>
      <c r="M35" s="17">
        <f t="shared" si="7"/>
        <v>0</v>
      </c>
    </row>
    <row r="36" spans="1:13" x14ac:dyDescent="0.2">
      <c r="A36" s="19" t="str">
        <f t="shared" si="2"/>
        <v/>
      </c>
      <c r="E36" s="22"/>
      <c r="F36" s="17" t="str">
        <f t="shared" si="3"/>
        <v/>
      </c>
      <c r="G36" s="17" t="str">
        <f t="shared" si="4"/>
        <v/>
      </c>
      <c r="J36" s="17" t="str">
        <f>IFERROR(IF(I36="","",IF(COUNTBLANK(TABLAINV[Codigo])&gt;0,I36-M36-1,I36-M36)),0)</f>
        <v/>
      </c>
      <c r="K36" s="17">
        <f t="shared" si="8"/>
        <v>0</v>
      </c>
      <c r="L36" s="17">
        <f t="shared" si="9"/>
        <v>0</v>
      </c>
      <c r="M36" s="17">
        <f t="shared" si="7"/>
        <v>0</v>
      </c>
    </row>
    <row r="37" spans="1:13" x14ac:dyDescent="0.2">
      <c r="A37" s="19" t="str">
        <f t="shared" si="2"/>
        <v/>
      </c>
      <c r="E37" s="22"/>
      <c r="F37" s="17" t="str">
        <f t="shared" si="3"/>
        <v/>
      </c>
      <c r="G37" s="17" t="str">
        <f t="shared" si="4"/>
        <v/>
      </c>
      <c r="J37" s="17" t="str">
        <f>IFERROR(IF(I37="","",IF(COUNTBLANK(TABLAINV[Codigo])&gt;0,I37-M37-1,I37-M37)),0)</f>
        <v/>
      </c>
      <c r="K37" s="17">
        <f t="shared" si="8"/>
        <v>0</v>
      </c>
      <c r="L37" s="17">
        <f t="shared" si="9"/>
        <v>0</v>
      </c>
      <c r="M37" s="17">
        <f t="shared" si="7"/>
        <v>0</v>
      </c>
    </row>
    <row r="38" spans="1:13" x14ac:dyDescent="0.2">
      <c r="A38" s="19" t="str">
        <f t="shared" si="2"/>
        <v/>
      </c>
      <c r="E38" s="22"/>
      <c r="F38" s="17" t="str">
        <f t="shared" si="3"/>
        <v/>
      </c>
      <c r="G38" s="17" t="str">
        <f t="shared" si="4"/>
        <v/>
      </c>
      <c r="J38" s="17" t="str">
        <f>IFERROR(IF(I38="","",IF(COUNTBLANK(TABLAINV[Codigo])&gt;0,I38-M38-1,I38-M38)),0)</f>
        <v/>
      </c>
      <c r="K38" s="17">
        <f t="shared" si="8"/>
        <v>0</v>
      </c>
      <c r="L38" s="17">
        <f t="shared" si="9"/>
        <v>0</v>
      </c>
      <c r="M38" s="17">
        <f t="shared" si="7"/>
        <v>0</v>
      </c>
    </row>
    <row r="39" spans="1:13" x14ac:dyDescent="0.2">
      <c r="A39" s="19" t="str">
        <f t="shared" si="2"/>
        <v/>
      </c>
      <c r="E39" s="22"/>
      <c r="F39" s="17" t="str">
        <f t="shared" si="3"/>
        <v/>
      </c>
      <c r="G39" s="17" t="str">
        <f t="shared" si="4"/>
        <v/>
      </c>
      <c r="J39" s="17" t="str">
        <f>IFERROR(IF(I39="","",IF(COUNTBLANK(TABLAINV[Codigo])&gt;0,I39-M39-1,I39-M39)),0)</f>
        <v/>
      </c>
      <c r="K39" s="17">
        <f t="shared" si="8"/>
        <v>0</v>
      </c>
      <c r="L39" s="17">
        <f t="shared" si="9"/>
        <v>0</v>
      </c>
      <c r="M39" s="17">
        <f t="shared" ref="M39:M61" si="10">SUM(K39:L39)</f>
        <v>0</v>
      </c>
    </row>
    <row r="40" spans="1:13" x14ac:dyDescent="0.2">
      <c r="A40" s="19" t="str">
        <f t="shared" si="2"/>
        <v/>
      </c>
      <c r="E40" s="22"/>
      <c r="F40" s="17" t="str">
        <f t="shared" si="3"/>
        <v/>
      </c>
      <c r="G40" s="17" t="str">
        <f t="shared" si="4"/>
        <v/>
      </c>
      <c r="J40" s="17" t="str">
        <f>IFERROR(IF(I40="","",IF(COUNTBLANK(TABLAINV[Codigo])&gt;0,I40-M40-1,I40-M40)),0)</f>
        <v/>
      </c>
      <c r="K40" s="17">
        <f t="shared" si="8"/>
        <v>0</v>
      </c>
      <c r="L40" s="17">
        <f t="shared" si="9"/>
        <v>0</v>
      </c>
      <c r="M40" s="17">
        <f t="shared" si="10"/>
        <v>0</v>
      </c>
    </row>
    <row r="41" spans="1:13" x14ac:dyDescent="0.2">
      <c r="A41" s="19" t="str">
        <f t="shared" si="2"/>
        <v/>
      </c>
      <c r="E41" s="22"/>
      <c r="F41" s="17" t="str">
        <f t="shared" si="3"/>
        <v/>
      </c>
      <c r="G41" s="17" t="str">
        <f t="shared" si="4"/>
        <v/>
      </c>
      <c r="J41" s="17" t="str">
        <f>IFERROR(IF(I41="","",IF(COUNTBLANK(TABLAINV[Codigo])&gt;0,I41-M41-1,I41-M41)),0)</f>
        <v/>
      </c>
      <c r="K41" s="17">
        <f t="shared" si="8"/>
        <v>0</v>
      </c>
      <c r="L41" s="17">
        <f t="shared" si="9"/>
        <v>0</v>
      </c>
      <c r="M41" s="17">
        <f t="shared" si="10"/>
        <v>0</v>
      </c>
    </row>
    <row r="42" spans="1:13" x14ac:dyDescent="0.2">
      <c r="A42" s="19" t="str">
        <f t="shared" si="2"/>
        <v/>
      </c>
      <c r="E42" s="22"/>
      <c r="F42" s="17" t="str">
        <f t="shared" si="3"/>
        <v/>
      </c>
      <c r="G42" s="17" t="str">
        <f t="shared" si="4"/>
        <v/>
      </c>
      <c r="J42" s="17" t="str">
        <f>IFERROR(IF(I42="","",IF(COUNTBLANK(TABLAINV[Codigo])&gt;0,I42-M42-1,I42-M42)),0)</f>
        <v/>
      </c>
      <c r="K42" s="17">
        <f t="shared" si="8"/>
        <v>0</v>
      </c>
      <c r="L42" s="17">
        <f t="shared" si="9"/>
        <v>0</v>
      </c>
      <c r="M42" s="17">
        <f t="shared" si="10"/>
        <v>0</v>
      </c>
    </row>
    <row r="43" spans="1:13" x14ac:dyDescent="0.2">
      <c r="A43" s="19" t="str">
        <f t="shared" si="2"/>
        <v/>
      </c>
      <c r="E43" s="22"/>
      <c r="F43" s="17" t="str">
        <f t="shared" si="3"/>
        <v/>
      </c>
      <c r="G43" s="17" t="str">
        <f t="shared" si="4"/>
        <v/>
      </c>
      <c r="J43" s="17" t="str">
        <f>IFERROR(IF(I43="","",IF(COUNTBLANK(TABLAINV[Codigo])&gt;0,I43-M43-1,I43-M43)),0)</f>
        <v/>
      </c>
      <c r="K43" s="17">
        <f t="shared" si="8"/>
        <v>0</v>
      </c>
      <c r="L43" s="17">
        <f t="shared" si="9"/>
        <v>0</v>
      </c>
      <c r="M43" s="17">
        <f t="shared" si="10"/>
        <v>0</v>
      </c>
    </row>
    <row r="44" spans="1:13" x14ac:dyDescent="0.2">
      <c r="A44" s="19" t="str">
        <f t="shared" si="2"/>
        <v/>
      </c>
      <c r="E44" s="22"/>
      <c r="F44" s="17" t="str">
        <f t="shared" si="3"/>
        <v/>
      </c>
      <c r="G44" s="17" t="str">
        <f t="shared" si="4"/>
        <v/>
      </c>
      <c r="J44" s="17" t="str">
        <f>IFERROR(IF(I44="","",IF(COUNTBLANK(TABLAINV[Codigo])&gt;0,I44-M44-1,I44-M44)),0)</f>
        <v/>
      </c>
      <c r="K44" s="17">
        <f t="shared" si="8"/>
        <v>0</v>
      </c>
      <c r="L44" s="17">
        <f t="shared" si="9"/>
        <v>0</v>
      </c>
      <c r="M44" s="17">
        <f t="shared" si="10"/>
        <v>0</v>
      </c>
    </row>
    <row r="45" spans="1:13" x14ac:dyDescent="0.2">
      <c r="A45" s="19" t="str">
        <f t="shared" si="2"/>
        <v/>
      </c>
      <c r="E45" s="22"/>
      <c r="F45" s="17" t="str">
        <f t="shared" si="3"/>
        <v/>
      </c>
      <c r="G45" s="17" t="str">
        <f t="shared" si="4"/>
        <v/>
      </c>
      <c r="J45" s="17" t="str">
        <f>IFERROR(IF(I45="","",IF(COUNTBLANK(TABLAINV[Codigo])&gt;0,I45-M45-1,I45-M45)),0)</f>
        <v/>
      </c>
      <c r="K45" s="17">
        <f t="shared" si="8"/>
        <v>0</v>
      </c>
      <c r="L45" s="17">
        <f t="shared" si="9"/>
        <v>0</v>
      </c>
      <c r="M45" s="17">
        <f t="shared" si="10"/>
        <v>0</v>
      </c>
    </row>
    <row r="46" spans="1:13" x14ac:dyDescent="0.2">
      <c r="A46" s="19" t="str">
        <f t="shared" si="2"/>
        <v/>
      </c>
      <c r="E46" s="22"/>
      <c r="F46" s="17" t="str">
        <f t="shared" si="3"/>
        <v/>
      </c>
      <c r="G46" s="17" t="str">
        <f t="shared" si="4"/>
        <v/>
      </c>
      <c r="J46" s="17" t="str">
        <f>IFERROR(IF(I46="","",IF(COUNTBLANK(TABLAINV[Codigo])&gt;0,I46-M46-1,I46-M46)),0)</f>
        <v/>
      </c>
      <c r="K46" s="17">
        <f t="shared" si="8"/>
        <v>0</v>
      </c>
      <c r="L46" s="17">
        <f t="shared" si="9"/>
        <v>0</v>
      </c>
      <c r="M46" s="17">
        <f t="shared" si="10"/>
        <v>0</v>
      </c>
    </row>
    <row r="47" spans="1:13" x14ac:dyDescent="0.2">
      <c r="A47" s="19" t="str">
        <f t="shared" si="2"/>
        <v/>
      </c>
      <c r="E47" s="22"/>
      <c r="F47" s="17" t="str">
        <f t="shared" si="3"/>
        <v/>
      </c>
      <c r="G47" s="17" t="str">
        <f t="shared" si="4"/>
        <v/>
      </c>
      <c r="H47" s="18"/>
      <c r="I47" s="17"/>
      <c r="J47" s="17" t="str">
        <f>IFERROR(IF(I47="","",IF(COUNTBLANK(TABLAINV[Codigo])&gt;0,I47-M47-1,I47-M47)),0)</f>
        <v/>
      </c>
      <c r="K47" s="17">
        <f t="shared" si="8"/>
        <v>0</v>
      </c>
      <c r="L47" s="17">
        <f t="shared" si="9"/>
        <v>0</v>
      </c>
      <c r="M47" s="17">
        <f t="shared" si="10"/>
        <v>0</v>
      </c>
    </row>
    <row r="48" spans="1:13" x14ac:dyDescent="0.2">
      <c r="A48" s="19" t="str">
        <f t="shared" si="2"/>
        <v/>
      </c>
      <c r="E48" s="22"/>
      <c r="F48" s="17" t="str">
        <f t="shared" si="3"/>
        <v/>
      </c>
      <c r="G48" s="17" t="str">
        <f t="shared" si="4"/>
        <v/>
      </c>
      <c r="H48" s="18"/>
      <c r="I48" s="17"/>
      <c r="J48" s="17" t="str">
        <f>IFERROR(IF(I48="","",IF(COUNTBLANK(TABLAINV[Codigo])&gt;0,I48-M48-1,I48-M48)),0)</f>
        <v/>
      </c>
      <c r="K48" s="17">
        <f t="shared" si="8"/>
        <v>0</v>
      </c>
      <c r="L48" s="17">
        <f t="shared" si="9"/>
        <v>0</v>
      </c>
      <c r="M48" s="17">
        <f t="shared" si="10"/>
        <v>0</v>
      </c>
    </row>
    <row r="49" spans="1:13" x14ac:dyDescent="0.2">
      <c r="A49" s="19" t="str">
        <f t="shared" si="2"/>
        <v/>
      </c>
      <c r="E49" s="22"/>
      <c r="F49" s="17" t="str">
        <f t="shared" si="3"/>
        <v/>
      </c>
      <c r="G49" s="17" t="str">
        <f t="shared" si="4"/>
        <v/>
      </c>
      <c r="H49" s="18"/>
      <c r="I49" s="17"/>
      <c r="J49" s="17" t="str">
        <f>IFERROR(IF(I49="","",IF(COUNTBLANK(TABLAINV[Codigo])&gt;0,I49-M49-1,I49-M49)),0)</f>
        <v/>
      </c>
      <c r="K49" s="17">
        <f t="shared" si="8"/>
        <v>0</v>
      </c>
      <c r="L49" s="17">
        <f t="shared" si="9"/>
        <v>0</v>
      </c>
      <c r="M49" s="17">
        <f t="shared" si="10"/>
        <v>0</v>
      </c>
    </row>
    <row r="50" spans="1:13" x14ac:dyDescent="0.2">
      <c r="A50" s="19" t="str">
        <f t="shared" si="2"/>
        <v/>
      </c>
      <c r="E50" s="22"/>
      <c r="F50" s="17" t="str">
        <f t="shared" si="3"/>
        <v/>
      </c>
      <c r="G50" s="17" t="str">
        <f t="shared" si="4"/>
        <v/>
      </c>
      <c r="H50" s="18"/>
      <c r="I50" s="17"/>
      <c r="J50" s="17" t="str">
        <f>IFERROR(IF(I50="","",IF(COUNTBLANK(TABLAINV[Codigo])&gt;0,I50-M50-1,I50-M50)),0)</f>
        <v/>
      </c>
      <c r="K50" s="17">
        <f t="shared" si="8"/>
        <v>0</v>
      </c>
      <c r="L50" s="17">
        <f t="shared" si="9"/>
        <v>0</v>
      </c>
      <c r="M50" s="17">
        <f t="shared" si="10"/>
        <v>0</v>
      </c>
    </row>
    <row r="51" spans="1:13" x14ac:dyDescent="0.2">
      <c r="A51" s="19" t="str">
        <f t="shared" si="2"/>
        <v/>
      </c>
      <c r="E51" s="22"/>
      <c r="F51" s="17" t="str">
        <f t="shared" si="3"/>
        <v/>
      </c>
      <c r="G51" s="17" t="str">
        <f t="shared" si="4"/>
        <v/>
      </c>
      <c r="H51" s="18"/>
      <c r="I51" s="17"/>
      <c r="J51" s="17" t="str">
        <f>IFERROR(IF(I51="","",IF(COUNTBLANK(TABLAINV[Codigo])&gt;0,I51-M51-1,I51-M51)),0)</f>
        <v/>
      </c>
      <c r="K51" s="17">
        <f t="shared" si="8"/>
        <v>0</v>
      </c>
      <c r="L51" s="17">
        <f t="shared" si="9"/>
        <v>0</v>
      </c>
      <c r="M51" s="17">
        <f t="shared" si="10"/>
        <v>0</v>
      </c>
    </row>
    <row r="52" spans="1:13" x14ac:dyDescent="0.2">
      <c r="A52" s="19" t="str">
        <f t="shared" si="2"/>
        <v/>
      </c>
      <c r="E52" s="22"/>
      <c r="F52" s="17" t="str">
        <f t="shared" si="3"/>
        <v/>
      </c>
      <c r="G52" s="17" t="str">
        <f t="shared" si="4"/>
        <v/>
      </c>
      <c r="H52" s="18"/>
      <c r="I52" s="17"/>
      <c r="J52" s="17" t="str">
        <f>IFERROR(IF(I52="","",IF(COUNTBLANK(TABLAINV[Codigo])&gt;0,I52-M52-1,I52-M52)),0)</f>
        <v/>
      </c>
      <c r="K52" s="17">
        <f t="shared" si="8"/>
        <v>0</v>
      </c>
      <c r="L52" s="17">
        <f t="shared" si="9"/>
        <v>0</v>
      </c>
      <c r="M52" s="17">
        <f t="shared" si="10"/>
        <v>0</v>
      </c>
    </row>
    <row r="53" spans="1:13" x14ac:dyDescent="0.2">
      <c r="A53" s="19" t="str">
        <f t="shared" si="2"/>
        <v/>
      </c>
      <c r="E53" s="22"/>
      <c r="F53" s="17" t="str">
        <f t="shared" si="3"/>
        <v/>
      </c>
      <c r="G53" s="17" t="str">
        <f t="shared" si="4"/>
        <v/>
      </c>
      <c r="H53" s="18"/>
      <c r="I53" s="17"/>
      <c r="J53" s="17" t="str">
        <f>IFERROR(IF(I53="","",IF(COUNTBLANK(TABLAINV[Codigo])&gt;0,I53-M53-1,I53-M53)),0)</f>
        <v/>
      </c>
      <c r="K53" s="17">
        <f t="shared" si="8"/>
        <v>0</v>
      </c>
      <c r="L53" s="17">
        <f t="shared" si="9"/>
        <v>0</v>
      </c>
      <c r="M53" s="17">
        <f t="shared" si="10"/>
        <v>0</v>
      </c>
    </row>
    <row r="54" spans="1:13" x14ac:dyDescent="0.2">
      <c r="A54" s="19" t="str">
        <f t="shared" si="2"/>
        <v/>
      </c>
      <c r="E54" s="22"/>
      <c r="F54" s="17" t="str">
        <f t="shared" si="3"/>
        <v/>
      </c>
      <c r="G54" s="17" t="str">
        <f t="shared" si="4"/>
        <v/>
      </c>
      <c r="H54" s="18"/>
      <c r="I54" s="17"/>
      <c r="J54" s="17" t="str">
        <f>IFERROR(IF(I54="","",IF(COUNTBLANK(TABLAINV[Codigo])&gt;0,I54-M54-1,I54-M54)),0)</f>
        <v/>
      </c>
      <c r="K54" s="17">
        <f t="shared" si="8"/>
        <v>0</v>
      </c>
      <c r="L54" s="17">
        <f t="shared" si="9"/>
        <v>0</v>
      </c>
      <c r="M54" s="17">
        <f t="shared" si="10"/>
        <v>0</v>
      </c>
    </row>
    <row r="55" spans="1:13" x14ac:dyDescent="0.2">
      <c r="A55" s="19" t="str">
        <f t="shared" si="2"/>
        <v/>
      </c>
      <c r="E55" s="22"/>
      <c r="F55" s="17" t="str">
        <f t="shared" si="3"/>
        <v/>
      </c>
      <c r="G55" s="17" t="str">
        <f t="shared" si="4"/>
        <v/>
      </c>
      <c r="H55" s="18"/>
      <c r="I55" s="17"/>
      <c r="J55" s="17" t="str">
        <f>IFERROR(IF(I55="","",IF(COUNTBLANK(TABLAINV[Codigo])&gt;0,I55-M55-1,I55-M55)),0)</f>
        <v/>
      </c>
      <c r="K55" s="17">
        <f t="shared" si="8"/>
        <v>0</v>
      </c>
      <c r="L55" s="17">
        <f t="shared" si="9"/>
        <v>0</v>
      </c>
      <c r="M55" s="17">
        <f t="shared" si="10"/>
        <v>0</v>
      </c>
    </row>
    <row r="56" spans="1:13" x14ac:dyDescent="0.2">
      <c r="A56" s="19" t="str">
        <f t="shared" si="2"/>
        <v/>
      </c>
      <c r="E56" s="22"/>
      <c r="F56" s="17" t="str">
        <f t="shared" si="3"/>
        <v/>
      </c>
      <c r="G56" s="17" t="str">
        <f t="shared" si="4"/>
        <v/>
      </c>
      <c r="H56" s="18"/>
      <c r="I56" s="17"/>
      <c r="J56" s="17" t="str">
        <f>IFERROR(IF(I56="","",IF(COUNTBLANK(TABLAINV[Codigo])&gt;0,I56-M56-1,I56-M56)),0)</f>
        <v/>
      </c>
      <c r="K56" s="17">
        <f t="shared" si="8"/>
        <v>0</v>
      </c>
      <c r="L56" s="17">
        <f t="shared" si="9"/>
        <v>0</v>
      </c>
      <c r="M56" s="17">
        <f t="shared" si="10"/>
        <v>0</v>
      </c>
    </row>
    <row r="57" spans="1:13" x14ac:dyDescent="0.2">
      <c r="A57" s="19" t="str">
        <f t="shared" si="2"/>
        <v/>
      </c>
      <c r="E57" s="22"/>
      <c r="F57" s="17" t="str">
        <f t="shared" si="3"/>
        <v/>
      </c>
      <c r="G57" s="17" t="str">
        <f t="shared" si="4"/>
        <v/>
      </c>
      <c r="H57" s="18"/>
      <c r="I57" s="17"/>
      <c r="J57" s="17" t="str">
        <f>IFERROR(IF(I57="","",IF(COUNTBLANK(TABLAINV[Codigo])&gt;0,I57-M57-1,I57-M57)),0)</f>
        <v/>
      </c>
      <c r="K57" s="17">
        <f t="shared" si="8"/>
        <v>0</v>
      </c>
      <c r="L57" s="17">
        <f t="shared" si="9"/>
        <v>0</v>
      </c>
      <c r="M57" s="17">
        <f t="shared" si="10"/>
        <v>0</v>
      </c>
    </row>
    <row r="58" spans="1:13" x14ac:dyDescent="0.2">
      <c r="A58" s="19" t="str">
        <f t="shared" si="2"/>
        <v/>
      </c>
      <c r="E58" s="22"/>
      <c r="F58" s="17" t="str">
        <f t="shared" si="3"/>
        <v/>
      </c>
      <c r="G58" s="17" t="str">
        <f t="shared" si="4"/>
        <v/>
      </c>
      <c r="H58" s="18"/>
      <c r="I58" s="17"/>
      <c r="J58" s="17" t="str">
        <f>IFERROR(IF(I58="","",IF(COUNTBLANK(TABLAINV[Codigo])&gt;0,I58-M58-1,I58-M58)),0)</f>
        <v/>
      </c>
      <c r="K58" s="17">
        <f t="shared" si="8"/>
        <v>0</v>
      </c>
      <c r="L58" s="17">
        <f t="shared" si="9"/>
        <v>0</v>
      </c>
      <c r="M58" s="17">
        <f t="shared" si="10"/>
        <v>0</v>
      </c>
    </row>
    <row r="59" spans="1:13" x14ac:dyDescent="0.2">
      <c r="A59" s="19" t="str">
        <f t="shared" si="2"/>
        <v/>
      </c>
      <c r="E59" s="22"/>
      <c r="F59" s="17" t="str">
        <f t="shared" si="3"/>
        <v/>
      </c>
      <c r="G59" s="17" t="str">
        <f t="shared" si="4"/>
        <v/>
      </c>
      <c r="H59" s="18"/>
      <c r="I59" s="17"/>
      <c r="J59" s="17" t="str">
        <f>IFERROR(IF(I59="","",IF(COUNTBLANK(TABLAINV[Codigo])&gt;0,I59-M59-1,I59-M59)),0)</f>
        <v/>
      </c>
      <c r="K59" s="17">
        <f t="shared" si="8"/>
        <v>0</v>
      </c>
      <c r="L59" s="17">
        <f t="shared" si="9"/>
        <v>0</v>
      </c>
      <c r="M59" s="17">
        <f t="shared" si="10"/>
        <v>0</v>
      </c>
    </row>
    <row r="60" spans="1:13" x14ac:dyDescent="0.2">
      <c r="A60" s="19" t="str">
        <f t="shared" si="2"/>
        <v/>
      </c>
      <c r="E60" s="22"/>
      <c r="F60" s="17" t="str">
        <f t="shared" si="3"/>
        <v/>
      </c>
      <c r="G60" s="17" t="str">
        <f t="shared" si="4"/>
        <v/>
      </c>
      <c r="H60" s="18"/>
      <c r="I60" s="17"/>
      <c r="J60" s="17" t="str">
        <f>IFERROR(IF(I60="","",IF(COUNTBLANK(TABLAINV[Codigo])&gt;0,I60-M60-1,I60-M60)),0)</f>
        <v/>
      </c>
      <c r="K60" s="17">
        <f t="shared" si="8"/>
        <v>0</v>
      </c>
      <c r="L60" s="17">
        <f t="shared" si="9"/>
        <v>0</v>
      </c>
      <c r="M60" s="17">
        <f t="shared" si="10"/>
        <v>0</v>
      </c>
    </row>
    <row r="61" spans="1:13" x14ac:dyDescent="0.2">
      <c r="A61" s="19" t="str">
        <f t="shared" si="2"/>
        <v/>
      </c>
      <c r="E61" s="22"/>
      <c r="F61" s="17" t="str">
        <f t="shared" si="3"/>
        <v/>
      </c>
      <c r="G61" s="17" t="str">
        <f t="shared" si="4"/>
        <v/>
      </c>
      <c r="H61" s="18"/>
      <c r="I61" s="17"/>
      <c r="J61" s="17" t="str">
        <f>IFERROR(IF(I61="","",IF(COUNTBLANK(TABLAINV[Codigo])&gt;0,I61-M61-1,I61-M61)),0)</f>
        <v/>
      </c>
      <c r="K61" s="17">
        <f t="shared" si="8"/>
        <v>0</v>
      </c>
      <c r="L61" s="17">
        <f t="shared" si="9"/>
        <v>0</v>
      </c>
      <c r="M61" s="17">
        <f t="shared" si="10"/>
        <v>0</v>
      </c>
    </row>
  </sheetData>
  <conditionalFormatting sqref="K2:M1048576">
    <cfRule type="cellIs" dxfId="82" priority="2" operator="greaterThan">
      <formula>0</formula>
    </cfRule>
  </conditionalFormatting>
  <conditionalFormatting sqref="K39:M61">
    <cfRule type="cellIs" dxfId="81" priority="1" operator="greater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Q300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2.85546875" style="27" customWidth="1"/>
    <col min="2" max="2" width="13.140625" style="27" bestFit="1" customWidth="1"/>
    <col min="3" max="3" width="12.5703125" style="27" customWidth="1"/>
    <col min="4" max="4" width="17.85546875" style="42" customWidth="1"/>
    <col min="5" max="5" width="7.85546875" style="27" customWidth="1"/>
    <col min="6" max="6" width="5.42578125" style="27" customWidth="1"/>
    <col min="7" max="7" width="4.28515625" style="27" customWidth="1"/>
    <col min="8" max="8" width="13.140625" style="27" customWidth="1"/>
    <col min="9" max="9" width="20.140625" style="27" customWidth="1"/>
    <col min="10" max="10" width="12" style="27" bestFit="1" customWidth="1"/>
    <col min="11" max="12" width="11.5703125" style="27" bestFit="1" customWidth="1"/>
    <col min="13" max="13" width="10.42578125" style="27" bestFit="1" customWidth="1"/>
    <col min="14" max="16384" width="11.42578125" style="27"/>
  </cols>
  <sheetData>
    <row r="1" spans="1:13" ht="28.5" customHeight="1" x14ac:dyDescent="0.2">
      <c r="A1" s="24" t="s">
        <v>50</v>
      </c>
      <c r="B1" s="31" t="s">
        <v>8</v>
      </c>
      <c r="C1" s="31" t="s">
        <v>22</v>
      </c>
      <c r="D1" s="24" t="s">
        <v>59</v>
      </c>
      <c r="E1" s="30"/>
      <c r="F1" s="25" t="s">
        <v>52</v>
      </c>
      <c r="G1" s="25" t="s">
        <v>53</v>
      </c>
      <c r="H1" s="16" t="s">
        <v>8</v>
      </c>
      <c r="I1" s="82" t="s">
        <v>60</v>
      </c>
      <c r="J1" s="25" t="s">
        <v>61</v>
      </c>
      <c r="K1" s="25" t="s">
        <v>47</v>
      </c>
      <c r="L1" s="25" t="s">
        <v>48</v>
      </c>
      <c r="M1" s="25" t="s">
        <v>54</v>
      </c>
    </row>
    <row r="2" spans="1:13" x14ac:dyDescent="0.2">
      <c r="A2" s="27" t="str">
        <f>B2&amp;C2</f>
        <v>MRC01CUADRADO</v>
      </c>
      <c r="B2" t="s">
        <v>100</v>
      </c>
      <c r="C2" t="s">
        <v>39</v>
      </c>
      <c r="D2" s="172">
        <v>0</v>
      </c>
      <c r="E2" s="30"/>
      <c r="F2" s="28" t="str">
        <f>IF(OR(H2="",H2="Total general"),"",H2&amp;$L$1)</f>
        <v>MRC01SOBRANTE</v>
      </c>
      <c r="G2" s="28" t="str">
        <f>IF(OR(H2="",H2="Total general"),"",H2&amp;$K$1)</f>
        <v>MRC01FALTANTE</v>
      </c>
      <c r="H2" t="s">
        <v>100</v>
      </c>
      <c r="I2" s="172">
        <v>0</v>
      </c>
      <c r="J2" s="41">
        <f t="shared" ref="J2:J61" si="0">IF(L2&gt;0,I2+L2,I2)</f>
        <v>0</v>
      </c>
      <c r="K2" s="41">
        <f t="shared" ref="K2:K61" si="1">IFERROR(VLOOKUP(G2,A:D,4,0),0)</f>
        <v>0</v>
      </c>
      <c r="L2" s="41">
        <f t="shared" ref="L2:L61" si="2">IFERROR(VLOOKUP(F2,A:D,4,0),0)</f>
        <v>0</v>
      </c>
      <c r="M2" s="41">
        <f>SUM(ABS(K2),L2)</f>
        <v>0</v>
      </c>
    </row>
    <row r="3" spans="1:13" x14ac:dyDescent="0.2">
      <c r="A3" s="27" t="str">
        <f t="shared" ref="A3:A61" si="3">B3&amp;C3</f>
        <v>Total general</v>
      </c>
      <c r="B3" t="s">
        <v>4</v>
      </c>
      <c r="C3"/>
      <c r="D3" s="172">
        <v>0</v>
      </c>
      <c r="E3" s="30"/>
      <c r="F3" s="28" t="str">
        <f t="shared" ref="F3:F61" si="4">IF(OR(H3="",H3="Total general"),"",H3&amp;$L$1)</f>
        <v/>
      </c>
      <c r="G3" s="28" t="str">
        <f t="shared" ref="G3:G61" si="5">IF(OR(H3="",H3="Total general"),"",H3&amp;$K$1)</f>
        <v/>
      </c>
      <c r="H3" t="s">
        <v>4</v>
      </c>
      <c r="I3" s="172">
        <v>0</v>
      </c>
      <c r="J3" s="41">
        <f t="shared" si="0"/>
        <v>0</v>
      </c>
      <c r="K3" s="41">
        <f t="shared" si="1"/>
        <v>0</v>
      </c>
      <c r="L3" s="41">
        <f t="shared" si="2"/>
        <v>0</v>
      </c>
      <c r="M3" s="41">
        <f t="shared" ref="M3:M37" si="6">SUM(K3:L3)</f>
        <v>0</v>
      </c>
    </row>
    <row r="4" spans="1:13" x14ac:dyDescent="0.2">
      <c r="A4" s="27" t="str">
        <f t="shared" si="3"/>
        <v/>
      </c>
      <c r="B4"/>
      <c r="C4"/>
      <c r="D4"/>
      <c r="E4" s="30"/>
      <c r="F4" s="28" t="str">
        <f t="shared" si="4"/>
        <v/>
      </c>
      <c r="G4" s="28" t="str">
        <f t="shared" si="5"/>
        <v/>
      </c>
      <c r="H4"/>
      <c r="I4"/>
      <c r="J4" s="41">
        <f t="shared" si="0"/>
        <v>0</v>
      </c>
      <c r="K4" s="41">
        <f t="shared" si="1"/>
        <v>0</v>
      </c>
      <c r="L4" s="41">
        <f t="shared" si="2"/>
        <v>0</v>
      </c>
      <c r="M4" s="41">
        <f t="shared" si="6"/>
        <v>0</v>
      </c>
    </row>
    <row r="5" spans="1:13" x14ac:dyDescent="0.2">
      <c r="A5" s="27" t="str">
        <f t="shared" si="3"/>
        <v/>
      </c>
      <c r="B5"/>
      <c r="C5"/>
      <c r="D5"/>
      <c r="E5" s="30"/>
      <c r="F5" s="28" t="str">
        <f t="shared" si="4"/>
        <v/>
      </c>
      <c r="G5" s="28" t="str">
        <f t="shared" si="5"/>
        <v/>
      </c>
      <c r="H5"/>
      <c r="I5"/>
      <c r="J5" s="41">
        <f t="shared" si="0"/>
        <v>0</v>
      </c>
      <c r="K5" s="41">
        <f t="shared" si="1"/>
        <v>0</v>
      </c>
      <c r="L5" s="41">
        <f t="shared" si="2"/>
        <v>0</v>
      </c>
      <c r="M5" s="41">
        <f t="shared" si="6"/>
        <v>0</v>
      </c>
    </row>
    <row r="6" spans="1:13" x14ac:dyDescent="0.2">
      <c r="A6" s="27" t="str">
        <f t="shared" si="3"/>
        <v/>
      </c>
      <c r="B6"/>
      <c r="C6"/>
      <c r="D6"/>
      <c r="E6" s="30"/>
      <c r="F6" s="28" t="str">
        <f t="shared" si="4"/>
        <v/>
      </c>
      <c r="G6" s="28" t="str">
        <f t="shared" si="5"/>
        <v/>
      </c>
      <c r="H6"/>
      <c r="I6"/>
      <c r="J6" s="41">
        <f t="shared" si="0"/>
        <v>0</v>
      </c>
      <c r="K6" s="41">
        <f t="shared" si="1"/>
        <v>0</v>
      </c>
      <c r="L6" s="41">
        <f t="shared" si="2"/>
        <v>0</v>
      </c>
      <c r="M6" s="41">
        <f t="shared" si="6"/>
        <v>0</v>
      </c>
    </row>
    <row r="7" spans="1:13" x14ac:dyDescent="0.2">
      <c r="A7" s="27" t="str">
        <f t="shared" si="3"/>
        <v/>
      </c>
      <c r="B7"/>
      <c r="C7"/>
      <c r="D7"/>
      <c r="E7" s="30"/>
      <c r="F7" s="28" t="str">
        <f t="shared" si="4"/>
        <v/>
      </c>
      <c r="G7" s="28" t="str">
        <f t="shared" si="5"/>
        <v/>
      </c>
      <c r="H7"/>
      <c r="I7"/>
      <c r="J7" s="41">
        <f t="shared" si="0"/>
        <v>0</v>
      </c>
      <c r="K7" s="41">
        <f t="shared" si="1"/>
        <v>0</v>
      </c>
      <c r="L7" s="41">
        <f t="shared" si="2"/>
        <v>0</v>
      </c>
      <c r="M7" s="41">
        <f t="shared" si="6"/>
        <v>0</v>
      </c>
    </row>
    <row r="8" spans="1:13" x14ac:dyDescent="0.2">
      <c r="A8" s="27" t="str">
        <f t="shared" si="3"/>
        <v/>
      </c>
      <c r="B8"/>
      <c r="C8"/>
      <c r="D8"/>
      <c r="E8" s="30"/>
      <c r="F8" s="28" t="str">
        <f t="shared" si="4"/>
        <v/>
      </c>
      <c r="G8" s="28" t="str">
        <f t="shared" si="5"/>
        <v/>
      </c>
      <c r="H8"/>
      <c r="I8"/>
      <c r="J8" s="41">
        <f t="shared" si="0"/>
        <v>0</v>
      </c>
      <c r="K8" s="41">
        <f t="shared" si="1"/>
        <v>0</v>
      </c>
      <c r="L8" s="41">
        <f t="shared" si="2"/>
        <v>0</v>
      </c>
      <c r="M8" s="41">
        <f t="shared" si="6"/>
        <v>0</v>
      </c>
    </row>
    <row r="9" spans="1:13" x14ac:dyDescent="0.2">
      <c r="A9" s="27" t="str">
        <f t="shared" si="3"/>
        <v/>
      </c>
      <c r="B9"/>
      <c r="C9"/>
      <c r="D9"/>
      <c r="E9" s="30"/>
      <c r="F9" s="28" t="str">
        <f t="shared" si="4"/>
        <v/>
      </c>
      <c r="G9" s="28" t="str">
        <f t="shared" si="5"/>
        <v/>
      </c>
      <c r="H9"/>
      <c r="I9"/>
      <c r="J9" s="41">
        <f t="shared" si="0"/>
        <v>0</v>
      </c>
      <c r="K9" s="41">
        <f t="shared" si="1"/>
        <v>0</v>
      </c>
      <c r="L9" s="41">
        <f t="shared" si="2"/>
        <v>0</v>
      </c>
      <c r="M9" s="41">
        <f t="shared" si="6"/>
        <v>0</v>
      </c>
    </row>
    <row r="10" spans="1:13" x14ac:dyDescent="0.2">
      <c r="A10" s="27" t="str">
        <f t="shared" si="3"/>
        <v/>
      </c>
      <c r="B10"/>
      <c r="C10"/>
      <c r="D10"/>
      <c r="E10" s="30"/>
      <c r="F10" s="28" t="str">
        <f t="shared" si="4"/>
        <v/>
      </c>
      <c r="G10" s="28" t="str">
        <f t="shared" si="5"/>
        <v/>
      </c>
      <c r="H10"/>
      <c r="I10"/>
      <c r="J10" s="41">
        <f t="shared" si="0"/>
        <v>0</v>
      </c>
      <c r="K10" s="41">
        <f t="shared" si="1"/>
        <v>0</v>
      </c>
      <c r="L10" s="41">
        <f t="shared" si="2"/>
        <v>0</v>
      </c>
      <c r="M10" s="41">
        <f t="shared" si="6"/>
        <v>0</v>
      </c>
    </row>
    <row r="11" spans="1:13" x14ac:dyDescent="0.2">
      <c r="A11" s="27" t="str">
        <f t="shared" si="3"/>
        <v/>
      </c>
      <c r="B11"/>
      <c r="C11"/>
      <c r="D11"/>
      <c r="E11" s="30"/>
      <c r="F11" s="28" t="str">
        <f t="shared" si="4"/>
        <v/>
      </c>
      <c r="G11" s="28" t="str">
        <f t="shared" si="5"/>
        <v/>
      </c>
      <c r="H11"/>
      <c r="I11"/>
      <c r="J11" s="41">
        <f t="shared" si="0"/>
        <v>0</v>
      </c>
      <c r="K11" s="41">
        <f t="shared" si="1"/>
        <v>0</v>
      </c>
      <c r="L11" s="41">
        <f t="shared" si="2"/>
        <v>0</v>
      </c>
      <c r="M11" s="41">
        <f t="shared" si="6"/>
        <v>0</v>
      </c>
    </row>
    <row r="12" spans="1:13" x14ac:dyDescent="0.2">
      <c r="A12" s="27" t="str">
        <f t="shared" si="3"/>
        <v/>
      </c>
      <c r="B12"/>
      <c r="C12"/>
      <c r="D12"/>
      <c r="E12" s="30"/>
      <c r="F12" s="28" t="str">
        <f t="shared" si="4"/>
        <v/>
      </c>
      <c r="G12" s="28" t="str">
        <f t="shared" si="5"/>
        <v/>
      </c>
      <c r="H12"/>
      <c r="I12"/>
      <c r="J12" s="41">
        <f t="shared" si="0"/>
        <v>0</v>
      </c>
      <c r="K12" s="41">
        <f t="shared" si="1"/>
        <v>0</v>
      </c>
      <c r="L12" s="41">
        <f t="shared" si="2"/>
        <v>0</v>
      </c>
      <c r="M12" s="41">
        <f t="shared" si="6"/>
        <v>0</v>
      </c>
    </row>
    <row r="13" spans="1:13" x14ac:dyDescent="0.2">
      <c r="A13" s="27" t="str">
        <f t="shared" si="3"/>
        <v/>
      </c>
      <c r="B13"/>
      <c r="C13"/>
      <c r="D13"/>
      <c r="E13" s="30"/>
      <c r="F13" s="28" t="str">
        <f t="shared" si="4"/>
        <v/>
      </c>
      <c r="G13" s="28" t="str">
        <f t="shared" si="5"/>
        <v/>
      </c>
      <c r="H13"/>
      <c r="I13"/>
      <c r="J13" s="41">
        <f t="shared" si="0"/>
        <v>0</v>
      </c>
      <c r="K13" s="41">
        <f t="shared" si="1"/>
        <v>0</v>
      </c>
      <c r="L13" s="41">
        <f t="shared" si="2"/>
        <v>0</v>
      </c>
      <c r="M13" s="41">
        <f t="shared" si="6"/>
        <v>0</v>
      </c>
    </row>
    <row r="14" spans="1:13" x14ac:dyDescent="0.2">
      <c r="A14" s="27" t="str">
        <f t="shared" si="3"/>
        <v/>
      </c>
      <c r="B14"/>
      <c r="C14"/>
      <c r="D14"/>
      <c r="E14" s="30"/>
      <c r="F14" s="28" t="str">
        <f t="shared" si="4"/>
        <v/>
      </c>
      <c r="G14" s="28" t="str">
        <f t="shared" si="5"/>
        <v/>
      </c>
      <c r="H14"/>
      <c r="I14"/>
      <c r="J14" s="41">
        <f t="shared" si="0"/>
        <v>0</v>
      </c>
      <c r="K14" s="41">
        <f t="shared" si="1"/>
        <v>0</v>
      </c>
      <c r="L14" s="41">
        <f t="shared" si="2"/>
        <v>0</v>
      </c>
      <c r="M14" s="41">
        <f t="shared" si="6"/>
        <v>0</v>
      </c>
    </row>
    <row r="15" spans="1:13" x14ac:dyDescent="0.2">
      <c r="A15" s="27" t="str">
        <f t="shared" si="3"/>
        <v/>
      </c>
      <c r="B15"/>
      <c r="C15"/>
      <c r="D15"/>
      <c r="E15" s="30"/>
      <c r="F15" s="28" t="str">
        <f t="shared" si="4"/>
        <v/>
      </c>
      <c r="G15" s="28" t="str">
        <f t="shared" si="5"/>
        <v/>
      </c>
      <c r="H15"/>
      <c r="I15"/>
      <c r="J15" s="41">
        <f t="shared" si="0"/>
        <v>0</v>
      </c>
      <c r="K15" s="41">
        <f t="shared" si="1"/>
        <v>0</v>
      </c>
      <c r="L15" s="41">
        <f t="shared" si="2"/>
        <v>0</v>
      </c>
      <c r="M15" s="41">
        <f t="shared" si="6"/>
        <v>0</v>
      </c>
    </row>
    <row r="16" spans="1:13" x14ac:dyDescent="0.2">
      <c r="A16" s="27" t="str">
        <f t="shared" si="3"/>
        <v/>
      </c>
      <c r="B16"/>
      <c r="C16"/>
      <c r="D16"/>
      <c r="E16" s="30"/>
      <c r="F16" s="28" t="str">
        <f t="shared" si="4"/>
        <v/>
      </c>
      <c r="G16" s="28" t="str">
        <f t="shared" si="5"/>
        <v/>
      </c>
      <c r="H16"/>
      <c r="I16"/>
      <c r="J16" s="41">
        <f t="shared" si="0"/>
        <v>0</v>
      </c>
      <c r="K16" s="41">
        <f t="shared" si="1"/>
        <v>0</v>
      </c>
      <c r="L16" s="41">
        <f t="shared" si="2"/>
        <v>0</v>
      </c>
      <c r="M16" s="41">
        <f t="shared" si="6"/>
        <v>0</v>
      </c>
    </row>
    <row r="17" spans="1:17" x14ac:dyDescent="0.2">
      <c r="A17" s="27" t="str">
        <f t="shared" si="3"/>
        <v/>
      </c>
      <c r="B17"/>
      <c r="C17"/>
      <c r="D17"/>
      <c r="E17" s="30"/>
      <c r="F17" s="28" t="str">
        <f t="shared" si="4"/>
        <v/>
      </c>
      <c r="G17" s="28" t="str">
        <f t="shared" si="5"/>
        <v/>
      </c>
      <c r="H17"/>
      <c r="I17"/>
      <c r="J17" s="41">
        <f t="shared" si="0"/>
        <v>0</v>
      </c>
      <c r="K17" s="41">
        <f t="shared" si="1"/>
        <v>0</v>
      </c>
      <c r="L17" s="41">
        <f t="shared" si="2"/>
        <v>0</v>
      </c>
      <c r="M17" s="41">
        <f t="shared" si="6"/>
        <v>0</v>
      </c>
    </row>
    <row r="18" spans="1:17" x14ac:dyDescent="0.2">
      <c r="A18" s="27" t="str">
        <f t="shared" si="3"/>
        <v/>
      </c>
      <c r="B18"/>
      <c r="C18"/>
      <c r="D18"/>
      <c r="E18" s="30"/>
      <c r="F18" s="28" t="str">
        <f t="shared" si="4"/>
        <v/>
      </c>
      <c r="G18" s="28" t="str">
        <f t="shared" si="5"/>
        <v/>
      </c>
      <c r="H18"/>
      <c r="I18"/>
      <c r="J18" s="41">
        <f t="shared" si="0"/>
        <v>0</v>
      </c>
      <c r="K18" s="41">
        <f t="shared" si="1"/>
        <v>0</v>
      </c>
      <c r="L18" s="41">
        <f t="shared" si="2"/>
        <v>0</v>
      </c>
      <c r="M18" s="41">
        <f t="shared" si="6"/>
        <v>0</v>
      </c>
    </row>
    <row r="19" spans="1:17" x14ac:dyDescent="0.2">
      <c r="A19" s="27" t="str">
        <f t="shared" si="3"/>
        <v/>
      </c>
      <c r="B19"/>
      <c r="C19"/>
      <c r="D19"/>
      <c r="E19" s="30"/>
      <c r="F19" s="28" t="str">
        <f t="shared" si="4"/>
        <v/>
      </c>
      <c r="G19" s="28" t="str">
        <f t="shared" si="5"/>
        <v/>
      </c>
      <c r="H19"/>
      <c r="I19"/>
      <c r="J19" s="41">
        <f t="shared" si="0"/>
        <v>0</v>
      </c>
      <c r="K19" s="41">
        <f t="shared" si="1"/>
        <v>0</v>
      </c>
      <c r="L19" s="41">
        <f t="shared" si="2"/>
        <v>0</v>
      </c>
      <c r="M19" s="41">
        <f t="shared" si="6"/>
        <v>0</v>
      </c>
    </row>
    <row r="20" spans="1:17" x14ac:dyDescent="0.2">
      <c r="A20" s="27" t="str">
        <f t="shared" si="3"/>
        <v/>
      </c>
      <c r="B20"/>
      <c r="C20"/>
      <c r="D20"/>
      <c r="E20" s="30"/>
      <c r="F20" s="28" t="str">
        <f t="shared" si="4"/>
        <v/>
      </c>
      <c r="G20" s="28" t="str">
        <f t="shared" si="5"/>
        <v/>
      </c>
      <c r="H20"/>
      <c r="I20"/>
      <c r="J20" s="41">
        <f t="shared" si="0"/>
        <v>0</v>
      </c>
      <c r="K20" s="41">
        <f t="shared" si="1"/>
        <v>0</v>
      </c>
      <c r="L20" s="41">
        <f t="shared" si="2"/>
        <v>0</v>
      </c>
      <c r="M20" s="41">
        <f t="shared" si="6"/>
        <v>0</v>
      </c>
      <c r="P20"/>
      <c r="Q20"/>
    </row>
    <row r="21" spans="1:17" x14ac:dyDescent="0.2">
      <c r="A21" s="27" t="str">
        <f t="shared" si="3"/>
        <v/>
      </c>
      <c r="B21"/>
      <c r="C21"/>
      <c r="D21"/>
      <c r="E21" s="30"/>
      <c r="F21" s="28" t="str">
        <f t="shared" si="4"/>
        <v/>
      </c>
      <c r="G21" s="28" t="str">
        <f t="shared" si="5"/>
        <v/>
      </c>
      <c r="H21"/>
      <c r="I21"/>
      <c r="J21" s="41">
        <f t="shared" si="0"/>
        <v>0</v>
      </c>
      <c r="K21" s="41">
        <f t="shared" si="1"/>
        <v>0</v>
      </c>
      <c r="L21" s="41">
        <f t="shared" si="2"/>
        <v>0</v>
      </c>
      <c r="M21" s="41">
        <f t="shared" si="6"/>
        <v>0</v>
      </c>
      <c r="P21"/>
      <c r="Q21"/>
    </row>
    <row r="22" spans="1:17" x14ac:dyDescent="0.2">
      <c r="A22" s="27" t="str">
        <f t="shared" si="3"/>
        <v/>
      </c>
      <c r="B22"/>
      <c r="C22"/>
      <c r="D22"/>
      <c r="E22" s="30"/>
      <c r="F22" s="28" t="str">
        <f t="shared" si="4"/>
        <v/>
      </c>
      <c r="G22" s="28" t="str">
        <f t="shared" si="5"/>
        <v/>
      </c>
      <c r="H22"/>
      <c r="I22"/>
      <c r="J22" s="41">
        <f t="shared" si="0"/>
        <v>0</v>
      </c>
      <c r="K22" s="41">
        <f t="shared" si="1"/>
        <v>0</v>
      </c>
      <c r="L22" s="41">
        <f t="shared" si="2"/>
        <v>0</v>
      </c>
      <c r="M22" s="41">
        <f t="shared" si="6"/>
        <v>0</v>
      </c>
      <c r="P22"/>
      <c r="Q22"/>
    </row>
    <row r="23" spans="1:17" x14ac:dyDescent="0.2">
      <c r="A23" s="27" t="str">
        <f t="shared" si="3"/>
        <v/>
      </c>
      <c r="B23"/>
      <c r="C23"/>
      <c r="D23"/>
      <c r="E23" s="30"/>
      <c r="F23" s="28" t="str">
        <f t="shared" si="4"/>
        <v/>
      </c>
      <c r="G23" s="28" t="str">
        <f t="shared" si="5"/>
        <v/>
      </c>
      <c r="H23"/>
      <c r="I23"/>
      <c r="J23" s="41">
        <f t="shared" si="0"/>
        <v>0</v>
      </c>
      <c r="K23" s="41">
        <f t="shared" si="1"/>
        <v>0</v>
      </c>
      <c r="L23" s="41">
        <f t="shared" si="2"/>
        <v>0</v>
      </c>
      <c r="M23" s="41">
        <f t="shared" si="6"/>
        <v>0</v>
      </c>
      <c r="P23"/>
      <c r="Q23"/>
    </row>
    <row r="24" spans="1:17" x14ac:dyDescent="0.2">
      <c r="A24" s="27" t="str">
        <f t="shared" si="3"/>
        <v/>
      </c>
      <c r="B24"/>
      <c r="C24"/>
      <c r="D24"/>
      <c r="E24" s="30"/>
      <c r="F24" s="28" t="str">
        <f t="shared" si="4"/>
        <v/>
      </c>
      <c r="G24" s="28" t="str">
        <f t="shared" si="5"/>
        <v/>
      </c>
      <c r="H24"/>
      <c r="I24"/>
      <c r="J24" s="41">
        <f t="shared" si="0"/>
        <v>0</v>
      </c>
      <c r="K24" s="41">
        <f t="shared" si="1"/>
        <v>0</v>
      </c>
      <c r="L24" s="41">
        <f t="shared" si="2"/>
        <v>0</v>
      </c>
      <c r="M24" s="41">
        <f t="shared" si="6"/>
        <v>0</v>
      </c>
      <c r="P24"/>
      <c r="Q24"/>
    </row>
    <row r="25" spans="1:17" x14ac:dyDescent="0.2">
      <c r="A25" s="27" t="str">
        <f t="shared" si="3"/>
        <v/>
      </c>
      <c r="B25"/>
      <c r="C25"/>
      <c r="D25"/>
      <c r="E25" s="30"/>
      <c r="F25" s="28" t="str">
        <f t="shared" si="4"/>
        <v/>
      </c>
      <c r="G25" s="28" t="str">
        <f t="shared" si="5"/>
        <v/>
      </c>
      <c r="H25"/>
      <c r="I25"/>
      <c r="J25" s="41">
        <f t="shared" si="0"/>
        <v>0</v>
      </c>
      <c r="K25" s="41">
        <f t="shared" si="1"/>
        <v>0</v>
      </c>
      <c r="L25" s="41">
        <f t="shared" si="2"/>
        <v>0</v>
      </c>
      <c r="M25" s="41">
        <f t="shared" si="6"/>
        <v>0</v>
      </c>
      <c r="P25"/>
      <c r="Q25"/>
    </row>
    <row r="26" spans="1:17" x14ac:dyDescent="0.2">
      <c r="A26" s="27" t="str">
        <f t="shared" si="3"/>
        <v/>
      </c>
      <c r="B26"/>
      <c r="C26"/>
      <c r="D26"/>
      <c r="E26" s="30"/>
      <c r="F26" s="28" t="str">
        <f t="shared" si="4"/>
        <v/>
      </c>
      <c r="G26" s="28" t="str">
        <f t="shared" si="5"/>
        <v/>
      </c>
      <c r="H26"/>
      <c r="I26"/>
      <c r="J26" s="41">
        <f t="shared" si="0"/>
        <v>0</v>
      </c>
      <c r="K26" s="41">
        <f t="shared" si="1"/>
        <v>0</v>
      </c>
      <c r="L26" s="41">
        <f t="shared" si="2"/>
        <v>0</v>
      </c>
      <c r="M26" s="41">
        <f t="shared" si="6"/>
        <v>0</v>
      </c>
      <c r="P26"/>
      <c r="Q26"/>
    </row>
    <row r="27" spans="1:17" x14ac:dyDescent="0.2">
      <c r="A27" s="27" t="str">
        <f t="shared" si="3"/>
        <v/>
      </c>
      <c r="B27"/>
      <c r="C27"/>
      <c r="D27"/>
      <c r="E27" s="30"/>
      <c r="F27" s="28" t="str">
        <f t="shared" si="4"/>
        <v/>
      </c>
      <c r="G27" s="28" t="str">
        <f t="shared" si="5"/>
        <v/>
      </c>
      <c r="H27"/>
      <c r="I27"/>
      <c r="J27" s="41">
        <f t="shared" si="0"/>
        <v>0</v>
      </c>
      <c r="K27" s="41">
        <f t="shared" si="1"/>
        <v>0</v>
      </c>
      <c r="L27" s="41">
        <f t="shared" si="2"/>
        <v>0</v>
      </c>
      <c r="M27" s="41">
        <f t="shared" si="6"/>
        <v>0</v>
      </c>
      <c r="P27"/>
      <c r="Q27"/>
    </row>
    <row r="28" spans="1:17" x14ac:dyDescent="0.2">
      <c r="A28" s="27" t="str">
        <f t="shared" si="3"/>
        <v/>
      </c>
      <c r="B28"/>
      <c r="C28"/>
      <c r="D28"/>
      <c r="E28" s="30"/>
      <c r="F28" s="28" t="str">
        <f t="shared" si="4"/>
        <v/>
      </c>
      <c r="G28" s="28" t="str">
        <f t="shared" si="5"/>
        <v/>
      </c>
      <c r="H28"/>
      <c r="I28"/>
      <c r="J28" s="41">
        <f t="shared" si="0"/>
        <v>0</v>
      </c>
      <c r="K28" s="41">
        <f t="shared" si="1"/>
        <v>0</v>
      </c>
      <c r="L28" s="41">
        <f t="shared" si="2"/>
        <v>0</v>
      </c>
      <c r="M28" s="41">
        <f t="shared" si="6"/>
        <v>0</v>
      </c>
      <c r="P28"/>
      <c r="Q28"/>
    </row>
    <row r="29" spans="1:17" x14ac:dyDescent="0.2">
      <c r="A29" s="27" t="str">
        <f t="shared" si="3"/>
        <v/>
      </c>
      <c r="B29"/>
      <c r="C29"/>
      <c r="D29"/>
      <c r="E29" s="30"/>
      <c r="F29" s="28" t="str">
        <f t="shared" si="4"/>
        <v/>
      </c>
      <c r="G29" s="28" t="str">
        <f t="shared" si="5"/>
        <v/>
      </c>
      <c r="H29"/>
      <c r="I29"/>
      <c r="J29" s="41">
        <f t="shared" si="0"/>
        <v>0</v>
      </c>
      <c r="K29" s="41">
        <f t="shared" si="1"/>
        <v>0</v>
      </c>
      <c r="L29" s="41">
        <f t="shared" si="2"/>
        <v>0</v>
      </c>
      <c r="M29" s="41">
        <f t="shared" si="6"/>
        <v>0</v>
      </c>
      <c r="P29"/>
      <c r="Q29"/>
    </row>
    <row r="30" spans="1:17" x14ac:dyDescent="0.2">
      <c r="A30" s="27" t="str">
        <f t="shared" si="3"/>
        <v/>
      </c>
      <c r="B30"/>
      <c r="C30"/>
      <c r="D30"/>
      <c r="E30" s="30"/>
      <c r="F30" s="28" t="str">
        <f t="shared" si="4"/>
        <v/>
      </c>
      <c r="G30" s="28" t="str">
        <f t="shared" si="5"/>
        <v/>
      </c>
      <c r="H30"/>
      <c r="I30"/>
      <c r="J30" s="41">
        <f t="shared" si="0"/>
        <v>0</v>
      </c>
      <c r="K30" s="41">
        <f t="shared" si="1"/>
        <v>0</v>
      </c>
      <c r="L30" s="41">
        <f t="shared" si="2"/>
        <v>0</v>
      </c>
      <c r="M30" s="41">
        <f t="shared" si="6"/>
        <v>0</v>
      </c>
      <c r="P30"/>
      <c r="Q30"/>
    </row>
    <row r="31" spans="1:17" x14ac:dyDescent="0.2">
      <c r="A31" s="27" t="str">
        <f t="shared" si="3"/>
        <v/>
      </c>
      <c r="B31"/>
      <c r="C31"/>
      <c r="D31"/>
      <c r="E31" s="30"/>
      <c r="F31" s="28" t="str">
        <f t="shared" si="4"/>
        <v/>
      </c>
      <c r="G31" s="28" t="str">
        <f t="shared" si="5"/>
        <v/>
      </c>
      <c r="H31"/>
      <c r="I31"/>
      <c r="J31" s="41">
        <f t="shared" si="0"/>
        <v>0</v>
      </c>
      <c r="K31" s="41">
        <f t="shared" si="1"/>
        <v>0</v>
      </c>
      <c r="L31" s="41">
        <f t="shared" si="2"/>
        <v>0</v>
      </c>
      <c r="M31" s="41">
        <f t="shared" si="6"/>
        <v>0</v>
      </c>
      <c r="P31"/>
      <c r="Q31"/>
    </row>
    <row r="32" spans="1:17" x14ac:dyDescent="0.2">
      <c r="A32" s="27" t="str">
        <f t="shared" si="3"/>
        <v/>
      </c>
      <c r="B32"/>
      <c r="C32"/>
      <c r="D32"/>
      <c r="E32" s="30"/>
      <c r="F32" s="28" t="str">
        <f t="shared" si="4"/>
        <v/>
      </c>
      <c r="G32" s="28" t="str">
        <f t="shared" si="5"/>
        <v/>
      </c>
      <c r="H32"/>
      <c r="I32"/>
      <c r="J32" s="41">
        <f t="shared" si="0"/>
        <v>0</v>
      </c>
      <c r="K32" s="41">
        <f t="shared" si="1"/>
        <v>0</v>
      </c>
      <c r="L32" s="41">
        <f t="shared" si="2"/>
        <v>0</v>
      </c>
      <c r="M32" s="41">
        <f t="shared" si="6"/>
        <v>0</v>
      </c>
      <c r="P32"/>
      <c r="Q32"/>
    </row>
    <row r="33" spans="1:17" x14ac:dyDescent="0.2">
      <c r="A33" s="27" t="str">
        <f t="shared" si="3"/>
        <v/>
      </c>
      <c r="B33"/>
      <c r="C33"/>
      <c r="D33"/>
      <c r="E33" s="30"/>
      <c r="F33" s="28" t="str">
        <f t="shared" si="4"/>
        <v/>
      </c>
      <c r="G33" s="28" t="str">
        <f t="shared" si="5"/>
        <v/>
      </c>
      <c r="H33"/>
      <c r="I33"/>
      <c r="J33" s="41">
        <f t="shared" si="0"/>
        <v>0</v>
      </c>
      <c r="K33" s="41">
        <f t="shared" si="1"/>
        <v>0</v>
      </c>
      <c r="L33" s="41">
        <f t="shared" si="2"/>
        <v>0</v>
      </c>
      <c r="M33" s="41">
        <f t="shared" si="6"/>
        <v>0</v>
      </c>
      <c r="P33"/>
      <c r="Q33"/>
    </row>
    <row r="34" spans="1:17" x14ac:dyDescent="0.2">
      <c r="A34" s="27" t="str">
        <f t="shared" si="3"/>
        <v/>
      </c>
      <c r="B34"/>
      <c r="C34"/>
      <c r="D34"/>
      <c r="E34" s="30"/>
      <c r="F34" s="28" t="str">
        <f t="shared" si="4"/>
        <v/>
      </c>
      <c r="G34" s="28" t="str">
        <f t="shared" si="5"/>
        <v/>
      </c>
      <c r="H34"/>
      <c r="I34"/>
      <c r="J34" s="41">
        <f t="shared" si="0"/>
        <v>0</v>
      </c>
      <c r="K34" s="41">
        <f t="shared" si="1"/>
        <v>0</v>
      </c>
      <c r="L34" s="41">
        <f t="shared" si="2"/>
        <v>0</v>
      </c>
      <c r="M34" s="41">
        <f t="shared" si="6"/>
        <v>0</v>
      </c>
      <c r="P34"/>
      <c r="Q34"/>
    </row>
    <row r="35" spans="1:17" x14ac:dyDescent="0.2">
      <c r="A35" s="27" t="str">
        <f t="shared" si="3"/>
        <v/>
      </c>
      <c r="B35"/>
      <c r="C35"/>
      <c r="D35"/>
      <c r="E35" s="30"/>
      <c r="F35" s="28" t="str">
        <f t="shared" si="4"/>
        <v/>
      </c>
      <c r="G35" s="28" t="str">
        <f t="shared" si="5"/>
        <v/>
      </c>
      <c r="H35"/>
      <c r="I35"/>
      <c r="J35" s="41">
        <f t="shared" si="0"/>
        <v>0</v>
      </c>
      <c r="K35" s="41">
        <f t="shared" si="1"/>
        <v>0</v>
      </c>
      <c r="L35" s="41">
        <f t="shared" si="2"/>
        <v>0</v>
      </c>
      <c r="M35" s="41">
        <f t="shared" si="6"/>
        <v>0</v>
      </c>
      <c r="P35"/>
      <c r="Q35"/>
    </row>
    <row r="36" spans="1:17" x14ac:dyDescent="0.2">
      <c r="A36" s="27" t="str">
        <f t="shared" si="3"/>
        <v/>
      </c>
      <c r="B36"/>
      <c r="C36"/>
      <c r="D36"/>
      <c r="E36" s="30"/>
      <c r="F36" s="28" t="str">
        <f t="shared" si="4"/>
        <v/>
      </c>
      <c r="G36" s="28" t="str">
        <f t="shared" si="5"/>
        <v/>
      </c>
      <c r="H36"/>
      <c r="I36"/>
      <c r="J36" s="41">
        <f t="shared" si="0"/>
        <v>0</v>
      </c>
      <c r="K36" s="41">
        <f t="shared" si="1"/>
        <v>0</v>
      </c>
      <c r="L36" s="41">
        <f t="shared" si="2"/>
        <v>0</v>
      </c>
      <c r="M36" s="41">
        <f t="shared" si="6"/>
        <v>0</v>
      </c>
      <c r="P36"/>
      <c r="Q36"/>
    </row>
    <row r="37" spans="1:17" x14ac:dyDescent="0.2">
      <c r="A37" s="27" t="str">
        <f t="shared" si="3"/>
        <v/>
      </c>
      <c r="B37"/>
      <c r="C37"/>
      <c r="D37"/>
      <c r="E37" s="30"/>
      <c r="F37" s="28" t="str">
        <f t="shared" si="4"/>
        <v/>
      </c>
      <c r="G37" s="28" t="str">
        <f t="shared" si="5"/>
        <v/>
      </c>
      <c r="H37"/>
      <c r="I37"/>
      <c r="J37" s="41">
        <f t="shared" si="0"/>
        <v>0</v>
      </c>
      <c r="K37" s="41">
        <f t="shared" si="1"/>
        <v>0</v>
      </c>
      <c r="L37" s="41">
        <f t="shared" si="2"/>
        <v>0</v>
      </c>
      <c r="M37" s="41">
        <f t="shared" si="6"/>
        <v>0</v>
      </c>
      <c r="P37"/>
      <c r="Q37"/>
    </row>
    <row r="38" spans="1:17" x14ac:dyDescent="0.2">
      <c r="A38" s="27" t="str">
        <f t="shared" si="3"/>
        <v/>
      </c>
      <c r="B38"/>
      <c r="C38"/>
      <c r="D38"/>
      <c r="E38" s="30"/>
      <c r="F38" s="28" t="str">
        <f t="shared" si="4"/>
        <v/>
      </c>
      <c r="G38" s="28" t="str">
        <f t="shared" si="5"/>
        <v/>
      </c>
      <c r="H38"/>
      <c r="I38"/>
      <c r="J38" s="41">
        <f t="shared" si="0"/>
        <v>0</v>
      </c>
      <c r="K38" s="41">
        <f t="shared" si="1"/>
        <v>0</v>
      </c>
      <c r="L38" s="41">
        <f t="shared" si="2"/>
        <v>0</v>
      </c>
      <c r="M38" s="41">
        <f t="shared" ref="M38:M61" si="7">SUM(K38:L38)</f>
        <v>0</v>
      </c>
      <c r="P38"/>
      <c r="Q38"/>
    </row>
    <row r="39" spans="1:17" x14ac:dyDescent="0.2">
      <c r="A39" s="27" t="str">
        <f t="shared" si="3"/>
        <v/>
      </c>
      <c r="B39"/>
      <c r="C39"/>
      <c r="D39"/>
      <c r="E39" s="30"/>
      <c r="F39" s="28" t="str">
        <f t="shared" si="4"/>
        <v/>
      </c>
      <c r="G39" s="28" t="str">
        <f t="shared" si="5"/>
        <v/>
      </c>
      <c r="H39"/>
      <c r="I39"/>
      <c r="J39" s="41">
        <f t="shared" si="0"/>
        <v>0</v>
      </c>
      <c r="K39" s="41">
        <f t="shared" si="1"/>
        <v>0</v>
      </c>
      <c r="L39" s="41">
        <f t="shared" si="2"/>
        <v>0</v>
      </c>
      <c r="M39" s="41">
        <f t="shared" si="7"/>
        <v>0</v>
      </c>
      <c r="P39"/>
      <c r="Q39"/>
    </row>
    <row r="40" spans="1:17" x14ac:dyDescent="0.2">
      <c r="A40" s="27" t="str">
        <f t="shared" si="3"/>
        <v/>
      </c>
      <c r="B40"/>
      <c r="C40"/>
      <c r="D40"/>
      <c r="E40" s="30"/>
      <c r="F40" s="28" t="str">
        <f t="shared" si="4"/>
        <v/>
      </c>
      <c r="G40" s="28" t="str">
        <f t="shared" si="5"/>
        <v/>
      </c>
      <c r="H40"/>
      <c r="I40"/>
      <c r="J40" s="41">
        <f t="shared" si="0"/>
        <v>0</v>
      </c>
      <c r="K40" s="41">
        <f t="shared" si="1"/>
        <v>0</v>
      </c>
      <c r="L40" s="41">
        <f t="shared" si="2"/>
        <v>0</v>
      </c>
      <c r="M40" s="41">
        <f t="shared" si="7"/>
        <v>0</v>
      </c>
      <c r="P40"/>
      <c r="Q40"/>
    </row>
    <row r="41" spans="1:17" x14ac:dyDescent="0.2">
      <c r="A41" s="27" t="str">
        <f t="shared" si="3"/>
        <v/>
      </c>
      <c r="B41"/>
      <c r="C41"/>
      <c r="D41"/>
      <c r="E41" s="30"/>
      <c r="F41" s="28" t="str">
        <f t="shared" si="4"/>
        <v/>
      </c>
      <c r="G41" s="28" t="str">
        <f t="shared" si="5"/>
        <v/>
      </c>
      <c r="H41"/>
      <c r="I41"/>
      <c r="J41" s="41">
        <f t="shared" si="0"/>
        <v>0</v>
      </c>
      <c r="K41" s="41">
        <f t="shared" si="1"/>
        <v>0</v>
      </c>
      <c r="L41" s="41">
        <f t="shared" si="2"/>
        <v>0</v>
      </c>
      <c r="M41" s="41">
        <f t="shared" si="7"/>
        <v>0</v>
      </c>
      <c r="P41"/>
      <c r="Q41"/>
    </row>
    <row r="42" spans="1:17" x14ac:dyDescent="0.2">
      <c r="A42" s="27" t="str">
        <f t="shared" si="3"/>
        <v/>
      </c>
      <c r="B42"/>
      <c r="C42"/>
      <c r="D42"/>
      <c r="E42" s="30"/>
      <c r="F42" s="28" t="str">
        <f t="shared" si="4"/>
        <v/>
      </c>
      <c r="G42" s="28" t="str">
        <f t="shared" si="5"/>
        <v/>
      </c>
      <c r="H42"/>
      <c r="I42"/>
      <c r="J42" s="41">
        <f t="shared" si="0"/>
        <v>0</v>
      </c>
      <c r="K42" s="41">
        <f t="shared" si="1"/>
        <v>0</v>
      </c>
      <c r="L42" s="41">
        <f t="shared" si="2"/>
        <v>0</v>
      </c>
      <c r="M42" s="41">
        <f t="shared" si="7"/>
        <v>0</v>
      </c>
      <c r="P42"/>
      <c r="Q42"/>
    </row>
    <row r="43" spans="1:17" x14ac:dyDescent="0.2">
      <c r="A43" s="27" t="str">
        <f t="shared" si="3"/>
        <v/>
      </c>
      <c r="B43"/>
      <c r="C43"/>
      <c r="D43"/>
      <c r="E43" s="30"/>
      <c r="F43" s="28" t="str">
        <f t="shared" si="4"/>
        <v/>
      </c>
      <c r="G43" s="28" t="str">
        <f t="shared" si="5"/>
        <v/>
      </c>
      <c r="H43"/>
      <c r="I43"/>
      <c r="J43" s="41">
        <f t="shared" si="0"/>
        <v>0</v>
      </c>
      <c r="K43" s="41">
        <f t="shared" si="1"/>
        <v>0</v>
      </c>
      <c r="L43" s="41">
        <f t="shared" si="2"/>
        <v>0</v>
      </c>
      <c r="M43" s="41">
        <f t="shared" si="7"/>
        <v>0</v>
      </c>
      <c r="P43"/>
      <c r="Q43"/>
    </row>
    <row r="44" spans="1:17" x14ac:dyDescent="0.2">
      <c r="A44" s="27" t="str">
        <f t="shared" si="3"/>
        <v/>
      </c>
      <c r="B44"/>
      <c r="C44"/>
      <c r="D44"/>
      <c r="E44" s="30"/>
      <c r="F44" s="28" t="str">
        <f t="shared" si="4"/>
        <v/>
      </c>
      <c r="G44" s="28" t="str">
        <f t="shared" si="5"/>
        <v/>
      </c>
      <c r="H44"/>
      <c r="I44"/>
      <c r="J44" s="41">
        <f t="shared" si="0"/>
        <v>0</v>
      </c>
      <c r="K44" s="41">
        <f t="shared" si="1"/>
        <v>0</v>
      </c>
      <c r="L44" s="41">
        <f t="shared" si="2"/>
        <v>0</v>
      </c>
      <c r="M44" s="41">
        <f t="shared" si="7"/>
        <v>0</v>
      </c>
      <c r="P44"/>
      <c r="Q44"/>
    </row>
    <row r="45" spans="1:17" x14ac:dyDescent="0.2">
      <c r="A45" s="27" t="str">
        <f t="shared" si="3"/>
        <v/>
      </c>
      <c r="B45"/>
      <c r="C45"/>
      <c r="D45"/>
      <c r="E45" s="30"/>
      <c r="F45" s="28" t="str">
        <f t="shared" si="4"/>
        <v/>
      </c>
      <c r="G45" s="28" t="str">
        <f t="shared" si="5"/>
        <v/>
      </c>
      <c r="H45"/>
      <c r="I45"/>
      <c r="J45" s="41">
        <f t="shared" si="0"/>
        <v>0</v>
      </c>
      <c r="K45" s="41">
        <f t="shared" si="1"/>
        <v>0</v>
      </c>
      <c r="L45" s="41">
        <f t="shared" si="2"/>
        <v>0</v>
      </c>
      <c r="M45" s="41">
        <f t="shared" si="7"/>
        <v>0</v>
      </c>
      <c r="P45"/>
      <c r="Q45"/>
    </row>
    <row r="46" spans="1:17" x14ac:dyDescent="0.2">
      <c r="A46" s="27" t="str">
        <f t="shared" si="3"/>
        <v/>
      </c>
      <c r="B46"/>
      <c r="C46"/>
      <c r="D46"/>
      <c r="E46" s="30"/>
      <c r="F46" s="28" t="str">
        <f t="shared" si="4"/>
        <v/>
      </c>
      <c r="G46" s="28" t="str">
        <f t="shared" si="5"/>
        <v/>
      </c>
      <c r="H46"/>
      <c r="I46"/>
      <c r="J46" s="41">
        <f t="shared" si="0"/>
        <v>0</v>
      </c>
      <c r="K46" s="41">
        <f t="shared" si="1"/>
        <v>0</v>
      </c>
      <c r="L46" s="41">
        <f t="shared" si="2"/>
        <v>0</v>
      </c>
      <c r="M46" s="41">
        <f t="shared" si="7"/>
        <v>0</v>
      </c>
      <c r="P46"/>
      <c r="Q46"/>
    </row>
    <row r="47" spans="1:17" x14ac:dyDescent="0.2">
      <c r="A47" s="27" t="str">
        <f t="shared" si="3"/>
        <v/>
      </c>
      <c r="B47"/>
      <c r="C47"/>
      <c r="D47"/>
      <c r="E47" s="30"/>
      <c r="F47" s="28" t="str">
        <f t="shared" si="4"/>
        <v/>
      </c>
      <c r="G47" s="28" t="str">
        <f t="shared" si="5"/>
        <v/>
      </c>
      <c r="H47" s="29"/>
      <c r="I47" s="41"/>
      <c r="J47" s="41">
        <f t="shared" si="0"/>
        <v>0</v>
      </c>
      <c r="K47" s="41">
        <f t="shared" si="1"/>
        <v>0</v>
      </c>
      <c r="L47" s="41">
        <f t="shared" si="2"/>
        <v>0</v>
      </c>
      <c r="M47" s="41">
        <f t="shared" si="7"/>
        <v>0</v>
      </c>
      <c r="P47"/>
      <c r="Q47"/>
    </row>
    <row r="48" spans="1:17" x14ac:dyDescent="0.2">
      <c r="A48" s="27" t="str">
        <f t="shared" si="3"/>
        <v/>
      </c>
      <c r="B48"/>
      <c r="C48"/>
      <c r="D48"/>
      <c r="E48" s="30"/>
      <c r="F48" s="28" t="str">
        <f t="shared" si="4"/>
        <v/>
      </c>
      <c r="G48" s="28" t="str">
        <f t="shared" si="5"/>
        <v/>
      </c>
      <c r="H48" s="29"/>
      <c r="I48" s="41"/>
      <c r="J48" s="41">
        <f t="shared" si="0"/>
        <v>0</v>
      </c>
      <c r="K48" s="41">
        <f t="shared" si="1"/>
        <v>0</v>
      </c>
      <c r="L48" s="41">
        <f t="shared" si="2"/>
        <v>0</v>
      </c>
      <c r="M48" s="41">
        <f t="shared" si="7"/>
        <v>0</v>
      </c>
      <c r="P48"/>
      <c r="Q48"/>
    </row>
    <row r="49" spans="1:17" x14ac:dyDescent="0.2">
      <c r="A49" s="27" t="str">
        <f t="shared" si="3"/>
        <v/>
      </c>
      <c r="B49"/>
      <c r="C49"/>
      <c r="D49"/>
      <c r="E49" s="30"/>
      <c r="F49" s="28" t="str">
        <f t="shared" si="4"/>
        <v/>
      </c>
      <c r="G49" s="28" t="str">
        <f t="shared" si="5"/>
        <v/>
      </c>
      <c r="H49" s="29"/>
      <c r="I49" s="41"/>
      <c r="J49" s="41">
        <f t="shared" si="0"/>
        <v>0</v>
      </c>
      <c r="K49" s="41">
        <f t="shared" si="1"/>
        <v>0</v>
      </c>
      <c r="L49" s="41">
        <f t="shared" si="2"/>
        <v>0</v>
      </c>
      <c r="M49" s="41">
        <f t="shared" si="7"/>
        <v>0</v>
      </c>
      <c r="P49"/>
      <c r="Q49"/>
    </row>
    <row r="50" spans="1:17" x14ac:dyDescent="0.2">
      <c r="A50" s="27" t="str">
        <f t="shared" si="3"/>
        <v/>
      </c>
      <c r="B50"/>
      <c r="C50"/>
      <c r="D50"/>
      <c r="E50" s="30"/>
      <c r="F50" s="28" t="str">
        <f t="shared" si="4"/>
        <v/>
      </c>
      <c r="G50" s="28" t="str">
        <f t="shared" si="5"/>
        <v/>
      </c>
      <c r="H50" s="29"/>
      <c r="I50" s="41"/>
      <c r="J50" s="41">
        <f t="shared" si="0"/>
        <v>0</v>
      </c>
      <c r="K50" s="41">
        <f t="shared" si="1"/>
        <v>0</v>
      </c>
      <c r="L50" s="41">
        <f t="shared" si="2"/>
        <v>0</v>
      </c>
      <c r="M50" s="41">
        <f t="shared" si="7"/>
        <v>0</v>
      </c>
      <c r="P50"/>
      <c r="Q50"/>
    </row>
    <row r="51" spans="1:17" x14ac:dyDescent="0.2">
      <c r="A51" s="27" t="str">
        <f t="shared" si="3"/>
        <v/>
      </c>
      <c r="B51"/>
      <c r="C51"/>
      <c r="D51"/>
      <c r="E51" s="30"/>
      <c r="F51" s="28" t="str">
        <f t="shared" si="4"/>
        <v/>
      </c>
      <c r="G51" s="28" t="str">
        <f t="shared" si="5"/>
        <v/>
      </c>
      <c r="H51" s="29"/>
      <c r="I51" s="41"/>
      <c r="J51" s="41">
        <f t="shared" si="0"/>
        <v>0</v>
      </c>
      <c r="K51" s="41">
        <f t="shared" si="1"/>
        <v>0</v>
      </c>
      <c r="L51" s="41">
        <f t="shared" si="2"/>
        <v>0</v>
      </c>
      <c r="M51" s="41">
        <f t="shared" si="7"/>
        <v>0</v>
      </c>
      <c r="P51"/>
      <c r="Q51"/>
    </row>
    <row r="52" spans="1:17" x14ac:dyDescent="0.2">
      <c r="A52" s="27" t="str">
        <f t="shared" si="3"/>
        <v/>
      </c>
      <c r="B52"/>
      <c r="C52"/>
      <c r="D52"/>
      <c r="E52" s="30"/>
      <c r="F52" s="28" t="str">
        <f t="shared" si="4"/>
        <v/>
      </c>
      <c r="G52" s="28" t="str">
        <f t="shared" si="5"/>
        <v/>
      </c>
      <c r="H52" s="29"/>
      <c r="I52" s="41"/>
      <c r="J52" s="41">
        <f t="shared" si="0"/>
        <v>0</v>
      </c>
      <c r="K52" s="41">
        <f t="shared" si="1"/>
        <v>0</v>
      </c>
      <c r="L52" s="41">
        <f t="shared" si="2"/>
        <v>0</v>
      </c>
      <c r="M52" s="41">
        <f t="shared" si="7"/>
        <v>0</v>
      </c>
      <c r="P52"/>
      <c r="Q52"/>
    </row>
    <row r="53" spans="1:17" x14ac:dyDescent="0.2">
      <c r="A53" s="27" t="str">
        <f t="shared" si="3"/>
        <v/>
      </c>
      <c r="B53"/>
      <c r="C53"/>
      <c r="D53"/>
      <c r="E53" s="30"/>
      <c r="F53" s="28" t="str">
        <f t="shared" si="4"/>
        <v/>
      </c>
      <c r="G53" s="28" t="str">
        <f t="shared" si="5"/>
        <v/>
      </c>
      <c r="H53" s="29"/>
      <c r="I53" s="41"/>
      <c r="J53" s="41">
        <f t="shared" si="0"/>
        <v>0</v>
      </c>
      <c r="K53" s="41">
        <f t="shared" si="1"/>
        <v>0</v>
      </c>
      <c r="L53" s="41">
        <f t="shared" si="2"/>
        <v>0</v>
      </c>
      <c r="M53" s="41">
        <f t="shared" si="7"/>
        <v>0</v>
      </c>
      <c r="P53"/>
      <c r="Q53"/>
    </row>
    <row r="54" spans="1:17" x14ac:dyDescent="0.2">
      <c r="A54" s="27" t="str">
        <f t="shared" si="3"/>
        <v/>
      </c>
      <c r="B54"/>
      <c r="C54"/>
      <c r="D54"/>
      <c r="E54" s="30"/>
      <c r="F54" s="28" t="str">
        <f t="shared" si="4"/>
        <v/>
      </c>
      <c r="G54" s="28" t="str">
        <f t="shared" si="5"/>
        <v/>
      </c>
      <c r="H54" s="29"/>
      <c r="I54" s="41"/>
      <c r="J54" s="41">
        <f t="shared" si="0"/>
        <v>0</v>
      </c>
      <c r="K54" s="41">
        <f t="shared" si="1"/>
        <v>0</v>
      </c>
      <c r="L54" s="41">
        <f t="shared" si="2"/>
        <v>0</v>
      </c>
      <c r="M54" s="41">
        <f t="shared" si="7"/>
        <v>0</v>
      </c>
      <c r="P54"/>
      <c r="Q54"/>
    </row>
    <row r="55" spans="1:17" x14ac:dyDescent="0.2">
      <c r="A55" s="27" t="str">
        <f t="shared" si="3"/>
        <v/>
      </c>
      <c r="B55"/>
      <c r="C55"/>
      <c r="D55"/>
      <c r="E55" s="30"/>
      <c r="F55" s="28" t="str">
        <f t="shared" si="4"/>
        <v/>
      </c>
      <c r="G55" s="28" t="str">
        <f t="shared" si="5"/>
        <v/>
      </c>
      <c r="H55" s="29"/>
      <c r="I55" s="41"/>
      <c r="J55" s="41">
        <f t="shared" si="0"/>
        <v>0</v>
      </c>
      <c r="K55" s="41">
        <f t="shared" si="1"/>
        <v>0</v>
      </c>
      <c r="L55" s="41">
        <f t="shared" si="2"/>
        <v>0</v>
      </c>
      <c r="M55" s="41">
        <f t="shared" si="7"/>
        <v>0</v>
      </c>
      <c r="P55"/>
      <c r="Q55"/>
    </row>
    <row r="56" spans="1:17" x14ac:dyDescent="0.2">
      <c r="A56" s="27" t="str">
        <f t="shared" si="3"/>
        <v/>
      </c>
      <c r="B56"/>
      <c r="C56"/>
      <c r="D56"/>
      <c r="E56" s="30"/>
      <c r="F56" s="28" t="str">
        <f t="shared" si="4"/>
        <v/>
      </c>
      <c r="G56" s="28" t="str">
        <f t="shared" si="5"/>
        <v/>
      </c>
      <c r="H56" s="29"/>
      <c r="I56" s="41"/>
      <c r="J56" s="41">
        <f t="shared" si="0"/>
        <v>0</v>
      </c>
      <c r="K56" s="41">
        <f t="shared" si="1"/>
        <v>0</v>
      </c>
      <c r="L56" s="41">
        <f t="shared" si="2"/>
        <v>0</v>
      </c>
      <c r="M56" s="41">
        <f t="shared" si="7"/>
        <v>0</v>
      </c>
      <c r="P56"/>
      <c r="Q56"/>
    </row>
    <row r="57" spans="1:17" x14ac:dyDescent="0.2">
      <c r="A57" s="27" t="str">
        <f t="shared" si="3"/>
        <v/>
      </c>
      <c r="B57"/>
      <c r="C57"/>
      <c r="D57"/>
      <c r="E57" s="30"/>
      <c r="F57" s="28" t="str">
        <f t="shared" si="4"/>
        <v/>
      </c>
      <c r="G57" s="28" t="str">
        <f t="shared" si="5"/>
        <v/>
      </c>
      <c r="H57" s="29"/>
      <c r="I57" s="41"/>
      <c r="J57" s="41">
        <f t="shared" si="0"/>
        <v>0</v>
      </c>
      <c r="K57" s="41">
        <f t="shared" si="1"/>
        <v>0</v>
      </c>
      <c r="L57" s="41">
        <f t="shared" si="2"/>
        <v>0</v>
      </c>
      <c r="M57" s="41">
        <f t="shared" si="7"/>
        <v>0</v>
      </c>
      <c r="P57"/>
      <c r="Q57"/>
    </row>
    <row r="58" spans="1:17" x14ac:dyDescent="0.2">
      <c r="A58" s="27" t="str">
        <f t="shared" si="3"/>
        <v/>
      </c>
      <c r="B58"/>
      <c r="C58"/>
      <c r="D58"/>
      <c r="E58" s="30"/>
      <c r="F58" s="28" t="str">
        <f t="shared" si="4"/>
        <v/>
      </c>
      <c r="G58" s="28" t="str">
        <f t="shared" si="5"/>
        <v/>
      </c>
      <c r="H58" s="29"/>
      <c r="I58" s="41"/>
      <c r="J58" s="41">
        <f t="shared" si="0"/>
        <v>0</v>
      </c>
      <c r="K58" s="41">
        <f t="shared" si="1"/>
        <v>0</v>
      </c>
      <c r="L58" s="41">
        <f t="shared" si="2"/>
        <v>0</v>
      </c>
      <c r="M58" s="41">
        <f t="shared" si="7"/>
        <v>0</v>
      </c>
      <c r="P58"/>
      <c r="Q58"/>
    </row>
    <row r="59" spans="1:17" x14ac:dyDescent="0.2">
      <c r="A59" s="27" t="str">
        <f t="shared" si="3"/>
        <v/>
      </c>
      <c r="B59"/>
      <c r="C59"/>
      <c r="D59"/>
      <c r="E59" s="30"/>
      <c r="F59" s="28" t="str">
        <f t="shared" si="4"/>
        <v/>
      </c>
      <c r="G59" s="28" t="str">
        <f t="shared" si="5"/>
        <v/>
      </c>
      <c r="H59" s="29"/>
      <c r="I59" s="41"/>
      <c r="J59" s="41">
        <f t="shared" si="0"/>
        <v>0</v>
      </c>
      <c r="K59" s="41">
        <f t="shared" si="1"/>
        <v>0</v>
      </c>
      <c r="L59" s="41">
        <f t="shared" si="2"/>
        <v>0</v>
      </c>
      <c r="M59" s="41">
        <f t="shared" si="7"/>
        <v>0</v>
      </c>
      <c r="P59"/>
      <c r="Q59"/>
    </row>
    <row r="60" spans="1:17" x14ac:dyDescent="0.2">
      <c r="A60" s="27" t="str">
        <f t="shared" si="3"/>
        <v/>
      </c>
      <c r="B60"/>
      <c r="C60"/>
      <c r="D60"/>
      <c r="E60" s="30"/>
      <c r="F60" s="28" t="str">
        <f t="shared" si="4"/>
        <v/>
      </c>
      <c r="G60" s="28" t="str">
        <f t="shared" si="5"/>
        <v/>
      </c>
      <c r="H60" s="29"/>
      <c r="I60" s="41"/>
      <c r="J60" s="41">
        <f t="shared" si="0"/>
        <v>0</v>
      </c>
      <c r="K60" s="41">
        <f t="shared" si="1"/>
        <v>0</v>
      </c>
      <c r="L60" s="41">
        <f t="shared" si="2"/>
        <v>0</v>
      </c>
      <c r="M60" s="41">
        <f t="shared" si="7"/>
        <v>0</v>
      </c>
      <c r="P60"/>
      <c r="Q60"/>
    </row>
    <row r="61" spans="1:17" x14ac:dyDescent="0.2">
      <c r="A61" s="27" t="str">
        <f t="shared" si="3"/>
        <v/>
      </c>
      <c r="B61"/>
      <c r="C61"/>
      <c r="D61"/>
      <c r="E61" s="30"/>
      <c r="F61" s="28" t="str">
        <f t="shared" si="4"/>
        <v/>
      </c>
      <c r="G61" s="28" t="str">
        <f t="shared" si="5"/>
        <v/>
      </c>
      <c r="H61" s="29"/>
      <c r="I61" s="41"/>
      <c r="J61" s="41">
        <f t="shared" si="0"/>
        <v>0</v>
      </c>
      <c r="K61" s="41">
        <f t="shared" si="1"/>
        <v>0</v>
      </c>
      <c r="L61" s="41">
        <f t="shared" si="2"/>
        <v>0</v>
      </c>
      <c r="M61" s="41">
        <f t="shared" si="7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49" priority="2" operator="greaterThan">
      <formula>0</formula>
    </cfRule>
  </conditionalFormatting>
  <conditionalFormatting sqref="K38:M61">
    <cfRule type="cellIs" dxfId="48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77D446FD9CE2948A073A43F73912617" ma:contentTypeVersion="3" ma:contentTypeDescription="Crear nuevo documento." ma:contentTypeScope="" ma:versionID="d77a6d63ec90dd4d69625bd7053c75d0">
  <xsd:schema xmlns:xsd="http://www.w3.org/2001/XMLSchema" xmlns:xs="http://www.w3.org/2001/XMLSchema" xmlns:p="http://schemas.microsoft.com/office/2006/metadata/properties" xmlns:ns3="e52aef04-3f90-49cb-be3c-2553c2c76af2" targetNamespace="http://schemas.microsoft.com/office/2006/metadata/properties" ma:root="true" ma:fieldsID="983908adfbb4fc1fac4f1033aa620bfd" ns3:_="">
    <xsd:import namespace="e52aef04-3f90-49cb-be3c-2553c2c76a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2aef04-3f90-49cb-be3c-2553c2c76a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A187AA8F-BEB4-4EF3-861C-D1EC7C8E94EA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e52aef04-3f90-49cb-be3c-2553c2c76af2"/>
    <ds:schemaRef ds:uri="http://purl.org/dc/dcmitype/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9E8313D-A023-43C5-B7E7-4EBBBFA61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2aef04-3f90-49cb-be3c-2553c2c76a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E011499-E256-4191-B288-2C2E65D4487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141AE5C-565A-4B36-BE61-037BB02D6B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LISTADOS</vt:lpstr>
      <vt:lpstr>UBICACION</vt:lpstr>
      <vt:lpstr>VARIANS</vt:lpstr>
      <vt:lpstr>TEXTO</vt:lpstr>
      <vt:lpstr>ubc</vt:lpstr>
      <vt:lpstr>unds</vt:lpstr>
      <vt:lpstr>sku</vt:lpstr>
      <vt:lpstr>soles</vt:lpstr>
      <vt:lpstr>LISTADOS!Área_de_impresión</vt:lpstr>
      <vt:lpstr>VARIANS!Área_de_impresión</vt:lpstr>
      <vt:lpstr>LISTADOS!Criterios</vt:lpstr>
      <vt:lpstr>DATA</vt:lpstr>
      <vt:lpstr>LISTADOS!Títulos_a_imprimir</vt:lpstr>
    </vt:vector>
  </TitlesOfParts>
  <Manager/>
  <Company>DINET PERU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...</dc:creator>
  <cp:keywords/>
  <dc:description/>
  <cp:lastModifiedBy>A19102472 (Limache Canales, Joe Denis)</cp:lastModifiedBy>
  <cp:revision/>
  <cp:lastPrinted>2025-06-19T10:04:23Z</cp:lastPrinted>
  <dcterms:created xsi:type="dcterms:W3CDTF">2009-05-25T17:00:59Z</dcterms:created>
  <dcterms:modified xsi:type="dcterms:W3CDTF">2025-06-19T10:04:52Z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0x010100577D446FD9CE2948A073A43F73912617</vt:lpwstr>
  </property>
</Properties>
</file>